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ROPOSAL SKRIPSI\DATA STUNTNG\"/>
    </mc:Choice>
  </mc:AlternateContent>
  <xr:revisionPtr revIDLastSave="0" documentId="8_{8C0FBBF3-CBA3-4C6B-93F1-4D2A74AE0334}" xr6:coauthVersionLast="47" xr6:coauthVersionMax="47" xr10:uidLastSave="{00000000-0000-0000-0000-000000000000}"/>
  <bookViews>
    <workbookView xWindow="-120" yWindow="-120" windowWidth="20730" windowHeight="11760" xr2:uid="{982C2C8E-C5E7-42C0-BBEA-F93B07EE9AE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3" i="1" l="1"/>
  <c r="Q29" i="1"/>
  <c r="AK17" i="1"/>
  <c r="S46" i="1" s="1"/>
  <c r="AK16" i="1"/>
  <c r="R46" i="1" s="1"/>
  <c r="AK15" i="1"/>
  <c r="Q46" i="1" s="1"/>
  <c r="AK14" i="1"/>
  <c r="S45" i="1" s="1"/>
  <c r="AC14" i="1"/>
  <c r="S30" i="1" s="1"/>
  <c r="AK13" i="1"/>
  <c r="R45" i="1" s="1"/>
  <c r="AC13" i="1"/>
  <c r="R30" i="1" s="1"/>
  <c r="U30" i="1" s="1"/>
  <c r="AK12" i="1"/>
  <c r="Q45" i="1" s="1"/>
  <c r="AC12" i="1"/>
  <c r="Q30" i="1" s="1"/>
  <c r="AK11" i="1"/>
  <c r="S44" i="1" s="1"/>
  <c r="AG11" i="1"/>
  <c r="S37" i="1" s="1"/>
  <c r="AC11" i="1"/>
  <c r="S29" i="1" s="1"/>
  <c r="AK10" i="1"/>
  <c r="R44" i="1" s="1"/>
  <c r="U44" i="1" s="1"/>
  <c r="AG10" i="1"/>
  <c r="R37" i="1" s="1"/>
  <c r="U37" i="1" s="1"/>
  <c r="AC10" i="1"/>
  <c r="R29" i="1" s="1"/>
  <c r="U29" i="1" s="1"/>
  <c r="AK9" i="1"/>
  <c r="Q44" i="1" s="1"/>
  <c r="AG9" i="1"/>
  <c r="Q37" i="1" s="1"/>
  <c r="AC9" i="1"/>
  <c r="AO8" i="1"/>
  <c r="S52" i="1" s="1"/>
  <c r="AK8" i="1"/>
  <c r="AG8" i="1"/>
  <c r="S36" i="1" s="1"/>
  <c r="AC8" i="1"/>
  <c r="S28" i="1" s="1"/>
  <c r="Y8" i="1"/>
  <c r="S22" i="1" s="1"/>
  <c r="U8" i="1"/>
  <c r="S16" i="1" s="1"/>
  <c r="AO7" i="1"/>
  <c r="R52" i="1" s="1"/>
  <c r="AK7" i="1"/>
  <c r="R43" i="1" s="1"/>
  <c r="AG7" i="1"/>
  <c r="R36" i="1" s="1"/>
  <c r="AC7" i="1"/>
  <c r="R28" i="1" s="1"/>
  <c r="U28" i="1" s="1"/>
  <c r="Y7" i="1"/>
  <c r="R22" i="1" s="1"/>
  <c r="U7" i="1"/>
  <c r="R16" i="1" s="1"/>
  <c r="S7" i="1"/>
  <c r="AO6" i="1"/>
  <c r="Q52" i="1" s="1"/>
  <c r="AK6" i="1"/>
  <c r="Q43" i="1" s="1"/>
  <c r="AG6" i="1"/>
  <c r="Q36" i="1" s="1"/>
  <c r="AC6" i="1"/>
  <c r="Q28" i="1" s="1"/>
  <c r="Y6" i="1"/>
  <c r="Q22" i="1" s="1"/>
  <c r="U6" i="1"/>
  <c r="Q16" i="1" s="1"/>
  <c r="Q6" i="1"/>
  <c r="AO5" i="1"/>
  <c r="S51" i="1" s="1"/>
  <c r="AK5" i="1"/>
  <c r="S42" i="1" s="1"/>
  <c r="AG5" i="1"/>
  <c r="S35" i="1" s="1"/>
  <c r="AC5" i="1"/>
  <c r="S27" i="1" s="1"/>
  <c r="Y5" i="1"/>
  <c r="S21" i="1" s="1"/>
  <c r="U5" i="1"/>
  <c r="S15" i="1" s="1"/>
  <c r="Q5" i="1"/>
  <c r="AO4" i="1"/>
  <c r="R51" i="1" s="1"/>
  <c r="R53" i="1" s="1"/>
  <c r="AK4" i="1"/>
  <c r="R42" i="1" s="1"/>
  <c r="R47" i="1" s="1"/>
  <c r="U46" i="1" s="1"/>
  <c r="AG4" i="1"/>
  <c r="R35" i="1" s="1"/>
  <c r="R38" i="1" s="1"/>
  <c r="AC4" i="1"/>
  <c r="R27" i="1" s="1"/>
  <c r="R31" i="1" s="1"/>
  <c r="Y4" i="1"/>
  <c r="R21" i="1" s="1"/>
  <c r="R23" i="1" s="1"/>
  <c r="U4" i="1"/>
  <c r="R15" i="1" s="1"/>
  <c r="S4" i="1"/>
  <c r="S9" i="1" s="1"/>
  <c r="Q4" i="1"/>
  <c r="AO3" i="1"/>
  <c r="Q51" i="1" s="1"/>
  <c r="AK3" i="1"/>
  <c r="AK18" i="1" s="1"/>
  <c r="AG3" i="1"/>
  <c r="Q35" i="1" s="1"/>
  <c r="AC3" i="1"/>
  <c r="Q27" i="1" s="1"/>
  <c r="Y3" i="1"/>
  <c r="Q21" i="1" s="1"/>
  <c r="U3" i="1"/>
  <c r="Q15" i="1" s="1"/>
  <c r="Q3" i="1"/>
  <c r="T21" i="1" l="1"/>
  <c r="T23" i="1" s="1"/>
  <c r="Q23" i="1"/>
  <c r="Q53" i="1"/>
  <c r="T51" i="1" s="1"/>
  <c r="T53" i="1" s="1"/>
  <c r="V27" i="1"/>
  <c r="S31" i="1"/>
  <c r="V30" i="1" s="1"/>
  <c r="U16" i="1"/>
  <c r="V28" i="1"/>
  <c r="Q31" i="1"/>
  <c r="T27" i="1" s="1"/>
  <c r="V35" i="1"/>
  <c r="S38" i="1"/>
  <c r="V36" i="1" s="1"/>
  <c r="T37" i="1"/>
  <c r="T30" i="1"/>
  <c r="T35" i="1"/>
  <c r="Q38" i="1"/>
  <c r="T36" i="1" s="1"/>
  <c r="Z57" i="1"/>
  <c r="S17" i="1"/>
  <c r="V16" i="1" s="1"/>
  <c r="V15" i="1"/>
  <c r="T22" i="1"/>
  <c r="V29" i="1"/>
  <c r="R17" i="1"/>
  <c r="U15" i="1"/>
  <c r="V21" i="1"/>
  <c r="S23" i="1"/>
  <c r="U21" i="1" s="1"/>
  <c r="T28" i="1"/>
  <c r="V22" i="1"/>
  <c r="V52" i="1"/>
  <c r="S53" i="1"/>
  <c r="V51" i="1"/>
  <c r="V53" i="1" s="1"/>
  <c r="L188" i="1"/>
  <c r="L23" i="1"/>
  <c r="U52" i="1"/>
  <c r="U9" i="1"/>
  <c r="U45" i="1"/>
  <c r="U27" i="1"/>
  <c r="U31" i="1" s="1"/>
  <c r="T29" i="1"/>
  <c r="U51" i="1"/>
  <c r="L85" i="1"/>
  <c r="L5" i="1"/>
  <c r="T52" i="1"/>
  <c r="Y9" i="1"/>
  <c r="AO9" i="1"/>
  <c r="AG12" i="1"/>
  <c r="AC15" i="1"/>
  <c r="Q17" i="1"/>
  <c r="Q42" i="1"/>
  <c r="U36" i="1"/>
  <c r="L12" i="1" s="1"/>
  <c r="V37" i="1"/>
  <c r="U42" i="1"/>
  <c r="S47" i="1"/>
  <c r="M139" i="1"/>
  <c r="U43" i="1"/>
  <c r="M11" i="1"/>
  <c r="V44" i="1"/>
  <c r="M103" i="1" s="1"/>
  <c r="U35" i="1"/>
  <c r="U38" i="1" s="1"/>
  <c r="L75" i="1"/>
  <c r="L83" i="1"/>
  <c r="L91" i="1"/>
  <c r="M21" i="1" l="1"/>
  <c r="M90" i="1"/>
  <c r="V45" i="1"/>
  <c r="V46" i="1"/>
  <c r="M129" i="1"/>
  <c r="T42" i="1"/>
  <c r="Q47" i="1"/>
  <c r="U53" i="1"/>
  <c r="M33" i="1"/>
  <c r="L28" i="1"/>
  <c r="L40" i="1"/>
  <c r="L88" i="1"/>
  <c r="L104" i="1"/>
  <c r="L36" i="1"/>
  <c r="L54" i="1"/>
  <c r="L109" i="1"/>
  <c r="L117" i="1"/>
  <c r="L141" i="1"/>
  <c r="L149" i="1"/>
  <c r="L181" i="1"/>
  <c r="L189" i="1"/>
  <c r="M30" i="1"/>
  <c r="M45" i="1"/>
  <c r="M19" i="1"/>
  <c r="M125" i="1"/>
  <c r="T31" i="1"/>
  <c r="L16" i="1"/>
  <c r="M186" i="1"/>
  <c r="M151" i="1"/>
  <c r="M91" i="1"/>
  <c r="L14" i="1"/>
  <c r="L11" i="1"/>
  <c r="L79" i="1"/>
  <c r="T16" i="1"/>
  <c r="T15" i="1"/>
  <c r="V42" i="1"/>
  <c r="L93" i="1"/>
  <c r="V43" i="1"/>
  <c r="L33" i="1"/>
  <c r="L44" i="1"/>
  <c r="L60" i="1"/>
  <c r="L25" i="1"/>
  <c r="L45" i="1"/>
  <c r="L57" i="1"/>
  <c r="L120" i="1"/>
  <c r="L144" i="1"/>
  <c r="L176" i="1"/>
  <c r="L10" i="1"/>
  <c r="L89" i="1"/>
  <c r="U47" i="1"/>
  <c r="L103" i="1"/>
  <c r="L19" i="1"/>
  <c r="L34" i="1"/>
  <c r="L46" i="1"/>
  <c r="L80" i="1"/>
  <c r="L26" i="1"/>
  <c r="L47" i="1"/>
  <c r="L121" i="1"/>
  <c r="L129" i="1"/>
  <c r="L137" i="1"/>
  <c r="L161" i="1"/>
  <c r="L183" i="1"/>
  <c r="L81" i="1"/>
  <c r="L95" i="1"/>
  <c r="L58" i="1"/>
  <c r="L62" i="1"/>
  <c r="L39" i="1"/>
  <c r="L70" i="1"/>
  <c r="L86" i="1"/>
  <c r="L31" i="1"/>
  <c r="L124" i="1"/>
  <c r="L187" i="1"/>
  <c r="M5" i="1"/>
  <c r="L20" i="1"/>
  <c r="L35" i="1"/>
  <c r="L53" i="1"/>
  <c r="L66" i="1"/>
  <c r="L74" i="1"/>
  <c r="L27" i="1"/>
  <c r="L38" i="1"/>
  <c r="L52" i="1"/>
  <c r="L106" i="1"/>
  <c r="L126" i="1"/>
  <c r="L130" i="1"/>
  <c r="L138" i="1"/>
  <c r="L158" i="1"/>
  <c r="L174" i="1"/>
  <c r="L178" i="1"/>
  <c r="L186" i="1"/>
  <c r="M3" i="1"/>
  <c r="L69" i="1"/>
  <c r="L32" i="1"/>
  <c r="L37" i="1"/>
  <c r="L68" i="1"/>
  <c r="L84" i="1"/>
  <c r="L29" i="1"/>
  <c r="L43" i="1"/>
  <c r="L59" i="1"/>
  <c r="L56" i="1"/>
  <c r="L107" i="1"/>
  <c r="L111" i="1"/>
  <c r="L123" i="1"/>
  <c r="L139" i="1"/>
  <c r="L155" i="1"/>
  <c r="L167" i="1"/>
  <c r="L171" i="1"/>
  <c r="L179" i="1"/>
  <c r="U22" i="1"/>
  <c r="U23" i="1" s="1"/>
  <c r="M181" i="1"/>
  <c r="V23" i="1"/>
  <c r="U17" i="1"/>
  <c r="V17" i="1"/>
  <c r="T38" i="1"/>
  <c r="V38" i="1"/>
  <c r="V31" i="1"/>
  <c r="L151" i="1" l="1"/>
  <c r="L135" i="1"/>
  <c r="L24" i="1"/>
  <c r="L42" i="1"/>
  <c r="L101" i="1"/>
  <c r="L162" i="1"/>
  <c r="AB57" i="1"/>
  <c r="L163" i="1"/>
  <c r="L147" i="1"/>
  <c r="L131" i="1"/>
  <c r="L115" i="1"/>
  <c r="L100" i="1"/>
  <c r="L9" i="1"/>
  <c r="L142" i="1"/>
  <c r="L110" i="1"/>
  <c r="L90" i="1"/>
  <c r="L30" i="1"/>
  <c r="V47" i="1"/>
  <c r="M35" i="1"/>
  <c r="M12" i="1"/>
  <c r="M65" i="1"/>
  <c r="M75" i="1"/>
  <c r="M53" i="1"/>
  <c r="M51" i="1"/>
  <c r="M28" i="1"/>
  <c r="M108" i="1"/>
  <c r="M69" i="1"/>
  <c r="M188" i="1"/>
  <c r="M124" i="1"/>
  <c r="M159" i="1"/>
  <c r="M109" i="1"/>
  <c r="M39" i="1"/>
  <c r="M178" i="1"/>
  <c r="M47" i="1"/>
  <c r="M161" i="1"/>
  <c r="M84" i="1"/>
  <c r="M76" i="1"/>
  <c r="M72" i="1"/>
  <c r="M68" i="1"/>
  <c r="M37" i="1"/>
  <c r="M126" i="1"/>
  <c r="M10" i="1"/>
  <c r="M9" i="1"/>
  <c r="M113" i="1"/>
  <c r="M106" i="1"/>
  <c r="M83" i="1"/>
  <c r="M63" i="1"/>
  <c r="M183" i="1"/>
  <c r="M167" i="1"/>
  <c r="M119" i="1"/>
  <c r="M154" i="1"/>
  <c r="M7" i="1"/>
  <c r="M141" i="1"/>
  <c r="M165" i="1"/>
  <c r="M112" i="1"/>
  <c r="M102" i="1"/>
  <c r="M78" i="1"/>
  <c r="M62" i="1"/>
  <c r="M179" i="1"/>
  <c r="M182" i="1"/>
  <c r="M130" i="1"/>
  <c r="L77" i="1"/>
  <c r="L180" i="1"/>
  <c r="L172" i="1"/>
  <c r="L164" i="1"/>
  <c r="L156" i="1"/>
  <c r="L148" i="1"/>
  <c r="L140" i="1"/>
  <c r="L132" i="1"/>
  <c r="L116" i="1"/>
  <c r="L108" i="1"/>
  <c r="L63" i="1"/>
  <c r="L102" i="1"/>
  <c r="L50" i="1"/>
  <c r="L8" i="1"/>
  <c r="L4" i="1"/>
  <c r="L185" i="1"/>
  <c r="L177" i="1"/>
  <c r="L169" i="1"/>
  <c r="L153" i="1"/>
  <c r="L145" i="1"/>
  <c r="L113" i="1"/>
  <c r="L105" i="1"/>
  <c r="L96" i="1"/>
  <c r="L64" i="1"/>
  <c r="L71" i="1"/>
  <c r="L3" i="1"/>
  <c r="L7" i="1"/>
  <c r="L184" i="1"/>
  <c r="L168" i="1"/>
  <c r="L160" i="1"/>
  <c r="L152" i="1"/>
  <c r="L136" i="1"/>
  <c r="L128" i="1"/>
  <c r="L112" i="1"/>
  <c r="L94" i="1"/>
  <c r="L78" i="1"/>
  <c r="L17" i="1"/>
  <c r="L65" i="1"/>
  <c r="L97" i="1"/>
  <c r="L99" i="1"/>
  <c r="L173" i="1"/>
  <c r="L165" i="1"/>
  <c r="L157" i="1"/>
  <c r="L133" i="1"/>
  <c r="L125" i="1"/>
  <c r="L72" i="1"/>
  <c r="L51" i="1"/>
  <c r="L18" i="1"/>
  <c r="L87" i="1"/>
  <c r="L15" i="1"/>
  <c r="L73" i="1"/>
  <c r="L67" i="1"/>
  <c r="L76" i="1"/>
  <c r="L146" i="1"/>
  <c r="L114" i="1"/>
  <c r="L98" i="1"/>
  <c r="L175" i="1"/>
  <c r="L159" i="1"/>
  <c r="L143" i="1"/>
  <c r="L127" i="1"/>
  <c r="L92" i="1"/>
  <c r="L61" i="1"/>
  <c r="L13" i="1"/>
  <c r="L170" i="1"/>
  <c r="L154" i="1"/>
  <c r="L122" i="1"/>
  <c r="L82" i="1"/>
  <c r="L48" i="1"/>
  <c r="T17" i="1"/>
  <c r="K3" i="1"/>
  <c r="N3" i="1" s="1"/>
  <c r="K65" i="1"/>
  <c r="N65" i="1" s="1"/>
  <c r="K51" i="1"/>
  <c r="N51" i="1" s="1"/>
  <c r="K113" i="1"/>
  <c r="N113" i="1" s="1"/>
  <c r="K75" i="1"/>
  <c r="N75" i="1" s="1"/>
  <c r="K62" i="1"/>
  <c r="N62" i="1" s="1"/>
  <c r="K10" i="1"/>
  <c r="N10" i="1" s="1"/>
  <c r="K39" i="1"/>
  <c r="N39" i="1" s="1"/>
  <c r="K9" i="1"/>
  <c r="N9" i="1" s="1"/>
  <c r="K83" i="1"/>
  <c r="N83" i="1" s="1"/>
  <c r="K112" i="1"/>
  <c r="N112" i="1" s="1"/>
  <c r="K12" i="1"/>
  <c r="N12" i="1" s="1"/>
  <c r="K35" i="1"/>
  <c r="N35" i="1" s="1"/>
  <c r="T46" i="1"/>
  <c r="K119" i="1" s="1"/>
  <c r="N119" i="1" s="1"/>
  <c r="T44" i="1"/>
  <c r="K151" i="1" s="1"/>
  <c r="N151" i="1" s="1"/>
  <c r="T43" i="1"/>
  <c r="K176" i="1" s="1"/>
  <c r="N176" i="1" s="1"/>
  <c r="T45" i="1"/>
  <c r="K173" i="1" s="1"/>
  <c r="N173" i="1" s="1"/>
  <c r="M173" i="1"/>
  <c r="M13" i="1"/>
  <c r="M157" i="1"/>
  <c r="M27" i="1"/>
  <c r="M145" i="1"/>
  <c r="M20" i="1"/>
  <c r="M117" i="1"/>
  <c r="M189" i="1"/>
  <c r="M101" i="1"/>
  <c r="M93" i="1"/>
  <c r="M89" i="1"/>
  <c r="M85" i="1"/>
  <c r="M81" i="1"/>
  <c r="M77" i="1"/>
  <c r="M73" i="1"/>
  <c r="M61" i="1"/>
  <c r="M172" i="1"/>
  <c r="M156" i="1"/>
  <c r="M140" i="1"/>
  <c r="M57" i="1"/>
  <c r="M175" i="1"/>
  <c r="M143" i="1"/>
  <c r="M127" i="1"/>
  <c r="M162" i="1"/>
  <c r="M146" i="1"/>
  <c r="M14" i="1"/>
  <c r="M29" i="1"/>
  <c r="M153" i="1"/>
  <c r="M16" i="1"/>
  <c r="M36" i="1"/>
  <c r="M23" i="1"/>
  <c r="M133" i="1"/>
  <c r="M110" i="1"/>
  <c r="M104" i="1"/>
  <c r="M100" i="1"/>
  <c r="M96" i="1"/>
  <c r="M92" i="1"/>
  <c r="M88" i="1"/>
  <c r="M80" i="1"/>
  <c r="M60" i="1"/>
  <c r="M184" i="1"/>
  <c r="M168" i="1"/>
  <c r="M152" i="1"/>
  <c r="M120" i="1"/>
  <c r="M187" i="1"/>
  <c r="M171" i="1"/>
  <c r="M155" i="1"/>
  <c r="M54" i="1"/>
  <c r="M49" i="1"/>
  <c r="M42" i="1"/>
  <c r="M174" i="1"/>
  <c r="M158" i="1"/>
  <c r="M142" i="1"/>
  <c r="M111" i="1"/>
  <c r="M15" i="1"/>
  <c r="M38" i="1"/>
  <c r="M169" i="1"/>
  <c r="M31" i="1"/>
  <c r="M177" i="1"/>
  <c r="M32" i="1"/>
  <c r="M149" i="1"/>
  <c r="M4" i="1"/>
  <c r="M95" i="1"/>
  <c r="M87" i="1"/>
  <c r="M79" i="1"/>
  <c r="M71" i="1"/>
  <c r="M59" i="1"/>
  <c r="M180" i="1"/>
  <c r="M164" i="1"/>
  <c r="M148" i="1"/>
  <c r="M132" i="1"/>
  <c r="M116" i="1"/>
  <c r="M135" i="1"/>
  <c r="M41" i="1"/>
  <c r="M170" i="1"/>
  <c r="M138" i="1"/>
  <c r="M55" i="1"/>
  <c r="M24" i="1"/>
  <c r="M56" i="1"/>
  <c r="M121" i="1"/>
  <c r="M185" i="1"/>
  <c r="M44" i="1"/>
  <c r="M6" i="1"/>
  <c r="M25" i="1"/>
  <c r="M52" i="1"/>
  <c r="M34" i="1"/>
  <c r="M105" i="1"/>
  <c r="M94" i="1"/>
  <c r="M86" i="1"/>
  <c r="M82" i="1"/>
  <c r="M74" i="1"/>
  <c r="M70" i="1"/>
  <c r="M66" i="1"/>
  <c r="M58" i="1"/>
  <c r="M160" i="1"/>
  <c r="M144" i="1"/>
  <c r="M128" i="1"/>
  <c r="M107" i="1"/>
  <c r="M163" i="1"/>
  <c r="M147" i="1"/>
  <c r="M131" i="1"/>
  <c r="M115" i="1"/>
  <c r="M46" i="1"/>
  <c r="M40" i="1"/>
  <c r="M150" i="1"/>
  <c r="M134" i="1"/>
  <c r="M118" i="1"/>
  <c r="M18" i="1"/>
  <c r="M8" i="1"/>
  <c r="M26" i="1"/>
  <c r="M43" i="1"/>
  <c r="M137" i="1"/>
  <c r="M50" i="1"/>
  <c r="L49" i="1"/>
  <c r="L21" i="1"/>
  <c r="L182" i="1"/>
  <c r="L166" i="1"/>
  <c r="L150" i="1"/>
  <c r="L134" i="1"/>
  <c r="L118" i="1"/>
  <c r="L55" i="1"/>
  <c r="L22" i="1"/>
  <c r="L41" i="1"/>
  <c r="M97" i="1"/>
  <c r="M22" i="1"/>
  <c r="M64" i="1"/>
  <c r="M136" i="1"/>
  <c r="M123" i="1"/>
  <c r="M17" i="1"/>
  <c r="M99" i="1"/>
  <c r="M67" i="1"/>
  <c r="M48" i="1"/>
  <c r="M122" i="1"/>
  <c r="M114" i="1"/>
  <c r="M98" i="1"/>
  <c r="M176" i="1"/>
  <c r="M166" i="1"/>
  <c r="K7" i="1"/>
  <c r="N7" i="1" s="1"/>
  <c r="K4" i="1"/>
  <c r="N4" i="1" s="1"/>
  <c r="K183" i="1"/>
  <c r="N183" i="1" s="1"/>
  <c r="K175" i="1"/>
  <c r="N175" i="1" s="1"/>
  <c r="K167" i="1"/>
  <c r="N167" i="1" s="1"/>
  <c r="K159" i="1"/>
  <c r="N159" i="1" s="1"/>
  <c r="K109" i="1"/>
  <c r="N109" i="1" s="1"/>
  <c r="K94" i="1"/>
  <c r="K90" i="1"/>
  <c r="N90" i="1" s="1"/>
  <c r="K86" i="1"/>
  <c r="N86" i="1" s="1"/>
  <c r="K74" i="1"/>
  <c r="N74" i="1" s="1"/>
  <c r="K149" i="1"/>
  <c r="N149" i="1" s="1"/>
  <c r="K133" i="1"/>
  <c r="N133" i="1" s="1"/>
  <c r="K125" i="1"/>
  <c r="N125" i="1" s="1"/>
  <c r="K117" i="1"/>
  <c r="N117" i="1" s="1"/>
  <c r="K105" i="1"/>
  <c r="N105" i="1" s="1"/>
  <c r="K97" i="1"/>
  <c r="K93" i="1"/>
  <c r="N93" i="1" s="1"/>
  <c r="K85" i="1"/>
  <c r="N85" i="1" s="1"/>
  <c r="K182" i="1"/>
  <c r="K174" i="1"/>
  <c r="N174" i="1" s="1"/>
  <c r="K142" i="1"/>
  <c r="N142" i="1" s="1"/>
  <c r="K45" i="1"/>
  <c r="N45" i="1" s="1"/>
  <c r="K64" i="1"/>
  <c r="N64" i="1" s="1"/>
  <c r="K25" i="1"/>
  <c r="N25" i="1" s="1"/>
  <c r="K104" i="1"/>
  <c r="N104" i="1" s="1"/>
  <c r="K100" i="1"/>
  <c r="N100" i="1" s="1"/>
  <c r="K96" i="1"/>
  <c r="N96" i="1" s="1"/>
  <c r="K92" i="1"/>
  <c r="N92" i="1" s="1"/>
  <c r="K88" i="1"/>
  <c r="N88" i="1" s="1"/>
  <c r="K84" i="1"/>
  <c r="N84" i="1" s="1"/>
  <c r="K72" i="1"/>
  <c r="N72" i="1" s="1"/>
  <c r="K68" i="1"/>
  <c r="N68" i="1" s="1"/>
  <c r="K180" i="1"/>
  <c r="N180" i="1" s="1"/>
  <c r="K156" i="1"/>
  <c r="N156" i="1" s="1"/>
  <c r="K140" i="1"/>
  <c r="N140" i="1" s="1"/>
  <c r="K18" i="1"/>
  <c r="N18" i="1" s="1"/>
  <c r="K57" i="1"/>
  <c r="N57" i="1" s="1"/>
  <c r="K37" i="1"/>
  <c r="N37" i="1" s="1"/>
  <c r="K185" i="1"/>
  <c r="N185" i="1" s="1"/>
  <c r="K66" i="1"/>
  <c r="N66" i="1" s="1"/>
  <c r="K111" i="1"/>
  <c r="N111" i="1" s="1"/>
  <c r="K106" i="1"/>
  <c r="N106" i="1" s="1"/>
  <c r="K22" i="1"/>
  <c r="N22" i="1" s="1"/>
  <c r="K34" i="1"/>
  <c r="N34" i="1" s="1"/>
  <c r="K44" i="1"/>
  <c r="N44" i="1" s="1"/>
  <c r="K177" i="1"/>
  <c r="N177" i="1" s="1"/>
  <c r="K145" i="1"/>
  <c r="N145" i="1" s="1"/>
  <c r="K52" i="1"/>
  <c r="N52" i="1" s="1"/>
  <c r="K54" i="1"/>
  <c r="N54" i="1" s="1"/>
  <c r="K42" i="1"/>
  <c r="N42" i="1" s="1"/>
  <c r="K29" i="1"/>
  <c r="N29" i="1" s="1"/>
  <c r="K21" i="1"/>
  <c r="N21" i="1" s="1"/>
  <c r="K30" i="1"/>
  <c r="N30" i="1" s="1"/>
  <c r="K53" i="1"/>
  <c r="N53" i="1" s="1"/>
  <c r="K103" i="1"/>
  <c r="N103" i="1" s="1"/>
  <c r="K87" i="1"/>
  <c r="N87" i="1" s="1"/>
  <c r="K71" i="1"/>
  <c r="N71" i="1" s="1"/>
  <c r="K168" i="1"/>
  <c r="N168" i="1" s="1"/>
  <c r="K58" i="1"/>
  <c r="N58" i="1" s="1"/>
  <c r="K47" i="1"/>
  <c r="N47" i="1" s="1"/>
  <c r="K16" i="1"/>
  <c r="N16" i="1" s="1"/>
  <c r="K19" i="1"/>
  <c r="N19" i="1" s="1"/>
  <c r="K48" i="1"/>
  <c r="N48" i="1" s="1"/>
  <c r="K161" i="1"/>
  <c r="N161" i="1" s="1"/>
  <c r="K99" i="1"/>
  <c r="N99" i="1" s="1"/>
  <c r="K178" i="1"/>
  <c r="N178" i="1" s="1"/>
  <c r="K146" i="1"/>
  <c r="N146" i="1" s="1"/>
  <c r="K26" i="1"/>
  <c r="N26" i="1" s="1"/>
  <c r="K6" i="1"/>
  <c r="K17" i="1"/>
  <c r="N17" i="1" s="1"/>
  <c r="K61" i="1"/>
  <c r="N61" i="1" s="1"/>
  <c r="T47" i="1"/>
  <c r="L119" i="1"/>
  <c r="L6" i="1"/>
  <c r="N97" i="1" l="1"/>
  <c r="K32" i="1"/>
  <c r="N32" i="1" s="1"/>
  <c r="K114" i="1"/>
  <c r="N114" i="1" s="1"/>
  <c r="K33" i="1"/>
  <c r="N33" i="1" s="1"/>
  <c r="K152" i="1"/>
  <c r="N152" i="1" s="1"/>
  <c r="K108" i="1"/>
  <c r="N108" i="1" s="1"/>
  <c r="K11" i="1"/>
  <c r="N11" i="1" s="1"/>
  <c r="K138" i="1"/>
  <c r="N138" i="1" s="1"/>
  <c r="K40" i="1"/>
  <c r="N40" i="1" s="1"/>
  <c r="K128" i="1"/>
  <c r="N128" i="1" s="1"/>
  <c r="K79" i="1"/>
  <c r="N79" i="1" s="1"/>
  <c r="K49" i="1"/>
  <c r="N49" i="1" s="1"/>
  <c r="K60" i="1"/>
  <c r="N60" i="1" s="1"/>
  <c r="K124" i="1"/>
  <c r="N124" i="1" s="1"/>
  <c r="K172" i="1"/>
  <c r="N172" i="1" s="1"/>
  <c r="K115" i="1"/>
  <c r="N115" i="1" s="1"/>
  <c r="K147" i="1"/>
  <c r="N147" i="1" s="1"/>
  <c r="K179" i="1"/>
  <c r="N179" i="1" s="1"/>
  <c r="K59" i="1"/>
  <c r="N59" i="1" s="1"/>
  <c r="K126" i="1"/>
  <c r="N126" i="1" s="1"/>
  <c r="K166" i="1"/>
  <c r="N166" i="1" s="1"/>
  <c r="K77" i="1"/>
  <c r="N77" i="1" s="1"/>
  <c r="K141" i="1"/>
  <c r="N141" i="1" s="1"/>
  <c r="K181" i="1"/>
  <c r="N181" i="1" s="1"/>
  <c r="K82" i="1"/>
  <c r="N82" i="1" s="1"/>
  <c r="K127" i="1"/>
  <c r="N127" i="1" s="1"/>
  <c r="N182" i="1"/>
  <c r="N94" i="1"/>
  <c r="K130" i="1"/>
  <c r="N130" i="1" s="1"/>
  <c r="K129" i="1"/>
  <c r="N129" i="1" s="1"/>
  <c r="K46" i="1"/>
  <c r="N46" i="1" s="1"/>
  <c r="K23" i="1"/>
  <c r="N23" i="1" s="1"/>
  <c r="K184" i="1"/>
  <c r="N184" i="1" s="1"/>
  <c r="K55" i="1"/>
  <c r="N55" i="1" s="1"/>
  <c r="K8" i="1"/>
  <c r="N8" i="1" s="1"/>
  <c r="K154" i="1"/>
  <c r="N154" i="1" s="1"/>
  <c r="K91" i="1"/>
  <c r="N91" i="1" s="1"/>
  <c r="K20" i="1"/>
  <c r="N20" i="1" s="1"/>
  <c r="K144" i="1"/>
  <c r="N144" i="1" s="1"/>
  <c r="K95" i="1"/>
  <c r="N95" i="1" s="1"/>
  <c r="K31" i="1"/>
  <c r="N31" i="1" s="1"/>
  <c r="K43" i="1"/>
  <c r="N43" i="1" s="1"/>
  <c r="K132" i="1"/>
  <c r="N132" i="1" s="1"/>
  <c r="K188" i="1"/>
  <c r="N188" i="1" s="1"/>
  <c r="K123" i="1"/>
  <c r="N123" i="1" s="1"/>
  <c r="K155" i="1"/>
  <c r="N155" i="1" s="1"/>
  <c r="K187" i="1"/>
  <c r="N187" i="1" s="1"/>
  <c r="K56" i="1"/>
  <c r="N56" i="1" s="1"/>
  <c r="K134" i="1"/>
  <c r="N134" i="1" s="1"/>
  <c r="K81" i="1"/>
  <c r="N81" i="1" s="1"/>
  <c r="K157" i="1"/>
  <c r="N157" i="1" s="1"/>
  <c r="K189" i="1"/>
  <c r="N189" i="1" s="1"/>
  <c r="K98" i="1"/>
  <c r="N98" i="1" s="1"/>
  <c r="K135" i="1"/>
  <c r="N135" i="1" s="1"/>
  <c r="K13" i="1"/>
  <c r="N13" i="1" s="1"/>
  <c r="K38" i="1"/>
  <c r="N38" i="1" s="1"/>
  <c r="K162" i="1"/>
  <c r="N162" i="1" s="1"/>
  <c r="K24" i="1"/>
  <c r="N24" i="1" s="1"/>
  <c r="K120" i="1"/>
  <c r="N120" i="1" s="1"/>
  <c r="K137" i="1"/>
  <c r="N137" i="1" s="1"/>
  <c r="K170" i="1"/>
  <c r="N170" i="1" s="1"/>
  <c r="K14" i="1"/>
  <c r="N14" i="1" s="1"/>
  <c r="K160" i="1"/>
  <c r="N160" i="1" s="1"/>
  <c r="K121" i="1"/>
  <c r="N121" i="1" s="1"/>
  <c r="K27" i="1"/>
  <c r="N27" i="1" s="1"/>
  <c r="K110" i="1"/>
  <c r="N110" i="1" s="1"/>
  <c r="K148" i="1"/>
  <c r="N148" i="1" s="1"/>
  <c r="K76" i="1"/>
  <c r="N76" i="1" s="1"/>
  <c r="K131" i="1"/>
  <c r="N131" i="1" s="1"/>
  <c r="K163" i="1"/>
  <c r="N163" i="1" s="1"/>
  <c r="K36" i="1"/>
  <c r="N36" i="1" s="1"/>
  <c r="K107" i="1"/>
  <c r="N107" i="1" s="1"/>
  <c r="K150" i="1"/>
  <c r="N150" i="1" s="1"/>
  <c r="K69" i="1"/>
  <c r="N69" i="1" s="1"/>
  <c r="K89" i="1"/>
  <c r="N89" i="1" s="1"/>
  <c r="K165" i="1"/>
  <c r="N165" i="1" s="1"/>
  <c r="K70" i="1"/>
  <c r="N70" i="1" s="1"/>
  <c r="K102" i="1"/>
  <c r="N102" i="1" s="1"/>
  <c r="K143" i="1"/>
  <c r="N143" i="1" s="1"/>
  <c r="AA57" i="1"/>
  <c r="N6" i="1"/>
  <c r="K67" i="1"/>
  <c r="N67" i="1" s="1"/>
  <c r="K41" i="1"/>
  <c r="N41" i="1" s="1"/>
  <c r="K50" i="1"/>
  <c r="N50" i="1" s="1"/>
  <c r="K136" i="1"/>
  <c r="N136" i="1" s="1"/>
  <c r="K169" i="1"/>
  <c r="N169" i="1" s="1"/>
  <c r="K28" i="1"/>
  <c r="N28" i="1" s="1"/>
  <c r="K122" i="1"/>
  <c r="N122" i="1" s="1"/>
  <c r="K186" i="1"/>
  <c r="N186" i="1" s="1"/>
  <c r="K63" i="1"/>
  <c r="N63" i="1" s="1"/>
  <c r="K153" i="1"/>
  <c r="N153" i="1" s="1"/>
  <c r="K5" i="1"/>
  <c r="N5" i="1" s="1"/>
  <c r="K116" i="1"/>
  <c r="N116" i="1" s="1"/>
  <c r="K164" i="1"/>
  <c r="N164" i="1" s="1"/>
  <c r="K80" i="1"/>
  <c r="N80" i="1" s="1"/>
  <c r="K139" i="1"/>
  <c r="N139" i="1" s="1"/>
  <c r="K171" i="1"/>
  <c r="N171" i="1" s="1"/>
  <c r="K15" i="1"/>
  <c r="N15" i="1" s="1"/>
  <c r="K118" i="1"/>
  <c r="N118" i="1" s="1"/>
  <c r="K158" i="1"/>
  <c r="N158" i="1" s="1"/>
  <c r="K73" i="1"/>
  <c r="N73" i="1" s="1"/>
  <c r="K101" i="1"/>
  <c r="N101" i="1" s="1"/>
  <c r="K78" i="1"/>
  <c r="N78" i="1" s="1"/>
</calcChain>
</file>

<file path=xl/sharedStrings.xml><?xml version="1.0" encoding="utf-8"?>
<sst xmlns="http://schemas.openxmlformats.org/spreadsheetml/2006/main" count="1739" uniqueCount="268">
  <si>
    <t>Prediksi</t>
  </si>
  <si>
    <t>Nama/Kode balita</t>
  </si>
  <si>
    <t>JK</t>
  </si>
  <si>
    <t xml:space="preserve">Umur </t>
  </si>
  <si>
    <t xml:space="preserve">Berat </t>
  </si>
  <si>
    <t>Tinggi</t>
  </si>
  <si>
    <t>BB/U</t>
  </si>
  <si>
    <t>TB/U</t>
  </si>
  <si>
    <t>Status Gizi</t>
  </si>
  <si>
    <t>Status ASI Ekslusif</t>
  </si>
  <si>
    <t>Status Stunting</t>
  </si>
  <si>
    <t>Stunting</t>
  </si>
  <si>
    <t>Potensi Stunting</t>
  </si>
  <si>
    <t>Tidak</t>
  </si>
  <si>
    <t>Hasil</t>
  </si>
  <si>
    <t>anonymus0747</t>
  </si>
  <si>
    <t>L</t>
  </si>
  <si>
    <t>35-69 Bulan</t>
  </si>
  <si>
    <t>Sangat Kurang</t>
  </si>
  <si>
    <t>Sangat Pendek</t>
  </si>
  <si>
    <t>Gizi Buruk</t>
  </si>
  <si>
    <t>anonymus0748</t>
  </si>
  <si>
    <t>P</t>
  </si>
  <si>
    <t>Normal</t>
  </si>
  <si>
    <t>Gizi Baik</t>
  </si>
  <si>
    <t>Ya</t>
  </si>
  <si>
    <t>anonymus0749</t>
  </si>
  <si>
    <t>1-34 Bulan</t>
  </si>
  <si>
    <t>9.5</t>
  </si>
  <si>
    <t>Kurang</t>
  </si>
  <si>
    <t>anonymus0750</t>
  </si>
  <si>
    <t>13.6</t>
  </si>
  <si>
    <t>anonymus0751</t>
  </si>
  <si>
    <t>Gizi Kurang</t>
  </si>
  <si>
    <t>anonymus0752</t>
  </si>
  <si>
    <t>Pendek</t>
  </si>
  <si>
    <t>anonymus0753</t>
  </si>
  <si>
    <t>11.1</t>
  </si>
  <si>
    <t>anonymus0754</t>
  </si>
  <si>
    <t>anonymus0755</t>
  </si>
  <si>
    <t>5.2</t>
  </si>
  <si>
    <t>Risiko Gizi Lebih</t>
  </si>
  <si>
    <t>anonymus0756</t>
  </si>
  <si>
    <t>anonymus0757</t>
  </si>
  <si>
    <t>anonymus0758</t>
  </si>
  <si>
    <t>anonymus0759</t>
  </si>
  <si>
    <t>anonymus0760</t>
  </si>
  <si>
    <t>anonymus0761</t>
  </si>
  <si>
    <t>Risiko Lebih</t>
  </si>
  <si>
    <t>Gizi Lebih</t>
  </si>
  <si>
    <t>anonymus0762</t>
  </si>
  <si>
    <t>anonymus0763</t>
  </si>
  <si>
    <t>anonymus0764</t>
  </si>
  <si>
    <t>anonymus0765</t>
  </si>
  <si>
    <t>anonymus0766</t>
  </si>
  <si>
    <t>anonymus0767</t>
  </si>
  <si>
    <t>anonymus0768</t>
  </si>
  <si>
    <t>anonymus0769</t>
  </si>
  <si>
    <t>anonymus0770</t>
  </si>
  <si>
    <t>anonymus0771</t>
  </si>
  <si>
    <t>anonymus0772</t>
  </si>
  <si>
    <t>anonymus0773</t>
  </si>
  <si>
    <t>anonymus0774</t>
  </si>
  <si>
    <t>12.2</t>
  </si>
  <si>
    <t>anonymus0775</t>
  </si>
  <si>
    <t>anonymus0776</t>
  </si>
  <si>
    <t>anonymus0777</t>
  </si>
  <si>
    <t>13.4</t>
  </si>
  <si>
    <t>anonymus0778</t>
  </si>
  <si>
    <t>13.2</t>
  </si>
  <si>
    <t>anonymus0779</t>
  </si>
  <si>
    <t>10.3</t>
  </si>
  <si>
    <t>anonymus0780</t>
  </si>
  <si>
    <t>anonymus0781</t>
  </si>
  <si>
    <t>anonymus0782</t>
  </si>
  <si>
    <t>anonymus0783</t>
  </si>
  <si>
    <t>anonymus0784</t>
  </si>
  <si>
    <t>8.7</t>
  </si>
  <si>
    <t>anonymus0785</t>
  </si>
  <si>
    <t>14.5</t>
  </si>
  <si>
    <t>anonymus0786</t>
  </si>
  <si>
    <t>anonymus0787</t>
  </si>
  <si>
    <t>anonymus0788</t>
  </si>
  <si>
    <t>anonymus0789</t>
  </si>
  <si>
    <t>5.4</t>
  </si>
  <si>
    <t>anonymus0790</t>
  </si>
  <si>
    <t>anonymus0791</t>
  </si>
  <si>
    <t>anonymus0792</t>
  </si>
  <si>
    <t>anonymus0793</t>
  </si>
  <si>
    <t>anonymus0794</t>
  </si>
  <si>
    <t>15.3</t>
  </si>
  <si>
    <t>anonymus0795</t>
  </si>
  <si>
    <t>anonymus0796</t>
  </si>
  <si>
    <t>anonymus0797</t>
  </si>
  <si>
    <t>anonymus0798</t>
  </si>
  <si>
    <t>12.9</t>
  </si>
  <si>
    <t>anonymus0799</t>
  </si>
  <si>
    <t>anonymus0800</t>
  </si>
  <si>
    <t>anonymus0801</t>
  </si>
  <si>
    <t>anonymus0802</t>
  </si>
  <si>
    <t>anonymus0803</t>
  </si>
  <si>
    <t>anonymus0804</t>
  </si>
  <si>
    <t>anonymus0805</t>
  </si>
  <si>
    <t>16.2</t>
  </si>
  <si>
    <t>anonymus0806</t>
  </si>
  <si>
    <t>anonymus0807</t>
  </si>
  <si>
    <t>anonymus0808</t>
  </si>
  <si>
    <t>anonymus0809</t>
  </si>
  <si>
    <t>anonymus0810</t>
  </si>
  <si>
    <t>anonymus0811</t>
  </si>
  <si>
    <t>anonymus0812</t>
  </si>
  <si>
    <t>anonymus0813</t>
  </si>
  <si>
    <t>anonymus0814</t>
  </si>
  <si>
    <t>9.2</t>
  </si>
  <si>
    <t>anonymus0815</t>
  </si>
  <si>
    <t>anonymus0816</t>
  </si>
  <si>
    <t>anonymus0817</t>
  </si>
  <si>
    <t>14.8</t>
  </si>
  <si>
    <t>anonymus0818</t>
  </si>
  <si>
    <t>anonymus0819</t>
  </si>
  <si>
    <t>anonymus0820</t>
  </si>
  <si>
    <t>anonymus0821</t>
  </si>
  <si>
    <t>anonymus0822</t>
  </si>
  <si>
    <t>anonymus0823</t>
  </si>
  <si>
    <t>anonymus0824</t>
  </si>
  <si>
    <t>anonymus0825</t>
  </si>
  <si>
    <t>12.5</t>
  </si>
  <si>
    <t>anonymus0826</t>
  </si>
  <si>
    <t>anonymus0827</t>
  </si>
  <si>
    <t>anonymus0828</t>
  </si>
  <si>
    <t>anonymus0829</t>
  </si>
  <si>
    <t>anonymus0830</t>
  </si>
  <si>
    <t>7.2</t>
  </si>
  <si>
    <t>anonymus0831</t>
  </si>
  <si>
    <t>anonymus0832</t>
  </si>
  <si>
    <t>anonymus0833</t>
  </si>
  <si>
    <t>anonymus0834</t>
  </si>
  <si>
    <t>anonymus0835</t>
  </si>
  <si>
    <t>anonymus0836</t>
  </si>
  <si>
    <t>anonymus0837</t>
  </si>
  <si>
    <t>anonymus0838</t>
  </si>
  <si>
    <t>anonymus0839</t>
  </si>
  <si>
    <t>anonymus0840</t>
  </si>
  <si>
    <t>anonymus0841</t>
  </si>
  <si>
    <t>anonymus0842</t>
  </si>
  <si>
    <t>anonymus0843</t>
  </si>
  <si>
    <t>anonymus0844</t>
  </si>
  <si>
    <t>9.4</t>
  </si>
  <si>
    <t>anonymus0845</t>
  </si>
  <si>
    <t>anonymus0846</t>
  </si>
  <si>
    <t>anonymus0847</t>
  </si>
  <si>
    <t>anonymus0848</t>
  </si>
  <si>
    <t>10.4</t>
  </si>
  <si>
    <t>anonymus0849</t>
  </si>
  <si>
    <t>anonymus0850</t>
  </si>
  <si>
    <t>anonymus0851</t>
  </si>
  <si>
    <t>anonymus0852</t>
  </si>
  <si>
    <t>anonymus0853</t>
  </si>
  <si>
    <t>anonymus0854</t>
  </si>
  <si>
    <t>17.4</t>
  </si>
  <si>
    <t>anonymus0855</t>
  </si>
  <si>
    <t>anonymus0856</t>
  </si>
  <si>
    <t>anonymus0857</t>
  </si>
  <si>
    <t>anonymus0858</t>
  </si>
  <si>
    <t>anonymus0859</t>
  </si>
  <si>
    <t>14.3</t>
  </si>
  <si>
    <t>anonymus0860</t>
  </si>
  <si>
    <t>anonymus0861</t>
  </si>
  <si>
    <t>anonymus0862</t>
  </si>
  <si>
    <t>16.9</t>
  </si>
  <si>
    <t>anonymus0863</t>
  </si>
  <si>
    <t>anonymus0864</t>
  </si>
  <si>
    <t>anonymus0865</t>
  </si>
  <si>
    <t>anonymus0866</t>
  </si>
  <si>
    <t>anonymus0867</t>
  </si>
  <si>
    <t>anonymus0868</t>
  </si>
  <si>
    <t>anonymus0869</t>
  </si>
  <si>
    <t>anonymus0870</t>
  </si>
  <si>
    <t>anonymus0871</t>
  </si>
  <si>
    <t>anonymus0872</t>
  </si>
  <si>
    <t>anonymus0873</t>
  </si>
  <si>
    <t>13.5</t>
  </si>
  <si>
    <t>anonymus0874</t>
  </si>
  <si>
    <t>anonymus0875</t>
  </si>
  <si>
    <t>anonymus0876</t>
  </si>
  <si>
    <t>anonymus0877</t>
  </si>
  <si>
    <t>anonymus0878</t>
  </si>
  <si>
    <t>anonymus0879</t>
  </si>
  <si>
    <t>anonymus0880</t>
  </si>
  <si>
    <t>anonymus0881</t>
  </si>
  <si>
    <t>12.1</t>
  </si>
  <si>
    <t>anonymus0882</t>
  </si>
  <si>
    <t>16.5</t>
  </si>
  <si>
    <t>anonymus0883</t>
  </si>
  <si>
    <t>18.2</t>
  </si>
  <si>
    <t>anonymus0884</t>
  </si>
  <si>
    <t>anonymus0885</t>
  </si>
  <si>
    <t>anonymus0886</t>
  </si>
  <si>
    <t>anonymus0887</t>
  </si>
  <si>
    <t>anonymus0888</t>
  </si>
  <si>
    <t>anonymus0889</t>
  </si>
  <si>
    <t>14.4</t>
  </si>
  <si>
    <t>anonymus0890</t>
  </si>
  <si>
    <t>anonymus0891</t>
  </si>
  <si>
    <t>anonymus0892</t>
  </si>
  <si>
    <t>anonymus0893</t>
  </si>
  <si>
    <t>9.3</t>
  </si>
  <si>
    <t>anonymus0894</t>
  </si>
  <si>
    <t>15.7</t>
  </si>
  <si>
    <t>anonymus0895</t>
  </si>
  <si>
    <t>19.6</t>
  </si>
  <si>
    <t>anonymus0896</t>
  </si>
  <si>
    <t>14.9</t>
  </si>
  <si>
    <t>anonymus0897</t>
  </si>
  <si>
    <t>18.3</t>
  </si>
  <si>
    <t>anonymus0898</t>
  </si>
  <si>
    <t>anonymus0899</t>
  </si>
  <si>
    <t>anonymus0900</t>
  </si>
  <si>
    <t>anonymus0901</t>
  </si>
  <si>
    <t>anonymus0902</t>
  </si>
  <si>
    <t>anonymus0903</t>
  </si>
  <si>
    <t>anonymus0904</t>
  </si>
  <si>
    <t>anonymus0905</t>
  </si>
  <si>
    <t>anonymus0906</t>
  </si>
  <si>
    <t>anonymus0907</t>
  </si>
  <si>
    <t>anonymus0908</t>
  </si>
  <si>
    <t>anonymus0909</t>
  </si>
  <si>
    <t>anonymus0910</t>
  </si>
  <si>
    <t>anonymus0911</t>
  </si>
  <si>
    <t>anonymus0912</t>
  </si>
  <si>
    <t>anonymus0913</t>
  </si>
  <si>
    <t>anonymus0914</t>
  </si>
  <si>
    <t>anonymus0915</t>
  </si>
  <si>
    <t>anonymus0916</t>
  </si>
  <si>
    <t>anonymus0917</t>
  </si>
  <si>
    <t>anonymus0918</t>
  </si>
  <si>
    <t>anonymus0919</t>
  </si>
  <si>
    <t>anonymus0920</t>
  </si>
  <si>
    <t>13.3</t>
  </si>
  <si>
    <t>anonymus0921</t>
  </si>
  <si>
    <t>anonymus0922</t>
  </si>
  <si>
    <t>anonymus0923</t>
  </si>
  <si>
    <t>anonymus0924</t>
  </si>
  <si>
    <t>18.6</t>
  </si>
  <si>
    <t>anonymus0925</t>
  </si>
  <si>
    <t>10.1</t>
  </si>
  <si>
    <t>anonymus0926</t>
  </si>
  <si>
    <t>anonymus0927</t>
  </si>
  <si>
    <t>anonymus0928</t>
  </si>
  <si>
    <t>16.4</t>
  </si>
  <si>
    <t>anonymus0929</t>
  </si>
  <si>
    <t>anonymus0930</t>
  </si>
  <si>
    <t>7.4</t>
  </si>
  <si>
    <t>anonymus0931</t>
  </si>
  <si>
    <t>anonymus0932</t>
  </si>
  <si>
    <t>anonymus0933</t>
  </si>
  <si>
    <t>Jumlah Data</t>
  </si>
  <si>
    <t>Jumlah kejadian</t>
  </si>
  <si>
    <t>Probabilitas</t>
  </si>
  <si>
    <t>Jenis Kelamin</t>
  </si>
  <si>
    <t>Potensi Stuting</t>
  </si>
  <si>
    <t>Laki-laki</t>
  </si>
  <si>
    <t>Perempuan</t>
  </si>
  <si>
    <t>Umur</t>
  </si>
  <si>
    <t>Risiko lebih</t>
  </si>
  <si>
    <t>Status Asi Ekslusif</t>
  </si>
  <si>
    <t>Hasil Prediksi</t>
  </si>
  <si>
    <t>anonymus0001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</si>
</sst>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39988402966399123"/>
        <bgColor rgb="FFF8CBAD"/>
      </patternFill>
    </fill>
    <fill>
      <patternFill patternType="solid">
        <fgColor theme="4" tint="0.59987182226020086"/>
        <bgColor rgb="FFBDD7EE"/>
      </patternFill>
    </fill>
    <fill>
      <patternFill patternType="solid">
        <fgColor theme="5" tint="0.59987182226020086"/>
        <bgColor rgb="FFFCE4D6"/>
      </patternFill>
    </fill>
    <fill>
      <patternFill patternType="solid">
        <fgColor theme="9" tint="0.39988402966399123"/>
        <bgColor rgb="FFB4C7E7"/>
      </patternFill>
    </fill>
    <fill>
      <patternFill patternType="solid">
        <fgColor rgb="FFFFFF00"/>
        <bgColor rgb="FFFFCC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1" fillId="0" borderId="4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3F11-3AFE-457C-AB58-32CCF6457A51}">
  <dimension ref="A1:AO190"/>
  <sheetViews>
    <sheetView tabSelected="1" zoomScale="63" workbookViewId="0">
      <selection activeCell="J11" sqref="J11"/>
    </sheetView>
  </sheetViews>
  <sheetFormatPr defaultColWidth="9.140625" defaultRowHeight="15" x14ac:dyDescent="0.25"/>
  <cols>
    <col min="1" max="1" width="16.140625" style="1" customWidth="1"/>
    <col min="2" max="2" width="9.140625" style="1"/>
    <col min="3" max="3" width="14.85546875" style="1" customWidth="1"/>
    <col min="4" max="5" width="9.140625" style="1"/>
    <col min="6" max="6" width="14.85546875" style="1" customWidth="1"/>
    <col min="7" max="7" width="19.85546875" style="1" customWidth="1"/>
    <col min="8" max="8" width="17.140625" style="1" customWidth="1"/>
    <col min="9" max="9" width="21" style="1" customWidth="1"/>
    <col min="10" max="10" width="20.140625" style="1" customWidth="1"/>
    <col min="11" max="11" width="23.42578125" style="3" customWidth="1"/>
    <col min="12" max="14" width="20.140625" style="3" customWidth="1"/>
    <col min="15" max="15" width="9.140625" style="1"/>
    <col min="16" max="16" width="17.5703125" style="1" customWidth="1"/>
    <col min="17" max="17" width="9.140625" style="1"/>
    <col min="18" max="18" width="17.7109375" style="1" customWidth="1"/>
    <col min="19" max="19" width="9.140625" style="1"/>
    <col min="20" max="20" width="17.7109375" style="1" customWidth="1"/>
    <col min="21" max="21" width="15.85546875" style="1" customWidth="1"/>
    <col min="22" max="22" width="10.28515625" style="1" customWidth="1"/>
    <col min="23" max="23" width="13" style="1" customWidth="1"/>
    <col min="24" max="24" width="17.28515625" style="1" customWidth="1"/>
    <col min="25" max="25" width="9.140625" style="1"/>
    <col min="26" max="26" width="13.42578125" style="1" customWidth="1"/>
    <col min="27" max="27" width="16.5703125" style="1" customWidth="1"/>
    <col min="28" max="28" width="17.5703125" style="1" customWidth="1"/>
    <col min="29" max="29" width="9.140625" style="1"/>
    <col min="30" max="30" width="6" style="1" customWidth="1"/>
    <col min="31" max="31" width="16.42578125" style="1" customWidth="1"/>
    <col min="32" max="32" width="17.7109375" style="1" customWidth="1"/>
    <col min="33" max="34" width="9.140625" style="1"/>
    <col min="35" max="35" width="13" style="1" customWidth="1"/>
    <col min="36" max="36" width="20" style="1" customWidth="1"/>
    <col min="37" max="39" width="9.140625" style="1"/>
    <col min="40" max="40" width="17.7109375" style="1" customWidth="1"/>
    <col min="41" max="16384" width="9.140625" style="1"/>
  </cols>
  <sheetData>
    <row r="1" spans="1:41" ht="15" customHeight="1" x14ac:dyDescent="0.25">
      <c r="K1" s="2" t="s">
        <v>0</v>
      </c>
      <c r="L1" s="9"/>
      <c r="M1" s="10"/>
    </row>
    <row r="2" spans="1:41" ht="15.7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AI2" s="1" t="s">
        <v>8</v>
      </c>
    </row>
    <row r="3" spans="1:41" ht="15.75" customHeight="1" x14ac:dyDescent="0.25">
      <c r="A3" s="6" t="s">
        <v>15</v>
      </c>
      <c r="B3" s="6" t="s">
        <v>16</v>
      </c>
      <c r="C3" s="6" t="s">
        <v>17</v>
      </c>
      <c r="D3" s="6">
        <v>7.9</v>
      </c>
      <c r="E3" s="6">
        <v>80</v>
      </c>
      <c r="F3" s="6" t="s">
        <v>18</v>
      </c>
      <c r="G3" s="6" t="s">
        <v>19</v>
      </c>
      <c r="H3" s="6" t="s">
        <v>20</v>
      </c>
      <c r="I3" s="6" t="s">
        <v>13</v>
      </c>
      <c r="J3" s="7" t="s">
        <v>11</v>
      </c>
      <c r="K3" s="6">
        <f t="shared" ref="K3:K66" si="0">($Q$4/$Q$3)*(IF(B3="L",$T$15,$T$16))*(IF(C3="1-34 Bulan",$T$21,$T$22))*(IF(F3="Risiko Lebih",$T$27,IF(F3="Normal",$T$28,IF(F3="Kurang",$T$29,$T$30))))*(IF(G3="Normal",$T$35,IF(G3="Pendek",$T$36,$T$37)))*(IF(H3="Gizi Buruk",$T$42,IF(H3="Gizi Lebih",$T$43,IF(H3="Risiko Gizi Lebih",$T$44,IF(H3="Gizi Baik",$T$45,$T$46)))))*(IF(I3="Ya",$T$51,$T$52))</f>
        <v>2.6771241830065356E-3</v>
      </c>
      <c r="L3" s="6">
        <f t="shared" ref="L3:L66" si="1">($Q$5/$Q$3)*(IF(B3="L",$U$15,$U$16))*(IF(C3="1-34 Bulan",$U$21,$U$22))*(IF(F3="Risiko Lebih",$U$27,IF(F3="Normal",$U$28,IF(F3="Kurang",$U$29,$U$30))))*(IF(G3="Normal",$U$35,IF(G3="Pendek",$U$36,$U$37)))*(IF(H3="Gizi Buruk",$U$42,IF(H3="Gizi Lebih",$U$43,IF(H3="Risiko Gizi Lebih",$U$44,IF(H3="Gizi Baik",$U$45,$U$46)))))*(IF(I3="Ya",$U$51,$U$52))</f>
        <v>3.7859697021826299E-6</v>
      </c>
      <c r="M3" s="6">
        <f t="shared" ref="M3:M66" si="2">($Q$6/$Q$3)*(IF(B3="L",$V$15,$V$16))*(IF(C3="1-34 Bulan",$V$21,$V$22))*(IF(F3="Risiko Lebih",$V$27,IF(F3="Normal",$V$28,IF(F3="Kurang",$V$29,$V$30))))*(IF(G3="Normal",$V$35,IF(G3="Pendek",$V$36,$V$37)))*(IF(H3="Gizi Buruk",$V$42,IF(H3="Gizi Lebih",$V$43,IF(H3="Risiko Gizi Lebih",$V$44,IF(H3="Gizi Baik",$V$45,$V$46)))))*(IF(I3="Ya",$V$51,$V$52))</f>
        <v>2.1256458135873787E-9</v>
      </c>
      <c r="N3" s="6" t="str">
        <f t="shared" ref="N3:N66" si="3">IF(K3=MAX(K3,L3,M3),"Stunting",IF(L3=MAX(K3,L3,M3),"Potensi Stunting","Tidak"))</f>
        <v>Stunting</v>
      </c>
      <c r="P3" s="11" t="s">
        <v>256</v>
      </c>
      <c r="Q3" s="3">
        <f>SUM(Q4:Q6)</f>
        <v>187</v>
      </c>
      <c r="S3" s="12" t="s">
        <v>16</v>
      </c>
      <c r="T3" s="13" t="s">
        <v>11</v>
      </c>
      <c r="U3" s="3">
        <f>COUNTIFS(B3:B189,"L",J3:J189,"Stunting")</f>
        <v>11</v>
      </c>
      <c r="W3" s="3" t="s">
        <v>27</v>
      </c>
      <c r="X3" s="13" t="s">
        <v>11</v>
      </c>
      <c r="Y3" s="3">
        <f>COUNTIFS(C3:C748,"1-34 Bulan",J3:J748,"Stunting")</f>
        <v>6</v>
      </c>
      <c r="AA3" s="3" t="s">
        <v>48</v>
      </c>
      <c r="AB3" s="13" t="s">
        <v>11</v>
      </c>
      <c r="AC3" s="3">
        <f>COUNTIFS(F3:F748,"Risiko Lebih",J3:J748,"Stunting")</f>
        <v>2</v>
      </c>
      <c r="AE3" s="3" t="s">
        <v>23</v>
      </c>
      <c r="AF3" s="13" t="s">
        <v>11</v>
      </c>
      <c r="AG3" s="3">
        <f>COUNTIFS(G3:G748,"Normal",J3:J748,"Stunting")</f>
        <v>1</v>
      </c>
      <c r="AI3" s="8" t="s">
        <v>20</v>
      </c>
      <c r="AJ3" s="14" t="s">
        <v>11</v>
      </c>
      <c r="AK3" s="15">
        <f>COUNTIFS(H3:H748,"Gizi Buruk",J3:J748,"Stunting")</f>
        <v>5</v>
      </c>
      <c r="AM3" s="8" t="s">
        <v>25</v>
      </c>
      <c r="AN3" s="14" t="s">
        <v>11</v>
      </c>
      <c r="AO3" s="15">
        <f>COUNTIFS(I3:I748,"Ya",J3:J748,"Stunting")</f>
        <v>3</v>
      </c>
    </row>
    <row r="4" spans="1:41" ht="15.75" customHeight="1" x14ac:dyDescent="0.25">
      <c r="A4" s="6" t="s">
        <v>21</v>
      </c>
      <c r="B4" s="6" t="s">
        <v>22</v>
      </c>
      <c r="C4" s="6" t="s">
        <v>17</v>
      </c>
      <c r="D4" s="6">
        <v>11.3</v>
      </c>
      <c r="E4" s="6">
        <v>115</v>
      </c>
      <c r="F4" s="6" t="s">
        <v>23</v>
      </c>
      <c r="G4" s="6" t="s">
        <v>23</v>
      </c>
      <c r="H4" s="6" t="s">
        <v>24</v>
      </c>
      <c r="I4" s="6" t="s">
        <v>25</v>
      </c>
      <c r="J4" s="7" t="s">
        <v>13</v>
      </c>
      <c r="K4" s="6">
        <f t="shared" si="0"/>
        <v>3.042186571598336E-6</v>
      </c>
      <c r="L4" s="6">
        <f t="shared" si="1"/>
        <v>4.2402860664445452E-4</v>
      </c>
      <c r="M4" s="8">
        <f t="shared" si="2"/>
        <v>8.1880922843730039E-2</v>
      </c>
      <c r="N4" s="6" t="str">
        <f t="shared" si="3"/>
        <v>Tidak</v>
      </c>
      <c r="P4" s="11" t="s">
        <v>11</v>
      </c>
      <c r="Q4" s="3">
        <f>COUNTIF(J3:J189, "Stunting")</f>
        <v>15</v>
      </c>
      <c r="S4" s="3">
        <f>COUNTIF(B3:B748, "L")</f>
        <v>115</v>
      </c>
      <c r="T4" s="13" t="s">
        <v>12</v>
      </c>
      <c r="U4" s="3">
        <f>COUNTIFS(B3:B189,"L",J3:J189,"Potensi Stunting")</f>
        <v>15</v>
      </c>
      <c r="W4" s="3"/>
      <c r="X4" s="13" t="s">
        <v>12</v>
      </c>
      <c r="Y4" s="3">
        <f>COUNTIFS(C3:C748,"1-34 Bulan",J3:J748,"Potensi Stunting")</f>
        <v>14</v>
      </c>
      <c r="AA4" s="3"/>
      <c r="AB4" s="13" t="s">
        <v>12</v>
      </c>
      <c r="AC4" s="3">
        <f>COUNTIFS(F3:F748,"Risiko Lebih",J3:J748,"Potensi Stunting")</f>
        <v>3</v>
      </c>
      <c r="AE4" s="3"/>
      <c r="AF4" s="13" t="s">
        <v>12</v>
      </c>
      <c r="AG4" s="3">
        <f>COUNTIFS(G3:G748,"Normal",J3:J748,"Potensi Stunting")</f>
        <v>3</v>
      </c>
      <c r="AI4" s="8"/>
      <c r="AJ4" s="14" t="s">
        <v>12</v>
      </c>
      <c r="AK4" s="15">
        <f>COUNTIFS(H3:H748,"Gizi Buruk",J3:J748,"Potensi Stunting")</f>
        <v>2</v>
      </c>
      <c r="AM4" s="8"/>
      <c r="AN4" s="14" t="s">
        <v>12</v>
      </c>
      <c r="AO4" s="15">
        <f>COUNTIFS(I3:I748,"Ya",J3:J748,"Potensi Stunting")</f>
        <v>20</v>
      </c>
    </row>
    <row r="5" spans="1:41" ht="15.75" customHeight="1" x14ac:dyDescent="0.25">
      <c r="A5" s="6" t="s">
        <v>26</v>
      </c>
      <c r="B5" s="6" t="s">
        <v>16</v>
      </c>
      <c r="C5" s="6" t="s">
        <v>27</v>
      </c>
      <c r="D5" s="6" t="s">
        <v>28</v>
      </c>
      <c r="E5" s="6">
        <v>81</v>
      </c>
      <c r="F5" s="6" t="s">
        <v>29</v>
      </c>
      <c r="G5" s="6" t="s">
        <v>19</v>
      </c>
      <c r="H5" s="6" t="s">
        <v>24</v>
      </c>
      <c r="I5" s="6" t="s">
        <v>25</v>
      </c>
      <c r="J5" s="7" t="s">
        <v>12</v>
      </c>
      <c r="K5" s="6">
        <f t="shared" si="0"/>
        <v>1.7847494553376906E-4</v>
      </c>
      <c r="L5" s="6">
        <f t="shared" si="1"/>
        <v>1.8766713231063005E-3</v>
      </c>
      <c r="M5" s="8">
        <f t="shared" si="2"/>
        <v>3.1154170136206492E-4</v>
      </c>
      <c r="N5" s="6" t="str">
        <f t="shared" si="3"/>
        <v>Potensi Stunting</v>
      </c>
      <c r="P5" s="11" t="s">
        <v>12</v>
      </c>
      <c r="Q5" s="3">
        <f>COUNTIF(J3:J189, "Potensi Stunting")</f>
        <v>23</v>
      </c>
      <c r="S5" s="3"/>
      <c r="T5" s="13" t="s">
        <v>13</v>
      </c>
      <c r="U5" s="3">
        <f>COUNTIFS(B3:B189,"L",J3:J189,"Tidak")</f>
        <v>89</v>
      </c>
      <c r="W5" s="3"/>
      <c r="X5" s="13" t="s">
        <v>13</v>
      </c>
      <c r="Y5" s="3">
        <f>COUNTIFS(C3:C748,"1-34 Bulan",J3:J748,"Tidak")</f>
        <v>67</v>
      </c>
      <c r="AA5" s="3"/>
      <c r="AB5" s="13" t="s">
        <v>13</v>
      </c>
      <c r="AC5" s="3">
        <f>COUNTIFS(F3:F748,"Risiko Lebih",J3:J748,"Tidak")</f>
        <v>13</v>
      </c>
      <c r="AE5" s="3"/>
      <c r="AF5" s="13" t="s">
        <v>13</v>
      </c>
      <c r="AG5" s="3">
        <f>COUNTIFS(G3:G748,"Normal",J3:J748,"Tidak")</f>
        <v>139</v>
      </c>
      <c r="AI5" s="8"/>
      <c r="AJ5" s="14" t="s">
        <v>13</v>
      </c>
      <c r="AK5" s="15">
        <f>COUNTIFS(H3:H748,"Gizi Buruk",J3:J748,"Tidak")</f>
        <v>1</v>
      </c>
      <c r="AM5" s="8"/>
      <c r="AN5" s="14" t="s">
        <v>13</v>
      </c>
      <c r="AO5" s="15">
        <f>COUNTIFS(I3:I748,"Ya",J3:J748,"Tidak")</f>
        <v>148</v>
      </c>
    </row>
    <row r="6" spans="1:41" ht="15.75" customHeight="1" x14ac:dyDescent="0.25">
      <c r="A6" s="6" t="s">
        <v>30</v>
      </c>
      <c r="B6" s="6" t="s">
        <v>22</v>
      </c>
      <c r="C6" s="6" t="s">
        <v>17</v>
      </c>
      <c r="D6" s="6" t="s">
        <v>31</v>
      </c>
      <c r="E6" s="6">
        <v>92</v>
      </c>
      <c r="F6" s="6" t="s">
        <v>23</v>
      </c>
      <c r="G6" s="6" t="s">
        <v>23</v>
      </c>
      <c r="H6" s="6" t="s">
        <v>24</v>
      </c>
      <c r="I6" s="6" t="s">
        <v>25</v>
      </c>
      <c r="J6" s="7" t="s">
        <v>13</v>
      </c>
      <c r="K6" s="6">
        <f t="shared" si="0"/>
        <v>3.042186571598336E-6</v>
      </c>
      <c r="L6" s="6">
        <f t="shared" si="1"/>
        <v>4.2402860664445452E-4</v>
      </c>
      <c r="M6" s="8">
        <f t="shared" si="2"/>
        <v>8.1880922843730039E-2</v>
      </c>
      <c r="N6" s="6" t="str">
        <f t="shared" si="3"/>
        <v>Tidak</v>
      </c>
      <c r="P6" s="11" t="s">
        <v>13</v>
      </c>
      <c r="Q6" s="3">
        <f>COUNTIF(J3:J189, "Tidak")</f>
        <v>149</v>
      </c>
      <c r="S6" s="12" t="s">
        <v>22</v>
      </c>
      <c r="T6" s="13" t="s">
        <v>11</v>
      </c>
      <c r="U6" s="3">
        <f>COUNTIFS(B3:B189,"P",J3:J189,"Stunting")</f>
        <v>4</v>
      </c>
      <c r="W6" s="3" t="s">
        <v>17</v>
      </c>
      <c r="X6" s="13" t="s">
        <v>11</v>
      </c>
      <c r="Y6" s="3">
        <f>COUNTIFS(C3:C748,"35-69 Bulan",J3:J748,"Stunting")</f>
        <v>9</v>
      </c>
      <c r="AA6" s="3" t="s">
        <v>23</v>
      </c>
      <c r="AB6" s="13" t="s">
        <v>11</v>
      </c>
      <c r="AC6" s="3">
        <f>COUNTIFS(F3:F748,"Normal",J3:J748,"Stunting")</f>
        <v>1</v>
      </c>
      <c r="AE6" s="3" t="s">
        <v>35</v>
      </c>
      <c r="AF6" s="13" t="s">
        <v>11</v>
      </c>
      <c r="AG6" s="3">
        <f>COUNTIFS(G3:G748,"Pendek",J3:J748,"Stunting")</f>
        <v>6</v>
      </c>
      <c r="AI6" s="8" t="s">
        <v>49</v>
      </c>
      <c r="AJ6" s="14" t="s">
        <v>11</v>
      </c>
      <c r="AK6" s="15">
        <f>COUNTIFS(H3:H748,"Gizi Lebih",J3:J748,"Stunting")</f>
        <v>1</v>
      </c>
      <c r="AM6" s="8" t="s">
        <v>13</v>
      </c>
      <c r="AN6" s="14" t="s">
        <v>11</v>
      </c>
      <c r="AO6" s="15">
        <f>COUNTIFS(I3:I748,"Tidak",J3:J748,"Stunting")</f>
        <v>12</v>
      </c>
    </row>
    <row r="7" spans="1:41" ht="15.75" customHeight="1" x14ac:dyDescent="0.25">
      <c r="A7" s="6" t="s">
        <v>32</v>
      </c>
      <c r="B7" s="6" t="s">
        <v>22</v>
      </c>
      <c r="C7" s="6" t="s">
        <v>17</v>
      </c>
      <c r="D7" s="6">
        <v>12.6</v>
      </c>
      <c r="E7" s="6">
        <v>99.6</v>
      </c>
      <c r="F7" s="6" t="s">
        <v>23</v>
      </c>
      <c r="G7" s="6" t="s">
        <v>23</v>
      </c>
      <c r="H7" s="6" t="s">
        <v>33</v>
      </c>
      <c r="I7" s="6" t="s">
        <v>25</v>
      </c>
      <c r="J7" s="7" t="s">
        <v>13</v>
      </c>
      <c r="K7" s="6">
        <f t="shared" si="0"/>
        <v>3.042186571598336E-6</v>
      </c>
      <c r="L7" s="6">
        <f t="shared" si="1"/>
        <v>9.0863272852383117E-5</v>
      </c>
      <c r="M7" s="8">
        <f t="shared" si="2"/>
        <v>2.4321066191206941E-2</v>
      </c>
      <c r="N7" s="6" t="str">
        <f t="shared" si="3"/>
        <v>Tidak</v>
      </c>
      <c r="S7" s="3">
        <f>COUNTIF(B3:B748, "p")</f>
        <v>72</v>
      </c>
      <c r="T7" s="13" t="s">
        <v>12</v>
      </c>
      <c r="U7" s="3">
        <f>COUNTIFS(B3:B189,"P",J3:J189,"Potensi Stunting")</f>
        <v>8</v>
      </c>
      <c r="W7" s="3"/>
      <c r="X7" s="13" t="s">
        <v>12</v>
      </c>
      <c r="Y7" s="3">
        <f>COUNTIFS(C3:C748,"35-69 Bulan",J3:J748,"Potensi Stunting")</f>
        <v>9</v>
      </c>
      <c r="AA7" s="3"/>
      <c r="AB7" s="13" t="s">
        <v>12</v>
      </c>
      <c r="AC7" s="3">
        <f>COUNTIFS(F3:F748,"Normal",J3:J748,"Potensi Stunting")</f>
        <v>6</v>
      </c>
      <c r="AE7" s="3"/>
      <c r="AF7" s="13" t="s">
        <v>12</v>
      </c>
      <c r="AG7" s="3">
        <f>COUNTIFS(G3:G748,"Pendek",J3:J748,"Potensi Stunting")</f>
        <v>16</v>
      </c>
      <c r="AI7" s="8"/>
      <c r="AJ7" s="14" t="s">
        <v>12</v>
      </c>
      <c r="AK7" s="15">
        <f>COUNTIFS(H3:H748,"Gizi Lebih",J3:J748,"Potensi Stunting")</f>
        <v>2</v>
      </c>
      <c r="AM7" s="8"/>
      <c r="AN7" s="14" t="s">
        <v>12</v>
      </c>
      <c r="AO7" s="15">
        <f>COUNTIFS(I3:I748,"Tidak",J3:J748,"Potensi Stunting")</f>
        <v>3</v>
      </c>
    </row>
    <row r="8" spans="1:41" ht="15.75" customHeight="1" x14ac:dyDescent="0.25">
      <c r="A8" s="6" t="s">
        <v>34</v>
      </c>
      <c r="B8" s="6" t="s">
        <v>16</v>
      </c>
      <c r="C8" s="6" t="s">
        <v>17</v>
      </c>
      <c r="D8" s="6">
        <v>12.6</v>
      </c>
      <c r="E8" s="6">
        <v>93.2</v>
      </c>
      <c r="F8" s="6" t="s">
        <v>29</v>
      </c>
      <c r="G8" s="6" t="s">
        <v>35</v>
      </c>
      <c r="H8" s="6" t="s">
        <v>24</v>
      </c>
      <c r="I8" s="6" t="s">
        <v>25</v>
      </c>
      <c r="J8" s="7" t="s">
        <v>12</v>
      </c>
      <c r="K8" s="6">
        <f t="shared" si="0"/>
        <v>2.0078431372549021E-4</v>
      </c>
      <c r="L8" s="6">
        <f t="shared" si="1"/>
        <v>9.1872864772965159E-3</v>
      </c>
      <c r="M8" s="8">
        <f t="shared" si="2"/>
        <v>1.5251593738321986E-3</v>
      </c>
      <c r="N8" s="6" t="str">
        <f t="shared" si="3"/>
        <v>Potensi Stunting</v>
      </c>
      <c r="S8" s="3"/>
      <c r="T8" s="13" t="s">
        <v>13</v>
      </c>
      <c r="U8" s="3">
        <f>COUNTIFS(B3:B189,"P",J3:J189,"Tidak")</f>
        <v>60</v>
      </c>
      <c r="W8" s="3"/>
      <c r="X8" s="13" t="s">
        <v>13</v>
      </c>
      <c r="Y8" s="3">
        <f>COUNTIFS(C3:C748,"35-69 Bulan",J3:J748,"Tidak")</f>
        <v>82</v>
      </c>
      <c r="AA8" s="3"/>
      <c r="AB8" s="13" t="s">
        <v>13</v>
      </c>
      <c r="AC8" s="3">
        <f>COUNTIFS(F3:F748,"Normal",J3:J748,"Tidak")</f>
        <v>110</v>
      </c>
      <c r="AE8" s="3"/>
      <c r="AF8" s="13" t="s">
        <v>13</v>
      </c>
      <c r="AG8" s="3">
        <f>COUNTIFS(G3:G748,"Pendek",J3:J748,"Tidak")</f>
        <v>8</v>
      </c>
      <c r="AI8" s="8"/>
      <c r="AJ8" s="14" t="s">
        <v>13</v>
      </c>
      <c r="AK8" s="15">
        <f>COUNTIFS(H3:H748,"Gizi Lebih",J3:J748,"Tidak")</f>
        <v>11</v>
      </c>
      <c r="AM8" s="8"/>
      <c r="AN8" s="14" t="s">
        <v>13</v>
      </c>
      <c r="AO8" s="15">
        <f>COUNTIFS(I3:I748,"Tidak",J3:J748,"Tidak")</f>
        <v>1</v>
      </c>
    </row>
    <row r="9" spans="1:41" ht="15.75" customHeight="1" x14ac:dyDescent="0.25">
      <c r="A9" s="6" t="s">
        <v>36</v>
      </c>
      <c r="B9" s="6" t="s">
        <v>16</v>
      </c>
      <c r="C9" s="6" t="s">
        <v>17</v>
      </c>
      <c r="D9" s="6" t="s">
        <v>37</v>
      </c>
      <c r="E9" s="6">
        <v>93</v>
      </c>
      <c r="F9" s="6" t="s">
        <v>29</v>
      </c>
      <c r="G9" s="6" t="s">
        <v>23</v>
      </c>
      <c r="H9" s="6" t="s">
        <v>33</v>
      </c>
      <c r="I9" s="6" t="s">
        <v>25</v>
      </c>
      <c r="J9" s="7" t="s">
        <v>13</v>
      </c>
      <c r="K9" s="6">
        <f t="shared" si="0"/>
        <v>3.3464052287581698E-5</v>
      </c>
      <c r="L9" s="6">
        <f t="shared" si="1"/>
        <v>3.6913204596280647E-4</v>
      </c>
      <c r="M9" s="8">
        <f t="shared" si="2"/>
        <v>7.871181421881519E-3</v>
      </c>
      <c r="N9" s="6" t="str">
        <f t="shared" si="3"/>
        <v>Tidak</v>
      </c>
      <c r="S9" s="1">
        <f>SUM(S4,S7)</f>
        <v>187</v>
      </c>
      <c r="U9" s="1">
        <f>SUM(U3:U8)</f>
        <v>187</v>
      </c>
      <c r="Y9" s="1">
        <f>SUM(Y3:Y8)</f>
        <v>187</v>
      </c>
      <c r="AA9" s="3" t="s">
        <v>29</v>
      </c>
      <c r="AB9" s="13" t="s">
        <v>11</v>
      </c>
      <c r="AC9" s="3">
        <f>COUNTIFS(F3:F748,"Kurang",J3:J748,"Stunting")</f>
        <v>4</v>
      </c>
      <c r="AE9" s="3" t="s">
        <v>19</v>
      </c>
      <c r="AF9" s="13" t="s">
        <v>11</v>
      </c>
      <c r="AG9" s="3">
        <f>COUNTIFS(G3:G748,"Sangat Pendek",J3:J748,"Stunting")</f>
        <v>8</v>
      </c>
      <c r="AI9" s="8" t="s">
        <v>41</v>
      </c>
      <c r="AJ9" s="14" t="s">
        <v>11</v>
      </c>
      <c r="AK9" s="15">
        <f>COUNTIFS(H3:H748,"Risiko Gizi Lebih",J3:J748,"Stunting")</f>
        <v>1</v>
      </c>
      <c r="AO9" s="1">
        <f>SUM(AO3:AO8)</f>
        <v>187</v>
      </c>
    </row>
    <row r="10" spans="1:41" ht="15.75" customHeight="1" x14ac:dyDescent="0.25">
      <c r="A10" s="6" t="s">
        <v>38</v>
      </c>
      <c r="B10" s="6" t="s">
        <v>16</v>
      </c>
      <c r="C10" s="6" t="s">
        <v>27</v>
      </c>
      <c r="D10" s="6">
        <v>8</v>
      </c>
      <c r="E10" s="6">
        <v>89</v>
      </c>
      <c r="F10" s="6" t="s">
        <v>29</v>
      </c>
      <c r="G10" s="6" t="s">
        <v>23</v>
      </c>
      <c r="H10" s="6" t="s">
        <v>33</v>
      </c>
      <c r="I10" s="6" t="s">
        <v>25</v>
      </c>
      <c r="J10" s="7" t="s">
        <v>13</v>
      </c>
      <c r="K10" s="6">
        <f t="shared" si="0"/>
        <v>2.2309368191721133E-5</v>
      </c>
      <c r="L10" s="6">
        <f t="shared" si="1"/>
        <v>3.0160789121351256E-4</v>
      </c>
      <c r="M10" s="8">
        <f t="shared" si="2"/>
        <v>6.4313311617812414E-3</v>
      </c>
      <c r="N10" s="6" t="str">
        <f t="shared" si="3"/>
        <v>Tidak</v>
      </c>
      <c r="AA10" s="3"/>
      <c r="AB10" s="13" t="s">
        <v>12</v>
      </c>
      <c r="AC10" s="3">
        <f>COUNTIFS(F3:F748,"Kurang",J3:J748,"Potensi Stunting")</f>
        <v>13</v>
      </c>
      <c r="AE10" s="3"/>
      <c r="AF10" s="13" t="s">
        <v>12</v>
      </c>
      <c r="AG10" s="3">
        <f>COUNTIFS(G3:G748,"Sangat Pendek",J3:J748,"Potensi Stunting")</f>
        <v>4</v>
      </c>
      <c r="AI10" s="8"/>
      <c r="AJ10" s="14" t="s">
        <v>12</v>
      </c>
      <c r="AK10" s="15">
        <f>COUNTIFS(H3:H748,"Risiko Gizi Lebih",J3:J748,"Potensi Stunting")</f>
        <v>2</v>
      </c>
    </row>
    <row r="11" spans="1:41" ht="15.75" customHeight="1" x14ac:dyDescent="0.25">
      <c r="A11" s="6" t="s">
        <v>39</v>
      </c>
      <c r="B11" s="6" t="s">
        <v>16</v>
      </c>
      <c r="C11" s="6" t="s">
        <v>27</v>
      </c>
      <c r="D11" s="6" t="s">
        <v>40</v>
      </c>
      <c r="E11" s="6">
        <v>55</v>
      </c>
      <c r="F11" s="6" t="s">
        <v>23</v>
      </c>
      <c r="G11" s="6" t="s">
        <v>23</v>
      </c>
      <c r="H11" s="6" t="s">
        <v>41</v>
      </c>
      <c r="I11" s="6" t="s">
        <v>25</v>
      </c>
      <c r="J11" s="7" t="s">
        <v>13</v>
      </c>
      <c r="K11" s="6">
        <f t="shared" si="0"/>
        <v>1.3943355119825708E-6</v>
      </c>
      <c r="L11" s="6">
        <f t="shared" si="1"/>
        <v>9.2802428065696168E-5</v>
      </c>
      <c r="M11" s="8">
        <f t="shared" si="2"/>
        <v>5.8953868982994729E-3</v>
      </c>
      <c r="N11" s="6" t="str">
        <f t="shared" si="3"/>
        <v>Tidak</v>
      </c>
      <c r="AA11" s="3"/>
      <c r="AB11" s="13" t="s">
        <v>13</v>
      </c>
      <c r="AC11" s="3">
        <f>COUNTIFS(F3:F748,"Kurang",J3:J748,"Tidak")</f>
        <v>24</v>
      </c>
      <c r="AE11" s="3"/>
      <c r="AF11" s="13" t="s">
        <v>13</v>
      </c>
      <c r="AG11" s="3">
        <f>COUNTIFS(G3:G748,"Sangat Pendek",J3:J748,"Tidak")</f>
        <v>2</v>
      </c>
      <c r="AI11" s="8"/>
      <c r="AJ11" s="14" t="s">
        <v>13</v>
      </c>
      <c r="AK11" s="15">
        <f>COUNTIFS(H3:H748,"Risiko Gizi Lebih",J3:J748,"Tidak")</f>
        <v>6</v>
      </c>
    </row>
    <row r="12" spans="1:41" ht="15.75" customHeight="1" x14ac:dyDescent="0.25">
      <c r="A12" s="6" t="s">
        <v>42</v>
      </c>
      <c r="B12" s="6" t="s">
        <v>16</v>
      </c>
      <c r="C12" s="6" t="s">
        <v>27</v>
      </c>
      <c r="D12" s="6">
        <v>4.0999999999999996</v>
      </c>
      <c r="E12" s="6">
        <v>53</v>
      </c>
      <c r="F12" s="6" t="s">
        <v>23</v>
      </c>
      <c r="G12" s="6" t="s">
        <v>35</v>
      </c>
      <c r="H12" s="6" t="s">
        <v>20</v>
      </c>
      <c r="I12" s="6" t="s">
        <v>25</v>
      </c>
      <c r="J12" s="7" t="s">
        <v>12</v>
      </c>
      <c r="K12" s="6">
        <f t="shared" si="0"/>
        <v>4.1830065359477126E-5</v>
      </c>
      <c r="L12" s="6">
        <f t="shared" si="1"/>
        <v>4.9494628301704623E-4</v>
      </c>
      <c r="M12" s="8">
        <f t="shared" si="2"/>
        <v>5.6550473844599252E-5</v>
      </c>
      <c r="N12" s="6" t="str">
        <f t="shared" si="3"/>
        <v>Potensi Stunting</v>
      </c>
      <c r="AA12" s="3" t="s">
        <v>18</v>
      </c>
      <c r="AB12" s="13" t="s">
        <v>11</v>
      </c>
      <c r="AC12" s="3">
        <f>COUNTIFS(F3:F748,"Sangat Kurang",J3:J748,"Stunting")</f>
        <v>8</v>
      </c>
      <c r="AG12" s="1">
        <f>SUM(AG3:AG11)</f>
        <v>187</v>
      </c>
      <c r="AI12" s="8" t="s">
        <v>24</v>
      </c>
      <c r="AJ12" s="14" t="s">
        <v>11</v>
      </c>
      <c r="AK12" s="15">
        <f>COUNTIFS(H3:H748,"Gizi Baik",J3:J748,"Stunting")</f>
        <v>4</v>
      </c>
    </row>
    <row r="13" spans="1:41" ht="15.75" customHeight="1" x14ac:dyDescent="0.25">
      <c r="A13" s="6" t="s">
        <v>43</v>
      </c>
      <c r="B13" s="6" t="s">
        <v>16</v>
      </c>
      <c r="C13" s="6" t="s">
        <v>17</v>
      </c>
      <c r="D13" s="6">
        <v>11.4</v>
      </c>
      <c r="E13" s="6">
        <v>114</v>
      </c>
      <c r="F13" s="6" t="s">
        <v>23</v>
      </c>
      <c r="G13" s="6" t="s">
        <v>23</v>
      </c>
      <c r="H13" s="6" t="s">
        <v>24</v>
      </c>
      <c r="I13" s="6" t="s">
        <v>25</v>
      </c>
      <c r="J13" s="7" t="s">
        <v>13</v>
      </c>
      <c r="K13" s="6">
        <f t="shared" si="0"/>
        <v>8.3660130718954245E-6</v>
      </c>
      <c r="L13" s="6">
        <f t="shared" si="1"/>
        <v>7.9505363745835237E-4</v>
      </c>
      <c r="M13" s="8">
        <f t="shared" si="2"/>
        <v>0.12145670221819958</v>
      </c>
      <c r="N13" s="6" t="str">
        <f t="shared" si="3"/>
        <v>Tidak</v>
      </c>
      <c r="P13" s="16" t="s">
        <v>257</v>
      </c>
      <c r="Q13" s="9"/>
      <c r="R13" s="10"/>
      <c r="S13" s="17"/>
      <c r="T13" s="16" t="s">
        <v>258</v>
      </c>
      <c r="U13" s="9"/>
      <c r="V13" s="10"/>
      <c r="AA13" s="3"/>
      <c r="AB13" s="13" t="s">
        <v>12</v>
      </c>
      <c r="AC13" s="3">
        <f>COUNTIFS(F3:F748,"Sangat Kurang",J3:J748,"Potensi Stunting")</f>
        <v>1</v>
      </c>
      <c r="AI13" s="8"/>
      <c r="AJ13" s="14" t="s">
        <v>12</v>
      </c>
      <c r="AK13" s="15">
        <f>COUNTIFS(H3:H748,"Gizi Baik",J3:J748,"Potensi Stunting")</f>
        <v>14</v>
      </c>
    </row>
    <row r="14" spans="1:41" ht="15.75" customHeight="1" x14ac:dyDescent="0.25">
      <c r="A14" s="6" t="s">
        <v>44</v>
      </c>
      <c r="B14" s="6" t="s">
        <v>16</v>
      </c>
      <c r="C14" s="6" t="s">
        <v>27</v>
      </c>
      <c r="D14" s="6">
        <v>9.1</v>
      </c>
      <c r="E14" s="6">
        <v>76</v>
      </c>
      <c r="F14" s="6" t="s">
        <v>23</v>
      </c>
      <c r="G14" s="6" t="s">
        <v>23</v>
      </c>
      <c r="H14" s="6" t="s">
        <v>24</v>
      </c>
      <c r="I14" s="6" t="s">
        <v>25</v>
      </c>
      <c r="J14" s="7" t="s">
        <v>13</v>
      </c>
      <c r="K14" s="6">
        <f t="shared" si="0"/>
        <v>5.5773420479302833E-6</v>
      </c>
      <c r="L14" s="6">
        <f t="shared" si="1"/>
        <v>6.4961699645987316E-4</v>
      </c>
      <c r="M14" s="8">
        <f t="shared" si="2"/>
        <v>9.9239012788041134E-2</v>
      </c>
      <c r="N14" s="6" t="str">
        <f t="shared" si="3"/>
        <v>Tidak</v>
      </c>
      <c r="P14" s="17" t="s">
        <v>259</v>
      </c>
      <c r="Q14" s="17" t="s">
        <v>11</v>
      </c>
      <c r="R14" s="17" t="s">
        <v>12</v>
      </c>
      <c r="S14" s="17" t="s">
        <v>13</v>
      </c>
      <c r="T14" s="17" t="s">
        <v>11</v>
      </c>
      <c r="U14" s="17" t="s">
        <v>260</v>
      </c>
      <c r="V14" s="17" t="s">
        <v>13</v>
      </c>
      <c r="AA14" s="3"/>
      <c r="AB14" s="13" t="s">
        <v>13</v>
      </c>
      <c r="AC14" s="3">
        <f>COUNTIFS(F3:F748,"Sangat Kurang",J3:J748,"Tidak")</f>
        <v>2</v>
      </c>
      <c r="AI14" s="8"/>
      <c r="AJ14" s="14" t="s">
        <v>13</v>
      </c>
      <c r="AK14" s="15">
        <f>COUNTIFS(H3:H748,"Gizi Baik",J3:J748,"Tidak")</f>
        <v>101</v>
      </c>
    </row>
    <row r="15" spans="1:41" ht="15.75" customHeight="1" x14ac:dyDescent="0.25">
      <c r="A15" s="6" t="s">
        <v>45</v>
      </c>
      <c r="B15" s="6" t="s">
        <v>16</v>
      </c>
      <c r="C15" s="6" t="s">
        <v>17</v>
      </c>
      <c r="D15" s="6">
        <v>12.8</v>
      </c>
      <c r="E15" s="6">
        <v>104</v>
      </c>
      <c r="F15" s="6" t="s">
        <v>23</v>
      </c>
      <c r="G15" s="6" t="s">
        <v>23</v>
      </c>
      <c r="H15" s="6" t="s">
        <v>24</v>
      </c>
      <c r="I15" s="6" t="s">
        <v>25</v>
      </c>
      <c r="J15" s="7" t="s">
        <v>13</v>
      </c>
      <c r="K15" s="6">
        <f t="shared" si="0"/>
        <v>8.3660130718954245E-6</v>
      </c>
      <c r="L15" s="6">
        <f t="shared" si="1"/>
        <v>7.9505363745835237E-4</v>
      </c>
      <c r="M15" s="8">
        <f t="shared" si="2"/>
        <v>0.12145670221819958</v>
      </c>
      <c r="N15" s="6" t="str">
        <f t="shared" si="3"/>
        <v>Tidak</v>
      </c>
      <c r="P15" s="3" t="s">
        <v>261</v>
      </c>
      <c r="Q15" s="3">
        <f>U3</f>
        <v>11</v>
      </c>
      <c r="R15" s="3">
        <f>U4</f>
        <v>15</v>
      </c>
      <c r="S15" s="3">
        <f>U5</f>
        <v>89</v>
      </c>
      <c r="T15" s="3">
        <f>Q15/Q17</f>
        <v>0.73333333333333328</v>
      </c>
      <c r="U15" s="3">
        <f>R15/R17</f>
        <v>0.65217391304347827</v>
      </c>
      <c r="V15" s="3">
        <f>S15/S17</f>
        <v>0.59731543624161076</v>
      </c>
      <c r="AC15" s="1">
        <f>SUM(AC3:AC14)</f>
        <v>187</v>
      </c>
      <c r="AI15" s="8" t="s">
        <v>33</v>
      </c>
      <c r="AJ15" s="14" t="s">
        <v>11</v>
      </c>
      <c r="AK15" s="15">
        <f>COUNTIFS(H3:H748,"Gizi Kurang",J3:J748,"Stunting")</f>
        <v>4</v>
      </c>
    </row>
    <row r="16" spans="1:41" ht="15.75" customHeight="1" x14ac:dyDescent="0.25">
      <c r="A16" s="6" t="s">
        <v>46</v>
      </c>
      <c r="B16" s="6" t="s">
        <v>22</v>
      </c>
      <c r="C16" s="6" t="s">
        <v>27</v>
      </c>
      <c r="D16" s="6">
        <v>11.8</v>
      </c>
      <c r="E16" s="6">
        <v>93</v>
      </c>
      <c r="F16" s="6" t="s">
        <v>23</v>
      </c>
      <c r="G16" s="6" t="s">
        <v>23</v>
      </c>
      <c r="H16" s="6" t="s">
        <v>24</v>
      </c>
      <c r="I16" s="6" t="s">
        <v>25</v>
      </c>
      <c r="J16" s="7" t="s">
        <v>13</v>
      </c>
      <c r="K16" s="6">
        <f t="shared" si="0"/>
        <v>2.0281243810655577E-6</v>
      </c>
      <c r="L16" s="6">
        <f t="shared" si="1"/>
        <v>3.4646239811193244E-4</v>
      </c>
      <c r="M16" s="8">
        <f t="shared" si="2"/>
        <v>6.6902705250364791E-2</v>
      </c>
      <c r="N16" s="6" t="str">
        <f t="shared" si="3"/>
        <v>Tidak</v>
      </c>
      <c r="P16" s="3" t="s">
        <v>262</v>
      </c>
      <c r="Q16" s="3">
        <f>U6</f>
        <v>4</v>
      </c>
      <c r="R16" s="3">
        <f>U7</f>
        <v>8</v>
      </c>
      <c r="S16" s="3">
        <f>U8</f>
        <v>60</v>
      </c>
      <c r="T16" s="3">
        <f>Q16/Q17</f>
        <v>0.26666666666666666</v>
      </c>
      <c r="U16" s="3">
        <f>R16/R17</f>
        <v>0.34782608695652173</v>
      </c>
      <c r="V16" s="3">
        <f>S16/S17</f>
        <v>0.40268456375838924</v>
      </c>
      <c r="AI16" s="8"/>
      <c r="AJ16" s="14" t="s">
        <v>12</v>
      </c>
      <c r="AK16" s="15">
        <f>COUNTIFS(H3:H748,"Gizi Kurang",J3:J748,"Potensi Stunting")</f>
        <v>3</v>
      </c>
    </row>
    <row r="17" spans="1:37" ht="15.75" customHeight="1" x14ac:dyDescent="0.25">
      <c r="A17" s="6" t="s">
        <v>47</v>
      </c>
      <c r="B17" s="6" t="s">
        <v>22</v>
      </c>
      <c r="C17" s="6" t="s">
        <v>17</v>
      </c>
      <c r="D17" s="6">
        <v>18.8</v>
      </c>
      <c r="E17" s="6">
        <v>101</v>
      </c>
      <c r="F17" s="6" t="s">
        <v>48</v>
      </c>
      <c r="G17" s="6" t="s">
        <v>23</v>
      </c>
      <c r="H17" s="6" t="s">
        <v>49</v>
      </c>
      <c r="I17" s="6" t="s">
        <v>25</v>
      </c>
      <c r="J17" s="7" t="s">
        <v>13</v>
      </c>
      <c r="K17" s="6">
        <f t="shared" si="0"/>
        <v>1.521093285799168E-6</v>
      </c>
      <c r="L17" s="6">
        <f t="shared" si="1"/>
        <v>3.0287757617461039E-5</v>
      </c>
      <c r="M17" s="8">
        <f t="shared" si="2"/>
        <v>1.0539128682856341E-3</v>
      </c>
      <c r="N17" s="6" t="str">
        <f t="shared" si="3"/>
        <v>Tidak</v>
      </c>
      <c r="P17" s="3"/>
      <c r="Q17" s="3">
        <f t="shared" ref="Q17:V17" si="4">SUM(Q15:Q16)</f>
        <v>15</v>
      </c>
      <c r="R17" s="3">
        <f t="shared" si="4"/>
        <v>23</v>
      </c>
      <c r="S17" s="3">
        <f t="shared" si="4"/>
        <v>149</v>
      </c>
      <c r="T17" s="3">
        <f t="shared" si="4"/>
        <v>1</v>
      </c>
      <c r="U17" s="3">
        <f t="shared" si="4"/>
        <v>1</v>
      </c>
      <c r="V17" s="3">
        <f t="shared" si="4"/>
        <v>1</v>
      </c>
      <c r="AI17" s="8"/>
      <c r="AJ17" s="14" t="s">
        <v>13</v>
      </c>
      <c r="AK17" s="15">
        <f>COUNTIFS(H3:H748,"Gizi Kurang",J3:J748,"Tidak")</f>
        <v>30</v>
      </c>
    </row>
    <row r="18" spans="1:37" ht="15.75" customHeight="1" x14ac:dyDescent="0.25">
      <c r="A18" s="6" t="s">
        <v>50</v>
      </c>
      <c r="B18" s="6" t="s">
        <v>22</v>
      </c>
      <c r="C18" s="6" t="s">
        <v>17</v>
      </c>
      <c r="D18" s="6">
        <v>12.8</v>
      </c>
      <c r="E18" s="6">
        <v>91</v>
      </c>
      <c r="F18" s="6" t="s">
        <v>23</v>
      </c>
      <c r="G18" s="6" t="s">
        <v>23</v>
      </c>
      <c r="H18" s="6" t="s">
        <v>24</v>
      </c>
      <c r="I18" s="6" t="s">
        <v>25</v>
      </c>
      <c r="J18" s="7" t="s">
        <v>13</v>
      </c>
      <c r="K18" s="6">
        <f t="shared" si="0"/>
        <v>3.042186571598336E-6</v>
      </c>
      <c r="L18" s="6">
        <f t="shared" si="1"/>
        <v>4.2402860664445452E-4</v>
      </c>
      <c r="M18" s="8">
        <f t="shared" si="2"/>
        <v>8.1880922843730039E-2</v>
      </c>
      <c r="N18" s="6" t="str">
        <f t="shared" si="3"/>
        <v>Tidak</v>
      </c>
      <c r="AK18" s="1">
        <f>SUM(AK3:AK17)</f>
        <v>187</v>
      </c>
    </row>
    <row r="19" spans="1:37" ht="15.75" customHeight="1" x14ac:dyDescent="0.25">
      <c r="A19" s="6" t="s">
        <v>51</v>
      </c>
      <c r="B19" s="6" t="s">
        <v>22</v>
      </c>
      <c r="C19" s="6" t="s">
        <v>27</v>
      </c>
      <c r="D19" s="6">
        <v>14.2</v>
      </c>
      <c r="E19" s="6">
        <v>95</v>
      </c>
      <c r="F19" s="6" t="s">
        <v>23</v>
      </c>
      <c r="G19" s="6" t="s">
        <v>23</v>
      </c>
      <c r="H19" s="6" t="s">
        <v>24</v>
      </c>
      <c r="I19" s="6" t="s">
        <v>25</v>
      </c>
      <c r="J19" s="7" t="s">
        <v>13</v>
      </c>
      <c r="K19" s="6">
        <f t="shared" si="0"/>
        <v>2.0281243810655577E-6</v>
      </c>
      <c r="L19" s="6">
        <f t="shared" si="1"/>
        <v>3.4646239811193244E-4</v>
      </c>
      <c r="M19" s="8">
        <f t="shared" si="2"/>
        <v>6.6902705250364791E-2</v>
      </c>
      <c r="N19" s="6" t="str">
        <f t="shared" si="3"/>
        <v>Tidak</v>
      </c>
      <c r="P19" s="16" t="s">
        <v>257</v>
      </c>
      <c r="Q19" s="9"/>
      <c r="R19" s="10"/>
      <c r="S19" s="17"/>
      <c r="T19" s="16" t="s">
        <v>258</v>
      </c>
      <c r="U19" s="9"/>
      <c r="V19" s="10"/>
    </row>
    <row r="20" spans="1:37" ht="15.75" customHeight="1" x14ac:dyDescent="0.25">
      <c r="A20" s="6" t="s">
        <v>52</v>
      </c>
      <c r="B20" s="6" t="s">
        <v>16</v>
      </c>
      <c r="C20" s="6" t="s">
        <v>27</v>
      </c>
      <c r="D20" s="6">
        <v>9</v>
      </c>
      <c r="E20" s="6">
        <v>84</v>
      </c>
      <c r="F20" s="6" t="s">
        <v>23</v>
      </c>
      <c r="G20" s="6" t="s">
        <v>23</v>
      </c>
      <c r="H20" s="6" t="s">
        <v>24</v>
      </c>
      <c r="I20" s="6" t="s">
        <v>25</v>
      </c>
      <c r="J20" s="7" t="s">
        <v>13</v>
      </c>
      <c r="K20" s="6">
        <f t="shared" si="0"/>
        <v>5.5773420479302833E-6</v>
      </c>
      <c r="L20" s="6">
        <f t="shared" si="1"/>
        <v>6.4961699645987316E-4</v>
      </c>
      <c r="M20" s="8">
        <f t="shared" si="2"/>
        <v>9.9239012788041134E-2</v>
      </c>
      <c r="N20" s="6" t="str">
        <f t="shared" si="3"/>
        <v>Tidak</v>
      </c>
      <c r="P20" s="17" t="s">
        <v>263</v>
      </c>
      <c r="Q20" s="17" t="s">
        <v>11</v>
      </c>
      <c r="R20" s="17" t="s">
        <v>12</v>
      </c>
      <c r="S20" s="17" t="s">
        <v>13</v>
      </c>
      <c r="T20" s="17" t="s">
        <v>11</v>
      </c>
      <c r="U20" s="17" t="s">
        <v>260</v>
      </c>
      <c r="V20" s="17" t="s">
        <v>13</v>
      </c>
    </row>
    <row r="21" spans="1:37" ht="15.75" customHeight="1" x14ac:dyDescent="0.25">
      <c r="A21" s="6" t="s">
        <v>53</v>
      </c>
      <c r="B21" s="6" t="s">
        <v>22</v>
      </c>
      <c r="C21" s="6" t="s">
        <v>17</v>
      </c>
      <c r="D21" s="6">
        <v>10.8</v>
      </c>
      <c r="E21" s="6">
        <v>86</v>
      </c>
      <c r="F21" s="6" t="s">
        <v>29</v>
      </c>
      <c r="G21" s="6" t="s">
        <v>19</v>
      </c>
      <c r="H21" s="6" t="s">
        <v>20</v>
      </c>
      <c r="I21" s="6" t="s">
        <v>13</v>
      </c>
      <c r="J21" s="7" t="s">
        <v>11</v>
      </c>
      <c r="K21" s="6">
        <f t="shared" si="0"/>
        <v>4.8674985145573374E-4</v>
      </c>
      <c r="L21" s="6">
        <f t="shared" si="1"/>
        <v>2.6249389935132898E-5</v>
      </c>
      <c r="M21" s="8">
        <f t="shared" si="2"/>
        <v>1.7196235795313624E-8</v>
      </c>
      <c r="N21" s="6" t="str">
        <f t="shared" si="3"/>
        <v>Stunting</v>
      </c>
      <c r="P21" s="3" t="s">
        <v>27</v>
      </c>
      <c r="Q21" s="3">
        <f>Y3</f>
        <v>6</v>
      </c>
      <c r="R21" s="3">
        <f>Y4</f>
        <v>14</v>
      </c>
      <c r="S21" s="3">
        <f>Y5</f>
        <v>67</v>
      </c>
      <c r="T21" s="3">
        <f>Q21/Q23</f>
        <v>0.4</v>
      </c>
      <c r="U21" s="3">
        <f>S21/S23</f>
        <v>0.44966442953020136</v>
      </c>
      <c r="V21" s="3">
        <f>S21/S23</f>
        <v>0.44966442953020136</v>
      </c>
    </row>
    <row r="22" spans="1:37" ht="15.75" customHeight="1" x14ac:dyDescent="0.25">
      <c r="A22" s="6" t="s">
        <v>54</v>
      </c>
      <c r="B22" s="6" t="s">
        <v>22</v>
      </c>
      <c r="C22" s="6" t="s">
        <v>17</v>
      </c>
      <c r="D22" s="6">
        <v>18</v>
      </c>
      <c r="E22" s="6">
        <v>93</v>
      </c>
      <c r="F22" s="6" t="s">
        <v>48</v>
      </c>
      <c r="G22" s="6" t="s">
        <v>23</v>
      </c>
      <c r="H22" s="6" t="s">
        <v>49</v>
      </c>
      <c r="I22" s="6" t="s">
        <v>25</v>
      </c>
      <c r="J22" s="7" t="s">
        <v>13</v>
      </c>
      <c r="K22" s="6">
        <f t="shared" si="0"/>
        <v>1.521093285799168E-6</v>
      </c>
      <c r="L22" s="6">
        <f t="shared" si="1"/>
        <v>3.0287757617461039E-5</v>
      </c>
      <c r="M22" s="8">
        <f t="shared" si="2"/>
        <v>1.0539128682856341E-3</v>
      </c>
      <c r="N22" s="6" t="str">
        <f t="shared" si="3"/>
        <v>Tidak</v>
      </c>
      <c r="P22" s="3" t="s">
        <v>17</v>
      </c>
      <c r="Q22" s="3">
        <f>Y6</f>
        <v>9</v>
      </c>
      <c r="R22" s="3">
        <f>Y7</f>
        <v>9</v>
      </c>
      <c r="S22" s="3">
        <f>Y8</f>
        <v>82</v>
      </c>
      <c r="T22" s="3">
        <f>Q22/Q23</f>
        <v>0.6</v>
      </c>
      <c r="U22" s="3">
        <f>S22/S23</f>
        <v>0.55033557046979864</v>
      </c>
      <c r="V22" s="3">
        <f>S22/S23</f>
        <v>0.55033557046979864</v>
      </c>
    </row>
    <row r="23" spans="1:37" ht="15.75" customHeight="1" x14ac:dyDescent="0.25">
      <c r="A23" s="6" t="s">
        <v>55</v>
      </c>
      <c r="B23" s="6" t="s">
        <v>16</v>
      </c>
      <c r="C23" s="6" t="s">
        <v>27</v>
      </c>
      <c r="D23" s="6">
        <v>9.3000000000000007</v>
      </c>
      <c r="E23" s="6">
        <v>71</v>
      </c>
      <c r="F23" s="6" t="s">
        <v>23</v>
      </c>
      <c r="G23" s="6" t="s">
        <v>35</v>
      </c>
      <c r="H23" s="6" t="s">
        <v>24</v>
      </c>
      <c r="I23" s="6" t="s">
        <v>25</v>
      </c>
      <c r="J23" s="7" t="s">
        <v>12</v>
      </c>
      <c r="K23" s="6">
        <f t="shared" si="0"/>
        <v>3.3464052287581705E-5</v>
      </c>
      <c r="L23" s="6">
        <f t="shared" si="1"/>
        <v>3.4646239811193242E-3</v>
      </c>
      <c r="M23" s="8">
        <f t="shared" si="2"/>
        <v>5.7115978583045252E-3</v>
      </c>
      <c r="N23" s="6" t="str">
        <f t="shared" si="3"/>
        <v>Tidak</v>
      </c>
      <c r="P23" s="3"/>
      <c r="Q23" s="3">
        <f t="shared" ref="Q23:V23" si="5">SUM(Q21:Q22)</f>
        <v>15</v>
      </c>
      <c r="R23" s="3">
        <f t="shared" si="5"/>
        <v>23</v>
      </c>
      <c r="S23" s="3">
        <f t="shared" si="5"/>
        <v>149</v>
      </c>
      <c r="T23" s="3">
        <f t="shared" si="5"/>
        <v>1</v>
      </c>
      <c r="U23" s="3">
        <f t="shared" si="5"/>
        <v>1</v>
      </c>
      <c r="V23" s="3">
        <f t="shared" si="5"/>
        <v>1</v>
      </c>
    </row>
    <row r="24" spans="1:37" ht="15.75" customHeight="1" x14ac:dyDescent="0.25">
      <c r="A24" s="6" t="s">
        <v>56</v>
      </c>
      <c r="B24" s="6" t="s">
        <v>16</v>
      </c>
      <c r="C24" s="6" t="s">
        <v>17</v>
      </c>
      <c r="D24" s="6">
        <v>14.8</v>
      </c>
      <c r="E24" s="6">
        <v>103</v>
      </c>
      <c r="F24" s="6" t="s">
        <v>23</v>
      </c>
      <c r="G24" s="6" t="s">
        <v>23</v>
      </c>
      <c r="H24" s="6" t="s">
        <v>24</v>
      </c>
      <c r="I24" s="6" t="s">
        <v>25</v>
      </c>
      <c r="J24" s="7" t="s">
        <v>13</v>
      </c>
      <c r="K24" s="6">
        <f t="shared" si="0"/>
        <v>8.3660130718954245E-6</v>
      </c>
      <c r="L24" s="6">
        <f t="shared" si="1"/>
        <v>7.9505363745835237E-4</v>
      </c>
      <c r="M24" s="8">
        <f t="shared" si="2"/>
        <v>0.12145670221819958</v>
      </c>
      <c r="N24" s="6" t="str">
        <f t="shared" si="3"/>
        <v>Tidak</v>
      </c>
    </row>
    <row r="25" spans="1:37" ht="15.75" customHeight="1" x14ac:dyDescent="0.25">
      <c r="A25" s="6" t="s">
        <v>57</v>
      </c>
      <c r="B25" s="6" t="s">
        <v>22</v>
      </c>
      <c r="C25" s="6" t="s">
        <v>27</v>
      </c>
      <c r="D25" s="6">
        <v>13</v>
      </c>
      <c r="E25" s="6">
        <v>77</v>
      </c>
      <c r="F25" s="6" t="s">
        <v>23</v>
      </c>
      <c r="G25" s="6" t="s">
        <v>23</v>
      </c>
      <c r="H25" s="6" t="s">
        <v>24</v>
      </c>
      <c r="I25" s="6" t="s">
        <v>25</v>
      </c>
      <c r="J25" s="7" t="s">
        <v>13</v>
      </c>
      <c r="K25" s="6">
        <f t="shared" si="0"/>
        <v>2.0281243810655577E-6</v>
      </c>
      <c r="L25" s="6">
        <f t="shared" si="1"/>
        <v>3.4646239811193244E-4</v>
      </c>
      <c r="M25" s="8">
        <f t="shared" si="2"/>
        <v>6.6902705250364791E-2</v>
      </c>
      <c r="N25" s="6" t="str">
        <f t="shared" si="3"/>
        <v>Tidak</v>
      </c>
      <c r="P25" s="16" t="s">
        <v>257</v>
      </c>
      <c r="Q25" s="9"/>
      <c r="R25" s="10"/>
      <c r="S25" s="17"/>
      <c r="T25" s="16" t="s">
        <v>258</v>
      </c>
      <c r="U25" s="9"/>
      <c r="V25" s="10"/>
    </row>
    <row r="26" spans="1:37" ht="15.75" customHeight="1" x14ac:dyDescent="0.25">
      <c r="A26" s="6" t="s">
        <v>58</v>
      </c>
      <c r="B26" s="6" t="s">
        <v>22</v>
      </c>
      <c r="C26" s="6" t="s">
        <v>27</v>
      </c>
      <c r="D26" s="6">
        <v>12.9</v>
      </c>
      <c r="E26" s="6">
        <v>72</v>
      </c>
      <c r="F26" s="6" t="s">
        <v>23</v>
      </c>
      <c r="G26" s="6" t="s">
        <v>23</v>
      </c>
      <c r="H26" s="6" t="s">
        <v>24</v>
      </c>
      <c r="I26" s="6" t="s">
        <v>25</v>
      </c>
      <c r="J26" s="7" t="s">
        <v>13</v>
      </c>
      <c r="K26" s="6">
        <f t="shared" si="0"/>
        <v>2.0281243810655577E-6</v>
      </c>
      <c r="L26" s="6">
        <f t="shared" si="1"/>
        <v>3.4646239811193244E-4</v>
      </c>
      <c r="M26" s="8">
        <f t="shared" si="2"/>
        <v>6.6902705250364791E-2</v>
      </c>
      <c r="N26" s="6" t="str">
        <f t="shared" si="3"/>
        <v>Tidak</v>
      </c>
      <c r="P26" s="17" t="s">
        <v>6</v>
      </c>
      <c r="Q26" s="17" t="s">
        <v>11</v>
      </c>
      <c r="R26" s="17" t="s">
        <v>12</v>
      </c>
      <c r="S26" s="17" t="s">
        <v>13</v>
      </c>
      <c r="T26" s="17" t="s">
        <v>11</v>
      </c>
      <c r="U26" s="17" t="s">
        <v>260</v>
      </c>
      <c r="V26" s="17" t="s">
        <v>13</v>
      </c>
    </row>
    <row r="27" spans="1:37" ht="15.75" customHeight="1" x14ac:dyDescent="0.25">
      <c r="A27" s="6" t="s">
        <v>59</v>
      </c>
      <c r="B27" s="6" t="s">
        <v>16</v>
      </c>
      <c r="C27" s="6" t="s">
        <v>27</v>
      </c>
      <c r="D27" s="6">
        <v>9.8000000000000007</v>
      </c>
      <c r="E27" s="6">
        <v>76</v>
      </c>
      <c r="F27" s="6" t="s">
        <v>23</v>
      </c>
      <c r="G27" s="6" t="s">
        <v>35</v>
      </c>
      <c r="H27" s="6" t="s">
        <v>24</v>
      </c>
      <c r="I27" s="6" t="s">
        <v>25</v>
      </c>
      <c r="J27" s="7" t="s">
        <v>12</v>
      </c>
      <c r="K27" s="6">
        <f t="shared" si="0"/>
        <v>3.3464052287581705E-5</v>
      </c>
      <c r="L27" s="6">
        <f t="shared" si="1"/>
        <v>3.4646239811193242E-3</v>
      </c>
      <c r="M27" s="8">
        <f t="shared" si="2"/>
        <v>5.7115978583045252E-3</v>
      </c>
      <c r="N27" s="6" t="str">
        <f t="shared" si="3"/>
        <v>Tidak</v>
      </c>
      <c r="P27" s="3" t="s">
        <v>264</v>
      </c>
      <c r="Q27" s="3">
        <f>AC3</f>
        <v>2</v>
      </c>
      <c r="R27" s="3">
        <f>AC4</f>
        <v>3</v>
      </c>
      <c r="S27" s="3">
        <f>AC5</f>
        <v>13</v>
      </c>
      <c r="T27" s="3">
        <f>Q27/Q31</f>
        <v>0.13333333333333333</v>
      </c>
      <c r="U27" s="3">
        <f>R27/R31</f>
        <v>0.13043478260869565</v>
      </c>
      <c r="V27" s="3">
        <f>S27/S31</f>
        <v>8.7248322147651006E-2</v>
      </c>
    </row>
    <row r="28" spans="1:37" ht="15.75" customHeight="1" x14ac:dyDescent="0.25">
      <c r="A28" s="6" t="s">
        <v>60</v>
      </c>
      <c r="B28" s="6" t="s">
        <v>16</v>
      </c>
      <c r="C28" s="6" t="s">
        <v>27</v>
      </c>
      <c r="D28" s="6">
        <v>2.5</v>
      </c>
      <c r="E28" s="6">
        <v>48</v>
      </c>
      <c r="F28" s="6" t="s">
        <v>18</v>
      </c>
      <c r="G28" s="6" t="s">
        <v>35</v>
      </c>
      <c r="H28" s="6" t="s">
        <v>33</v>
      </c>
      <c r="I28" s="6" t="s">
        <v>13</v>
      </c>
      <c r="J28" s="7" t="s">
        <v>11</v>
      </c>
      <c r="K28" s="6">
        <f t="shared" si="0"/>
        <v>1.0708496732026146E-3</v>
      </c>
      <c r="L28" s="6">
        <f t="shared" si="1"/>
        <v>1.8560485613139234E-5</v>
      </c>
      <c r="M28" s="8">
        <f t="shared" si="2"/>
        <v>2.084169797712503E-7</v>
      </c>
      <c r="N28" s="6" t="str">
        <f t="shared" si="3"/>
        <v>Stunting</v>
      </c>
      <c r="P28" s="3" t="s">
        <v>23</v>
      </c>
      <c r="Q28" s="3">
        <f>AC6</f>
        <v>1</v>
      </c>
      <c r="R28" s="3">
        <f>AC7</f>
        <v>6</v>
      </c>
      <c r="S28" s="3">
        <f>AC8</f>
        <v>110</v>
      </c>
      <c r="T28" s="3">
        <f>Q28/Q31</f>
        <v>6.6666666666666666E-2</v>
      </c>
      <c r="U28" s="3">
        <f>R28/R31</f>
        <v>0.2608695652173913</v>
      </c>
      <c r="V28" s="3">
        <f>S28/S31</f>
        <v>0.73825503355704702</v>
      </c>
    </row>
    <row r="29" spans="1:37" ht="15.75" customHeight="1" x14ac:dyDescent="0.25">
      <c r="A29" s="6" t="s">
        <v>61</v>
      </c>
      <c r="B29" s="6" t="s">
        <v>22</v>
      </c>
      <c r="C29" s="6" t="s">
        <v>27</v>
      </c>
      <c r="D29" s="6">
        <v>14</v>
      </c>
      <c r="E29" s="6">
        <v>96</v>
      </c>
      <c r="F29" s="6" t="s">
        <v>23</v>
      </c>
      <c r="G29" s="6" t="s">
        <v>23</v>
      </c>
      <c r="H29" s="6" t="s">
        <v>24</v>
      </c>
      <c r="I29" s="6" t="s">
        <v>25</v>
      </c>
      <c r="J29" s="7" t="s">
        <v>13</v>
      </c>
      <c r="K29" s="6">
        <f t="shared" si="0"/>
        <v>2.0281243810655577E-6</v>
      </c>
      <c r="L29" s="6">
        <f t="shared" si="1"/>
        <v>3.4646239811193244E-4</v>
      </c>
      <c r="M29" s="8">
        <f t="shared" si="2"/>
        <v>6.6902705250364791E-2</v>
      </c>
      <c r="N29" s="6" t="str">
        <f t="shared" si="3"/>
        <v>Tidak</v>
      </c>
      <c r="P29" s="3" t="s">
        <v>29</v>
      </c>
      <c r="Q29" s="3">
        <f>AC9</f>
        <v>4</v>
      </c>
      <c r="R29" s="3">
        <f>AC10</f>
        <v>13</v>
      </c>
      <c r="S29" s="3">
        <f>AC11</f>
        <v>24</v>
      </c>
      <c r="T29" s="3">
        <f>Q29/Q31</f>
        <v>0.26666666666666666</v>
      </c>
      <c r="U29" s="3">
        <f>R29/R31</f>
        <v>0.56521739130434778</v>
      </c>
      <c r="V29" s="3">
        <f>S29/S31</f>
        <v>0.16107382550335569</v>
      </c>
    </row>
    <row r="30" spans="1:37" ht="15.75" customHeight="1" x14ac:dyDescent="0.25">
      <c r="A30" s="6" t="s">
        <v>62</v>
      </c>
      <c r="B30" s="6" t="s">
        <v>22</v>
      </c>
      <c r="C30" s="6" t="s">
        <v>17</v>
      </c>
      <c r="D30" s="6" t="s">
        <v>63</v>
      </c>
      <c r="E30" s="6">
        <v>96</v>
      </c>
      <c r="F30" s="6" t="s">
        <v>29</v>
      </c>
      <c r="G30" s="6" t="s">
        <v>35</v>
      </c>
      <c r="H30" s="6" t="s">
        <v>24</v>
      </c>
      <c r="I30" s="6" t="s">
        <v>25</v>
      </c>
      <c r="J30" s="7" t="s">
        <v>12</v>
      </c>
      <c r="K30" s="6">
        <f t="shared" si="0"/>
        <v>7.3012477718360067E-5</v>
      </c>
      <c r="L30" s="6">
        <f t="shared" si="1"/>
        <v>4.899886121224808E-3</v>
      </c>
      <c r="M30" s="8">
        <f t="shared" si="2"/>
        <v>1.0281973306733921E-3</v>
      </c>
      <c r="N30" s="6" t="str">
        <f t="shared" si="3"/>
        <v>Potensi Stunting</v>
      </c>
      <c r="P30" s="3" t="s">
        <v>18</v>
      </c>
      <c r="Q30" s="3">
        <f>AC12</f>
        <v>8</v>
      </c>
      <c r="R30" s="3">
        <f>AC13</f>
        <v>1</v>
      </c>
      <c r="S30" s="3">
        <f>AC14</f>
        <v>2</v>
      </c>
      <c r="T30" s="3">
        <f>Q30/Q31</f>
        <v>0.53333333333333333</v>
      </c>
      <c r="U30" s="3">
        <f>R30/R31</f>
        <v>4.3478260869565216E-2</v>
      </c>
      <c r="V30" s="3">
        <f>S30/S31</f>
        <v>1.3422818791946308E-2</v>
      </c>
    </row>
    <row r="31" spans="1:37" ht="15.75" customHeight="1" x14ac:dyDescent="0.25">
      <c r="A31" s="6" t="s">
        <v>64</v>
      </c>
      <c r="B31" s="6" t="s">
        <v>16</v>
      </c>
      <c r="C31" s="6" t="s">
        <v>27</v>
      </c>
      <c r="D31" s="6">
        <v>13.3</v>
      </c>
      <c r="E31" s="6">
        <v>76</v>
      </c>
      <c r="F31" s="6" t="s">
        <v>23</v>
      </c>
      <c r="G31" s="6" t="s">
        <v>23</v>
      </c>
      <c r="H31" s="6" t="s">
        <v>24</v>
      </c>
      <c r="I31" s="6" t="s">
        <v>25</v>
      </c>
      <c r="J31" s="7" t="s">
        <v>13</v>
      </c>
      <c r="K31" s="6">
        <f t="shared" si="0"/>
        <v>5.5773420479302833E-6</v>
      </c>
      <c r="L31" s="6">
        <f t="shared" si="1"/>
        <v>6.4961699645987316E-4</v>
      </c>
      <c r="M31" s="8">
        <f t="shared" si="2"/>
        <v>9.9239012788041134E-2</v>
      </c>
      <c r="N31" s="6" t="str">
        <f t="shared" si="3"/>
        <v>Tidak</v>
      </c>
      <c r="P31" s="3"/>
      <c r="Q31" s="3">
        <f t="shared" ref="Q31:V31" si="6">SUM(Q27:Q30)</f>
        <v>15</v>
      </c>
      <c r="R31" s="3">
        <f t="shared" si="6"/>
        <v>23</v>
      </c>
      <c r="S31" s="3">
        <f t="shared" si="6"/>
        <v>149</v>
      </c>
      <c r="T31" s="3">
        <f t="shared" si="6"/>
        <v>1</v>
      </c>
      <c r="U31" s="3">
        <f t="shared" si="6"/>
        <v>0.99999999999999989</v>
      </c>
      <c r="V31" s="3">
        <f t="shared" si="6"/>
        <v>1</v>
      </c>
    </row>
    <row r="32" spans="1:37" ht="15.75" customHeight="1" x14ac:dyDescent="0.25">
      <c r="A32" s="6" t="s">
        <v>65</v>
      </c>
      <c r="B32" s="6" t="s">
        <v>16</v>
      </c>
      <c r="C32" s="6" t="s">
        <v>27</v>
      </c>
      <c r="D32" s="6">
        <v>6.5</v>
      </c>
      <c r="E32" s="6">
        <v>65</v>
      </c>
      <c r="F32" s="6" t="s">
        <v>29</v>
      </c>
      <c r="G32" s="6" t="s">
        <v>35</v>
      </c>
      <c r="H32" s="6" t="s">
        <v>24</v>
      </c>
      <c r="I32" s="6" t="s">
        <v>25</v>
      </c>
      <c r="J32" s="7" t="s">
        <v>12</v>
      </c>
      <c r="K32" s="6">
        <f t="shared" si="0"/>
        <v>1.3385620915032682E-4</v>
      </c>
      <c r="L32" s="6">
        <f t="shared" si="1"/>
        <v>7.506685292425202E-3</v>
      </c>
      <c r="M32" s="8">
        <f t="shared" si="2"/>
        <v>1.2461668054482597E-3</v>
      </c>
      <c r="N32" s="6" t="str">
        <f t="shared" si="3"/>
        <v>Potensi Stunting</v>
      </c>
    </row>
    <row r="33" spans="1:22" ht="15.75" customHeight="1" x14ac:dyDescent="0.25">
      <c r="A33" s="6" t="s">
        <v>66</v>
      </c>
      <c r="B33" s="6" t="s">
        <v>16</v>
      </c>
      <c r="C33" s="6" t="s">
        <v>27</v>
      </c>
      <c r="D33" s="6" t="s">
        <v>67</v>
      </c>
      <c r="E33" s="6">
        <v>87</v>
      </c>
      <c r="F33" s="6" t="s">
        <v>23</v>
      </c>
      <c r="G33" s="6" t="s">
        <v>23</v>
      </c>
      <c r="H33" s="6" t="s">
        <v>41</v>
      </c>
      <c r="I33" s="6" t="s">
        <v>25</v>
      </c>
      <c r="J33" s="7" t="s">
        <v>13</v>
      </c>
      <c r="K33" s="6">
        <f t="shared" si="0"/>
        <v>1.3943355119825708E-6</v>
      </c>
      <c r="L33" s="6">
        <f t="shared" si="1"/>
        <v>9.2802428065696168E-5</v>
      </c>
      <c r="M33" s="8">
        <f t="shared" si="2"/>
        <v>5.8953868982994729E-3</v>
      </c>
      <c r="N33" s="6" t="str">
        <f t="shared" si="3"/>
        <v>Tidak</v>
      </c>
      <c r="P33" s="16" t="s">
        <v>257</v>
      </c>
      <c r="Q33" s="9"/>
      <c r="R33" s="10"/>
      <c r="S33" s="17"/>
      <c r="T33" s="16" t="s">
        <v>258</v>
      </c>
      <c r="U33" s="9"/>
      <c r="V33" s="10"/>
    </row>
    <row r="34" spans="1:22" ht="15.75" customHeight="1" x14ac:dyDescent="0.25">
      <c r="A34" s="6" t="s">
        <v>68</v>
      </c>
      <c r="B34" s="6" t="s">
        <v>22</v>
      </c>
      <c r="C34" s="6" t="s">
        <v>27</v>
      </c>
      <c r="D34" s="6" t="s">
        <v>69</v>
      </c>
      <c r="E34" s="6">
        <v>91</v>
      </c>
      <c r="F34" s="6" t="s">
        <v>48</v>
      </c>
      <c r="G34" s="6" t="s">
        <v>23</v>
      </c>
      <c r="H34" s="6" t="s">
        <v>24</v>
      </c>
      <c r="I34" s="6" t="s">
        <v>13</v>
      </c>
      <c r="J34" s="7" t="s">
        <v>12</v>
      </c>
      <c r="K34" s="6">
        <f t="shared" si="0"/>
        <v>1.6224995048524462E-5</v>
      </c>
      <c r="L34" s="6">
        <f t="shared" si="1"/>
        <v>2.598467985839493E-5</v>
      </c>
      <c r="M34" s="8">
        <f t="shared" si="2"/>
        <v>5.3423536133583668E-5</v>
      </c>
      <c r="N34" s="6" t="str">
        <f t="shared" si="3"/>
        <v>Tidak</v>
      </c>
      <c r="P34" s="17" t="s">
        <v>7</v>
      </c>
      <c r="Q34" s="17" t="s">
        <v>11</v>
      </c>
      <c r="R34" s="17" t="s">
        <v>12</v>
      </c>
      <c r="S34" s="17" t="s">
        <v>13</v>
      </c>
      <c r="T34" s="17" t="s">
        <v>11</v>
      </c>
      <c r="U34" s="17" t="s">
        <v>260</v>
      </c>
      <c r="V34" s="17" t="s">
        <v>13</v>
      </c>
    </row>
    <row r="35" spans="1:22" ht="15.75" customHeight="1" x14ac:dyDescent="0.25">
      <c r="A35" s="6" t="s">
        <v>70</v>
      </c>
      <c r="B35" s="6" t="s">
        <v>16</v>
      </c>
      <c r="C35" s="6" t="s">
        <v>27</v>
      </c>
      <c r="D35" s="6" t="s">
        <v>71</v>
      </c>
      <c r="E35" s="6">
        <v>87</v>
      </c>
      <c r="F35" s="6" t="s">
        <v>29</v>
      </c>
      <c r="G35" s="6" t="s">
        <v>35</v>
      </c>
      <c r="H35" s="6" t="s">
        <v>20</v>
      </c>
      <c r="I35" s="6" t="s">
        <v>25</v>
      </c>
      <c r="J35" s="7" t="s">
        <v>12</v>
      </c>
      <c r="K35" s="6">
        <f t="shared" si="0"/>
        <v>1.673202614379085E-4</v>
      </c>
      <c r="L35" s="6">
        <f t="shared" si="1"/>
        <v>1.0723836132036002E-3</v>
      </c>
      <c r="M35" s="8">
        <f t="shared" si="2"/>
        <v>1.2338285202458016E-5</v>
      </c>
      <c r="N35" s="6" t="str">
        <f t="shared" si="3"/>
        <v>Potensi Stunting</v>
      </c>
      <c r="P35" s="3" t="s">
        <v>23</v>
      </c>
      <c r="Q35" s="3">
        <f>AG3</f>
        <v>1</v>
      </c>
      <c r="R35" s="3">
        <f>AG4</f>
        <v>3</v>
      </c>
      <c r="S35" s="3">
        <f>AG5</f>
        <v>139</v>
      </c>
      <c r="T35" s="3">
        <f>Q35/Q38</f>
        <v>6.6666666666666666E-2</v>
      </c>
      <c r="U35" s="3">
        <f>R35/R38</f>
        <v>0.13043478260869565</v>
      </c>
      <c r="V35" s="3">
        <f>S35/S38</f>
        <v>0.93288590604026844</v>
      </c>
    </row>
    <row r="36" spans="1:22" ht="15.75" customHeight="1" x14ac:dyDescent="0.25">
      <c r="A36" s="6" t="s">
        <v>72</v>
      </c>
      <c r="B36" s="6" t="s">
        <v>16</v>
      </c>
      <c r="C36" s="6" t="s">
        <v>27</v>
      </c>
      <c r="D36" s="6">
        <v>10.8</v>
      </c>
      <c r="E36" s="6">
        <v>77</v>
      </c>
      <c r="F36" s="6" t="s">
        <v>23</v>
      </c>
      <c r="G36" s="6" t="s">
        <v>35</v>
      </c>
      <c r="H36" s="6" t="s">
        <v>24</v>
      </c>
      <c r="I36" s="6" t="s">
        <v>25</v>
      </c>
      <c r="J36" s="7" t="s">
        <v>12</v>
      </c>
      <c r="K36" s="6">
        <f t="shared" si="0"/>
        <v>3.3464052287581705E-5</v>
      </c>
      <c r="L36" s="6">
        <f t="shared" si="1"/>
        <v>3.4646239811193242E-3</v>
      </c>
      <c r="M36" s="8">
        <f t="shared" si="2"/>
        <v>5.7115978583045252E-3</v>
      </c>
      <c r="N36" s="6" t="str">
        <f t="shared" si="3"/>
        <v>Tidak</v>
      </c>
      <c r="P36" s="3" t="s">
        <v>35</v>
      </c>
      <c r="Q36" s="3">
        <f>AG6</f>
        <v>6</v>
      </c>
      <c r="R36" s="3">
        <f>AG7</f>
        <v>16</v>
      </c>
      <c r="S36" s="3">
        <f>AG8</f>
        <v>8</v>
      </c>
      <c r="T36" s="3">
        <f>Q36/Q38</f>
        <v>0.4</v>
      </c>
      <c r="U36" s="3">
        <f>R36/R38</f>
        <v>0.69565217391304346</v>
      </c>
      <c r="V36" s="3">
        <f>S36/S38</f>
        <v>5.3691275167785234E-2</v>
      </c>
    </row>
    <row r="37" spans="1:22" ht="15.75" customHeight="1" x14ac:dyDescent="0.25">
      <c r="A37" s="6" t="s">
        <v>73</v>
      </c>
      <c r="B37" s="6" t="s">
        <v>22</v>
      </c>
      <c r="C37" s="6" t="s">
        <v>27</v>
      </c>
      <c r="D37" s="6">
        <v>10</v>
      </c>
      <c r="E37" s="6">
        <v>88</v>
      </c>
      <c r="F37" s="6" t="s">
        <v>23</v>
      </c>
      <c r="G37" s="6" t="s">
        <v>23</v>
      </c>
      <c r="H37" s="6" t="s">
        <v>33</v>
      </c>
      <c r="I37" s="6" t="s">
        <v>25</v>
      </c>
      <c r="J37" s="7" t="s">
        <v>13</v>
      </c>
      <c r="K37" s="6">
        <f t="shared" si="0"/>
        <v>2.0281243810655577E-6</v>
      </c>
      <c r="L37" s="6">
        <f t="shared" si="1"/>
        <v>7.4241942452556937E-5</v>
      </c>
      <c r="M37" s="8">
        <f t="shared" si="2"/>
        <v>1.9872090668425182E-2</v>
      </c>
      <c r="N37" s="6" t="str">
        <f t="shared" si="3"/>
        <v>Tidak</v>
      </c>
      <c r="P37" s="3" t="s">
        <v>19</v>
      </c>
      <c r="Q37" s="3">
        <f>AG9</f>
        <v>8</v>
      </c>
      <c r="R37" s="3">
        <f>AG10</f>
        <v>4</v>
      </c>
      <c r="S37" s="3">
        <f>AG11</f>
        <v>2</v>
      </c>
      <c r="T37" s="3">
        <f>Q37/Q38</f>
        <v>0.53333333333333333</v>
      </c>
      <c r="U37" s="3">
        <f>R37/R38</f>
        <v>0.17391304347826086</v>
      </c>
      <c r="V37" s="3">
        <f>S37/S38</f>
        <v>1.3422818791946308E-2</v>
      </c>
    </row>
    <row r="38" spans="1:22" ht="15.75" customHeight="1" x14ac:dyDescent="0.25">
      <c r="A38" s="6" t="s">
        <v>74</v>
      </c>
      <c r="B38" s="6" t="s">
        <v>16</v>
      </c>
      <c r="C38" s="6" t="s">
        <v>27</v>
      </c>
      <c r="D38" s="6">
        <v>9.1999999999999993</v>
      </c>
      <c r="E38" s="6">
        <v>77</v>
      </c>
      <c r="F38" s="6" t="s">
        <v>23</v>
      </c>
      <c r="G38" s="6" t="s">
        <v>23</v>
      </c>
      <c r="H38" s="6" t="s">
        <v>24</v>
      </c>
      <c r="I38" s="6" t="s">
        <v>25</v>
      </c>
      <c r="J38" s="7" t="s">
        <v>13</v>
      </c>
      <c r="K38" s="6">
        <f t="shared" si="0"/>
        <v>5.5773420479302833E-6</v>
      </c>
      <c r="L38" s="6">
        <f t="shared" si="1"/>
        <v>6.4961699645987316E-4</v>
      </c>
      <c r="M38" s="8">
        <f t="shared" si="2"/>
        <v>9.9239012788041134E-2</v>
      </c>
      <c r="N38" s="6" t="str">
        <f t="shared" si="3"/>
        <v>Tidak</v>
      </c>
      <c r="P38" s="3"/>
      <c r="Q38" s="3">
        <f t="shared" ref="Q38:V38" si="7">SUM(Q35:Q37)</f>
        <v>15</v>
      </c>
      <c r="R38" s="3">
        <f t="shared" si="7"/>
        <v>23</v>
      </c>
      <c r="S38" s="3">
        <f t="shared" si="7"/>
        <v>149</v>
      </c>
      <c r="T38" s="3">
        <f t="shared" si="7"/>
        <v>1</v>
      </c>
      <c r="U38" s="3">
        <f t="shared" si="7"/>
        <v>1</v>
      </c>
      <c r="V38" s="3">
        <f t="shared" si="7"/>
        <v>1</v>
      </c>
    </row>
    <row r="39" spans="1:22" ht="15.75" customHeight="1" x14ac:dyDescent="0.25">
      <c r="A39" s="6" t="s">
        <v>75</v>
      </c>
      <c r="B39" s="6" t="s">
        <v>16</v>
      </c>
      <c r="C39" s="6" t="s">
        <v>27</v>
      </c>
      <c r="D39" s="6">
        <v>9.6999999999999993</v>
      </c>
      <c r="E39" s="6">
        <v>84</v>
      </c>
      <c r="F39" s="6" t="s">
        <v>29</v>
      </c>
      <c r="G39" s="6" t="s">
        <v>23</v>
      </c>
      <c r="H39" s="6" t="s">
        <v>33</v>
      </c>
      <c r="I39" s="6" t="s">
        <v>25</v>
      </c>
      <c r="J39" s="7" t="s">
        <v>13</v>
      </c>
      <c r="K39" s="6">
        <f t="shared" si="0"/>
        <v>2.2309368191721133E-5</v>
      </c>
      <c r="L39" s="6">
        <f t="shared" si="1"/>
        <v>3.0160789121351256E-4</v>
      </c>
      <c r="M39" s="8">
        <f t="shared" si="2"/>
        <v>6.4313311617812414E-3</v>
      </c>
      <c r="N39" s="6" t="str">
        <f t="shared" si="3"/>
        <v>Tidak</v>
      </c>
    </row>
    <row r="40" spans="1:22" ht="15.75" customHeight="1" x14ac:dyDescent="0.25">
      <c r="A40" s="6" t="s">
        <v>76</v>
      </c>
      <c r="B40" s="6" t="s">
        <v>16</v>
      </c>
      <c r="C40" s="6" t="s">
        <v>27</v>
      </c>
      <c r="D40" s="6" t="s">
        <v>77</v>
      </c>
      <c r="E40" s="6">
        <v>74</v>
      </c>
      <c r="F40" s="6" t="s">
        <v>23</v>
      </c>
      <c r="G40" s="6" t="s">
        <v>23</v>
      </c>
      <c r="H40" s="6" t="s">
        <v>24</v>
      </c>
      <c r="I40" s="6" t="s">
        <v>25</v>
      </c>
      <c r="J40" s="7" t="s">
        <v>13</v>
      </c>
      <c r="K40" s="6">
        <f t="shared" si="0"/>
        <v>5.5773420479302833E-6</v>
      </c>
      <c r="L40" s="6">
        <f t="shared" si="1"/>
        <v>6.4961699645987316E-4</v>
      </c>
      <c r="M40" s="6">
        <f t="shared" si="2"/>
        <v>9.9239012788041134E-2</v>
      </c>
      <c r="N40" s="6" t="str">
        <f t="shared" si="3"/>
        <v>Tidak</v>
      </c>
      <c r="P40" s="16" t="s">
        <v>257</v>
      </c>
      <c r="Q40" s="9"/>
      <c r="R40" s="10"/>
      <c r="S40" s="17"/>
      <c r="T40" s="16" t="s">
        <v>258</v>
      </c>
      <c r="U40" s="9"/>
      <c r="V40" s="10"/>
    </row>
    <row r="41" spans="1:22" ht="15.75" customHeight="1" x14ac:dyDescent="0.25">
      <c r="A41" s="6" t="s">
        <v>78</v>
      </c>
      <c r="B41" s="6" t="s">
        <v>16</v>
      </c>
      <c r="C41" s="6" t="s">
        <v>17</v>
      </c>
      <c r="D41" s="6" t="s">
        <v>79</v>
      </c>
      <c r="E41" s="6">
        <v>103</v>
      </c>
      <c r="F41" s="6" t="s">
        <v>23</v>
      </c>
      <c r="G41" s="6" t="s">
        <v>23</v>
      </c>
      <c r="H41" s="6" t="s">
        <v>24</v>
      </c>
      <c r="I41" s="6" t="s">
        <v>25</v>
      </c>
      <c r="J41" s="7" t="s">
        <v>13</v>
      </c>
      <c r="K41" s="6">
        <f t="shared" si="0"/>
        <v>8.3660130718954245E-6</v>
      </c>
      <c r="L41" s="6">
        <f t="shared" si="1"/>
        <v>7.9505363745835237E-4</v>
      </c>
      <c r="M41" s="6">
        <f t="shared" si="2"/>
        <v>0.12145670221819958</v>
      </c>
      <c r="N41" s="6" t="str">
        <f t="shared" si="3"/>
        <v>Tidak</v>
      </c>
      <c r="P41" s="17" t="s">
        <v>8</v>
      </c>
      <c r="Q41" s="17" t="s">
        <v>11</v>
      </c>
      <c r="R41" s="17" t="s">
        <v>12</v>
      </c>
      <c r="S41" s="17" t="s">
        <v>13</v>
      </c>
      <c r="T41" s="17" t="s">
        <v>11</v>
      </c>
      <c r="U41" s="17" t="s">
        <v>260</v>
      </c>
      <c r="V41" s="17" t="s">
        <v>13</v>
      </c>
    </row>
    <row r="42" spans="1:22" ht="15.75" customHeight="1" x14ac:dyDescent="0.25">
      <c r="A42" s="6" t="s">
        <v>80</v>
      </c>
      <c r="B42" s="6" t="s">
        <v>22</v>
      </c>
      <c r="C42" s="6" t="s">
        <v>17</v>
      </c>
      <c r="D42" s="6">
        <v>12</v>
      </c>
      <c r="E42" s="6">
        <v>94</v>
      </c>
      <c r="F42" s="6" t="s">
        <v>29</v>
      </c>
      <c r="G42" s="6" t="s">
        <v>35</v>
      </c>
      <c r="H42" s="6" t="s">
        <v>24</v>
      </c>
      <c r="I42" s="6" t="s">
        <v>25</v>
      </c>
      <c r="J42" s="7" t="s">
        <v>12</v>
      </c>
      <c r="K42" s="6">
        <f t="shared" si="0"/>
        <v>7.3012477718360067E-5</v>
      </c>
      <c r="L42" s="6">
        <f t="shared" si="1"/>
        <v>4.899886121224808E-3</v>
      </c>
      <c r="M42" s="6">
        <f t="shared" si="2"/>
        <v>1.0281973306733921E-3</v>
      </c>
      <c r="N42" s="6" t="str">
        <f t="shared" si="3"/>
        <v>Potensi Stunting</v>
      </c>
      <c r="P42" s="3" t="s">
        <v>20</v>
      </c>
      <c r="Q42" s="3">
        <f>AK3</f>
        <v>5</v>
      </c>
      <c r="R42" s="3">
        <f>AK4</f>
        <v>2</v>
      </c>
      <c r="S42" s="3">
        <f>AK5</f>
        <v>1</v>
      </c>
      <c r="T42" s="3">
        <f>Q42/Q47</f>
        <v>0.33333333333333331</v>
      </c>
      <c r="U42" s="3">
        <f>R42/R47</f>
        <v>8.6956521739130432E-2</v>
      </c>
      <c r="V42" s="3">
        <f>S42/S47</f>
        <v>6.7114093959731542E-3</v>
      </c>
    </row>
    <row r="43" spans="1:22" ht="15.75" customHeight="1" x14ac:dyDescent="0.25">
      <c r="A43" s="6" t="s">
        <v>81</v>
      </c>
      <c r="B43" s="6" t="s">
        <v>16</v>
      </c>
      <c r="C43" s="6" t="s">
        <v>27</v>
      </c>
      <c r="D43" s="6">
        <v>8</v>
      </c>
      <c r="E43" s="6">
        <v>68</v>
      </c>
      <c r="F43" s="6" t="s">
        <v>23</v>
      </c>
      <c r="G43" s="6" t="s">
        <v>23</v>
      </c>
      <c r="H43" s="6" t="s">
        <v>24</v>
      </c>
      <c r="I43" s="6" t="s">
        <v>25</v>
      </c>
      <c r="J43" s="7" t="s">
        <v>13</v>
      </c>
      <c r="K43" s="6">
        <f t="shared" si="0"/>
        <v>5.5773420479302833E-6</v>
      </c>
      <c r="L43" s="6">
        <f t="shared" si="1"/>
        <v>6.4961699645987316E-4</v>
      </c>
      <c r="M43" s="6">
        <f t="shared" si="2"/>
        <v>9.9239012788041134E-2</v>
      </c>
      <c r="N43" s="6" t="str">
        <f t="shared" si="3"/>
        <v>Tidak</v>
      </c>
      <c r="P43" s="3" t="s">
        <v>49</v>
      </c>
      <c r="Q43" s="3">
        <f>AK6</f>
        <v>1</v>
      </c>
      <c r="R43" s="3">
        <f>AK7</f>
        <v>2</v>
      </c>
      <c r="S43" s="3">
        <f>AK8</f>
        <v>11</v>
      </c>
      <c r="T43" s="3">
        <f>Q43/Q47</f>
        <v>6.6666666666666666E-2</v>
      </c>
      <c r="U43" s="3">
        <f>R43/R47</f>
        <v>8.6956521739130432E-2</v>
      </c>
      <c r="V43" s="3">
        <f>S43/S47</f>
        <v>7.3825503355704702E-2</v>
      </c>
    </row>
    <row r="44" spans="1:22" ht="15.75" customHeight="1" x14ac:dyDescent="0.25">
      <c r="A44" s="6" t="s">
        <v>82</v>
      </c>
      <c r="B44" s="6" t="s">
        <v>22</v>
      </c>
      <c r="C44" s="6" t="s">
        <v>27</v>
      </c>
      <c r="D44" s="6">
        <v>14.6</v>
      </c>
      <c r="E44" s="6">
        <v>77</v>
      </c>
      <c r="F44" s="6" t="s">
        <v>23</v>
      </c>
      <c r="G44" s="6" t="s">
        <v>23</v>
      </c>
      <c r="H44" s="6" t="s">
        <v>24</v>
      </c>
      <c r="I44" s="6" t="s">
        <v>25</v>
      </c>
      <c r="J44" s="7" t="s">
        <v>13</v>
      </c>
      <c r="K44" s="6">
        <f t="shared" si="0"/>
        <v>2.0281243810655577E-6</v>
      </c>
      <c r="L44" s="6">
        <f t="shared" si="1"/>
        <v>3.4646239811193244E-4</v>
      </c>
      <c r="M44" s="6">
        <f t="shared" si="2"/>
        <v>6.6902705250364791E-2</v>
      </c>
      <c r="N44" s="6" t="str">
        <f t="shared" si="3"/>
        <v>Tidak</v>
      </c>
      <c r="P44" s="3" t="s">
        <v>41</v>
      </c>
      <c r="Q44" s="3">
        <f>AK9</f>
        <v>1</v>
      </c>
      <c r="R44" s="3">
        <f>AK10</f>
        <v>2</v>
      </c>
      <c r="S44" s="3">
        <f>AK11</f>
        <v>6</v>
      </c>
      <c r="T44" s="3">
        <f>Q44/Q47</f>
        <v>6.6666666666666666E-2</v>
      </c>
      <c r="U44" s="3">
        <f>R44/R47</f>
        <v>8.6956521739130432E-2</v>
      </c>
      <c r="V44" s="3">
        <f>S44/S47</f>
        <v>4.0268456375838924E-2</v>
      </c>
    </row>
    <row r="45" spans="1:22" ht="15.75" customHeight="1" x14ac:dyDescent="0.25">
      <c r="A45" s="6" t="s">
        <v>83</v>
      </c>
      <c r="B45" s="6" t="s">
        <v>22</v>
      </c>
      <c r="C45" s="6" t="s">
        <v>27</v>
      </c>
      <c r="D45" s="6" t="s">
        <v>84</v>
      </c>
      <c r="E45" s="6">
        <v>59</v>
      </c>
      <c r="F45" s="6" t="s">
        <v>18</v>
      </c>
      <c r="G45" s="6" t="s">
        <v>19</v>
      </c>
      <c r="H45" s="6" t="s">
        <v>24</v>
      </c>
      <c r="I45" s="6" t="s">
        <v>25</v>
      </c>
      <c r="J45" s="7" t="s">
        <v>13</v>
      </c>
      <c r="K45" s="6">
        <f t="shared" si="0"/>
        <v>1.297999603881957E-4</v>
      </c>
      <c r="L45" s="6">
        <f t="shared" si="1"/>
        <v>7.6991644024873872E-5</v>
      </c>
      <c r="M45" s="6">
        <f t="shared" si="2"/>
        <v>1.7502342773149714E-5</v>
      </c>
      <c r="N45" s="6" t="str">
        <f t="shared" si="3"/>
        <v>Stunting</v>
      </c>
      <c r="P45" s="3" t="s">
        <v>24</v>
      </c>
      <c r="Q45" s="3">
        <f>AK12</f>
        <v>4</v>
      </c>
      <c r="R45" s="3">
        <f>AK13</f>
        <v>14</v>
      </c>
      <c r="S45" s="3">
        <f>AK14</f>
        <v>101</v>
      </c>
      <c r="T45" s="3">
        <f>Q45/Q47</f>
        <v>0.26666666666666666</v>
      </c>
      <c r="U45" s="3">
        <f>R45/R47</f>
        <v>0.60869565217391308</v>
      </c>
      <c r="V45" s="3">
        <f>S45/S47</f>
        <v>0.67785234899328861</v>
      </c>
    </row>
    <row r="46" spans="1:22" ht="15.75" customHeight="1" x14ac:dyDescent="0.25">
      <c r="A46" s="6" t="s">
        <v>85</v>
      </c>
      <c r="B46" s="6" t="s">
        <v>16</v>
      </c>
      <c r="C46" s="6" t="s">
        <v>27</v>
      </c>
      <c r="D46" s="6">
        <v>6</v>
      </c>
      <c r="E46" s="6">
        <v>60</v>
      </c>
      <c r="F46" s="6" t="s">
        <v>23</v>
      </c>
      <c r="G46" s="6" t="s">
        <v>23</v>
      </c>
      <c r="H46" s="6" t="s">
        <v>24</v>
      </c>
      <c r="I46" s="6" t="s">
        <v>25</v>
      </c>
      <c r="J46" s="7" t="s">
        <v>13</v>
      </c>
      <c r="K46" s="6">
        <f t="shared" si="0"/>
        <v>5.5773420479302833E-6</v>
      </c>
      <c r="L46" s="6">
        <f t="shared" si="1"/>
        <v>6.4961699645987316E-4</v>
      </c>
      <c r="M46" s="6">
        <f t="shared" si="2"/>
        <v>9.9239012788041134E-2</v>
      </c>
      <c r="N46" s="6" t="str">
        <f t="shared" si="3"/>
        <v>Tidak</v>
      </c>
      <c r="P46" s="3" t="s">
        <v>33</v>
      </c>
      <c r="Q46" s="3">
        <f>AK15</f>
        <v>4</v>
      </c>
      <c r="R46" s="3">
        <f>AK16</f>
        <v>3</v>
      </c>
      <c r="S46" s="3">
        <f>AK17</f>
        <v>30</v>
      </c>
      <c r="T46" s="3">
        <f>Q46/Q47</f>
        <v>0.26666666666666666</v>
      </c>
      <c r="U46" s="3">
        <f>R46/R47</f>
        <v>0.13043478260869565</v>
      </c>
      <c r="V46" s="3">
        <f>S46/S47</f>
        <v>0.20134228187919462</v>
      </c>
    </row>
    <row r="47" spans="1:22" ht="15.75" customHeight="1" x14ac:dyDescent="0.25">
      <c r="A47" s="6" t="s">
        <v>86</v>
      </c>
      <c r="B47" s="6" t="s">
        <v>22</v>
      </c>
      <c r="C47" s="6" t="s">
        <v>27</v>
      </c>
      <c r="D47" s="6">
        <v>6.8</v>
      </c>
      <c r="E47" s="6">
        <v>82</v>
      </c>
      <c r="F47" s="6" t="s">
        <v>29</v>
      </c>
      <c r="G47" s="6" t="s">
        <v>23</v>
      </c>
      <c r="H47" s="6" t="s">
        <v>33</v>
      </c>
      <c r="I47" s="6" t="s">
        <v>25</v>
      </c>
      <c r="J47" s="7" t="s">
        <v>13</v>
      </c>
      <c r="K47" s="6">
        <f t="shared" si="0"/>
        <v>8.112497524262231E-6</v>
      </c>
      <c r="L47" s="6">
        <f t="shared" si="1"/>
        <v>1.6085754198054002E-4</v>
      </c>
      <c r="M47" s="6">
        <f t="shared" si="2"/>
        <v>4.3357288731109486E-3</v>
      </c>
      <c r="N47" s="6" t="str">
        <f t="shared" si="3"/>
        <v>Tidak</v>
      </c>
      <c r="P47" s="3"/>
      <c r="Q47" s="3">
        <f t="shared" ref="Q47:V47" si="8">SUM(Q42:Q46)</f>
        <v>15</v>
      </c>
      <c r="R47" s="3">
        <f t="shared" si="8"/>
        <v>23</v>
      </c>
      <c r="S47" s="3">
        <f t="shared" si="8"/>
        <v>149</v>
      </c>
      <c r="T47" s="3">
        <f t="shared" si="8"/>
        <v>1</v>
      </c>
      <c r="U47" s="3">
        <f t="shared" si="8"/>
        <v>1</v>
      </c>
      <c r="V47" s="3">
        <f t="shared" si="8"/>
        <v>1</v>
      </c>
    </row>
    <row r="48" spans="1:22" ht="15.75" customHeight="1" x14ac:dyDescent="0.25">
      <c r="A48" s="6" t="s">
        <v>87</v>
      </c>
      <c r="B48" s="6" t="s">
        <v>22</v>
      </c>
      <c r="C48" s="6" t="s">
        <v>17</v>
      </c>
      <c r="D48" s="6">
        <v>19.5</v>
      </c>
      <c r="E48" s="6">
        <v>116</v>
      </c>
      <c r="F48" s="6" t="s">
        <v>48</v>
      </c>
      <c r="G48" s="6" t="s">
        <v>23</v>
      </c>
      <c r="H48" s="6" t="s">
        <v>49</v>
      </c>
      <c r="I48" s="6" t="s">
        <v>25</v>
      </c>
      <c r="J48" s="7" t="s">
        <v>13</v>
      </c>
      <c r="K48" s="6">
        <f t="shared" si="0"/>
        <v>1.521093285799168E-6</v>
      </c>
      <c r="L48" s="6">
        <f t="shared" si="1"/>
        <v>3.0287757617461039E-5</v>
      </c>
      <c r="M48" s="6">
        <f t="shared" si="2"/>
        <v>1.0539128682856341E-3</v>
      </c>
      <c r="N48" s="6" t="str">
        <f t="shared" si="3"/>
        <v>Tidak</v>
      </c>
    </row>
    <row r="49" spans="1:30" ht="15.75" customHeight="1" x14ac:dyDescent="0.25">
      <c r="A49" s="6" t="s">
        <v>88</v>
      </c>
      <c r="B49" s="6" t="s">
        <v>16</v>
      </c>
      <c r="C49" s="6" t="s">
        <v>17</v>
      </c>
      <c r="D49" s="6">
        <v>14.2</v>
      </c>
      <c r="E49" s="6">
        <v>109</v>
      </c>
      <c r="F49" s="6" t="s">
        <v>23</v>
      </c>
      <c r="G49" s="6" t="s">
        <v>23</v>
      </c>
      <c r="H49" s="6" t="s">
        <v>24</v>
      </c>
      <c r="I49" s="6" t="s">
        <v>25</v>
      </c>
      <c r="J49" s="7" t="s">
        <v>13</v>
      </c>
      <c r="K49" s="6">
        <f t="shared" si="0"/>
        <v>8.3660130718954245E-6</v>
      </c>
      <c r="L49" s="6">
        <f t="shared" si="1"/>
        <v>7.9505363745835237E-4</v>
      </c>
      <c r="M49" s="6">
        <f t="shared" si="2"/>
        <v>0.12145670221819958</v>
      </c>
      <c r="N49" s="6" t="str">
        <f t="shared" si="3"/>
        <v>Tidak</v>
      </c>
      <c r="P49" s="16" t="s">
        <v>257</v>
      </c>
      <c r="Q49" s="9"/>
      <c r="R49" s="10"/>
      <c r="S49" s="17"/>
      <c r="T49" s="16" t="s">
        <v>258</v>
      </c>
      <c r="U49" s="9"/>
      <c r="V49" s="10"/>
    </row>
    <row r="50" spans="1:30" ht="15.75" customHeight="1" x14ac:dyDescent="0.25">
      <c r="A50" s="6" t="s">
        <v>89</v>
      </c>
      <c r="B50" s="6" t="s">
        <v>16</v>
      </c>
      <c r="C50" s="6" t="s">
        <v>17</v>
      </c>
      <c r="D50" s="6" t="s">
        <v>90</v>
      </c>
      <c r="E50" s="6">
        <v>101</v>
      </c>
      <c r="F50" s="6" t="s">
        <v>23</v>
      </c>
      <c r="G50" s="6" t="s">
        <v>23</v>
      </c>
      <c r="H50" s="6" t="s">
        <v>24</v>
      </c>
      <c r="I50" s="6" t="s">
        <v>25</v>
      </c>
      <c r="J50" s="7" t="s">
        <v>13</v>
      </c>
      <c r="K50" s="6">
        <f t="shared" si="0"/>
        <v>8.3660130718954245E-6</v>
      </c>
      <c r="L50" s="6">
        <f t="shared" si="1"/>
        <v>7.9505363745835237E-4</v>
      </c>
      <c r="M50" s="6">
        <f t="shared" si="2"/>
        <v>0.12145670221819958</v>
      </c>
      <c r="N50" s="6" t="str">
        <f t="shared" si="3"/>
        <v>Tidak</v>
      </c>
      <c r="P50" s="17" t="s">
        <v>265</v>
      </c>
      <c r="Q50" s="17" t="s">
        <v>11</v>
      </c>
      <c r="R50" s="17" t="s">
        <v>12</v>
      </c>
      <c r="S50" s="17" t="s">
        <v>13</v>
      </c>
      <c r="T50" s="17" t="s">
        <v>11</v>
      </c>
      <c r="U50" s="17" t="s">
        <v>260</v>
      </c>
      <c r="V50" s="17" t="s">
        <v>13</v>
      </c>
    </row>
    <row r="51" spans="1:30" ht="15.75" customHeight="1" x14ac:dyDescent="0.25">
      <c r="A51" s="6" t="s">
        <v>91</v>
      </c>
      <c r="B51" s="6" t="s">
        <v>16</v>
      </c>
      <c r="C51" s="6" t="s">
        <v>17</v>
      </c>
      <c r="D51" s="6">
        <v>9.4</v>
      </c>
      <c r="E51" s="6">
        <v>85</v>
      </c>
      <c r="F51" s="6" t="s">
        <v>29</v>
      </c>
      <c r="G51" s="6" t="s">
        <v>35</v>
      </c>
      <c r="H51" s="6" t="s">
        <v>20</v>
      </c>
      <c r="I51" s="6" t="s">
        <v>13</v>
      </c>
      <c r="J51" s="7" t="s">
        <v>11</v>
      </c>
      <c r="K51" s="6">
        <f t="shared" si="0"/>
        <v>1.003921568627451E-3</v>
      </c>
      <c r="L51" s="6">
        <f t="shared" si="1"/>
        <v>1.9687042451349676E-4</v>
      </c>
      <c r="M51" s="6">
        <f t="shared" si="2"/>
        <v>1.0203099905219418E-7</v>
      </c>
      <c r="N51" s="6" t="str">
        <f t="shared" si="3"/>
        <v>Stunting</v>
      </c>
      <c r="P51" s="3" t="s">
        <v>25</v>
      </c>
      <c r="Q51" s="3">
        <f>AO3</f>
        <v>3</v>
      </c>
      <c r="R51" s="3">
        <f>AO4</f>
        <v>20</v>
      </c>
      <c r="S51" s="3">
        <f>AO5</f>
        <v>148</v>
      </c>
      <c r="T51" s="3">
        <f>Q51/Q53</f>
        <v>0.2</v>
      </c>
      <c r="U51" s="3">
        <f>R51/R53</f>
        <v>0.86956521739130432</v>
      </c>
      <c r="V51" s="3">
        <f>S51/S53</f>
        <v>0.99328859060402686</v>
      </c>
    </row>
    <row r="52" spans="1:30" ht="15.75" customHeight="1" x14ac:dyDescent="0.25">
      <c r="A52" s="6" t="s">
        <v>92</v>
      </c>
      <c r="B52" s="6" t="s">
        <v>22</v>
      </c>
      <c r="C52" s="6" t="s">
        <v>27</v>
      </c>
      <c r="D52" s="6">
        <v>12.5</v>
      </c>
      <c r="E52" s="6">
        <v>87</v>
      </c>
      <c r="F52" s="6" t="s">
        <v>23</v>
      </c>
      <c r="G52" s="6" t="s">
        <v>23</v>
      </c>
      <c r="H52" s="6" t="s">
        <v>24</v>
      </c>
      <c r="I52" s="6" t="s">
        <v>25</v>
      </c>
      <c r="J52" s="7" t="s">
        <v>13</v>
      </c>
      <c r="K52" s="6">
        <f t="shared" si="0"/>
        <v>2.0281243810655577E-6</v>
      </c>
      <c r="L52" s="6">
        <f t="shared" si="1"/>
        <v>3.4646239811193244E-4</v>
      </c>
      <c r="M52" s="6">
        <f t="shared" si="2"/>
        <v>6.6902705250364791E-2</v>
      </c>
      <c r="N52" s="6" t="str">
        <f t="shared" si="3"/>
        <v>Tidak</v>
      </c>
      <c r="P52" s="3" t="s">
        <v>13</v>
      </c>
      <c r="Q52" s="3">
        <f>AO6</f>
        <v>12</v>
      </c>
      <c r="R52" s="3">
        <f>AO7</f>
        <v>3</v>
      </c>
      <c r="S52" s="3">
        <f>AO8</f>
        <v>1</v>
      </c>
      <c r="T52" s="3">
        <f>Q52/Q53</f>
        <v>0.8</v>
      </c>
      <c r="U52" s="3">
        <f>R52/R53</f>
        <v>0.13043478260869565</v>
      </c>
      <c r="V52" s="3">
        <f>S52/S53</f>
        <v>6.7114093959731542E-3</v>
      </c>
    </row>
    <row r="53" spans="1:30" ht="15.75" customHeight="1" x14ac:dyDescent="0.25">
      <c r="A53" s="6" t="s">
        <v>93</v>
      </c>
      <c r="B53" s="6" t="s">
        <v>22</v>
      </c>
      <c r="C53" s="6" t="s">
        <v>27</v>
      </c>
      <c r="D53" s="6">
        <v>7</v>
      </c>
      <c r="E53" s="6">
        <v>71.400000000000006</v>
      </c>
      <c r="F53" s="6" t="s">
        <v>29</v>
      </c>
      <c r="G53" s="6" t="s">
        <v>35</v>
      </c>
      <c r="H53" s="6" t="s">
        <v>20</v>
      </c>
      <c r="I53" s="6" t="s">
        <v>13</v>
      </c>
      <c r="J53" s="7" t="s">
        <v>11</v>
      </c>
      <c r="K53" s="6">
        <f t="shared" si="0"/>
        <v>2.4337492572786693E-4</v>
      </c>
      <c r="L53" s="6">
        <f t="shared" si="1"/>
        <v>8.5790689056287997E-5</v>
      </c>
      <c r="M53" s="6">
        <f t="shared" si="2"/>
        <v>5.6202331623707932E-8</v>
      </c>
      <c r="N53" s="6" t="str">
        <f t="shared" si="3"/>
        <v>Stunting</v>
      </c>
      <c r="P53" s="3"/>
      <c r="Q53" s="3">
        <f t="shared" ref="Q53:V53" si="9">SUM(Q51:Q52)</f>
        <v>15</v>
      </c>
      <c r="R53" s="3">
        <f t="shared" si="9"/>
        <v>23</v>
      </c>
      <c r="S53" s="3">
        <f t="shared" si="9"/>
        <v>149</v>
      </c>
      <c r="T53" s="3">
        <f t="shared" si="9"/>
        <v>1</v>
      </c>
      <c r="U53" s="3">
        <f t="shared" si="9"/>
        <v>1</v>
      </c>
      <c r="V53" s="3">
        <f t="shared" si="9"/>
        <v>1</v>
      </c>
    </row>
    <row r="54" spans="1:30" ht="15.75" customHeight="1" x14ac:dyDescent="0.25">
      <c r="A54" s="6" t="s">
        <v>94</v>
      </c>
      <c r="B54" s="6" t="s">
        <v>22</v>
      </c>
      <c r="C54" s="6" t="s">
        <v>27</v>
      </c>
      <c r="D54" s="6" t="s">
        <v>95</v>
      </c>
      <c r="E54" s="6">
        <v>91</v>
      </c>
      <c r="F54" s="6" t="s">
        <v>23</v>
      </c>
      <c r="G54" s="6" t="s">
        <v>23</v>
      </c>
      <c r="H54" s="6" t="s">
        <v>24</v>
      </c>
      <c r="I54" s="6" t="s">
        <v>25</v>
      </c>
      <c r="J54" s="7" t="s">
        <v>13</v>
      </c>
      <c r="K54" s="6">
        <f t="shared" si="0"/>
        <v>2.0281243810655577E-6</v>
      </c>
      <c r="L54" s="6">
        <f t="shared" si="1"/>
        <v>3.4646239811193244E-4</v>
      </c>
      <c r="M54" s="6">
        <f t="shared" si="2"/>
        <v>6.6902705250364791E-2</v>
      </c>
      <c r="N54" s="6" t="str">
        <f t="shared" si="3"/>
        <v>Tidak</v>
      </c>
    </row>
    <row r="55" spans="1:30" ht="15.75" customHeight="1" x14ac:dyDescent="0.25">
      <c r="A55" s="6" t="s">
        <v>96</v>
      </c>
      <c r="B55" s="6" t="s">
        <v>16</v>
      </c>
      <c r="C55" s="6" t="s">
        <v>17</v>
      </c>
      <c r="D55" s="6">
        <v>17</v>
      </c>
      <c r="E55" s="6">
        <v>103</v>
      </c>
      <c r="F55" s="6" t="s">
        <v>23</v>
      </c>
      <c r="G55" s="6" t="s">
        <v>23</v>
      </c>
      <c r="H55" s="6" t="s">
        <v>24</v>
      </c>
      <c r="I55" s="6" t="s">
        <v>25</v>
      </c>
      <c r="J55" s="7" t="s">
        <v>13</v>
      </c>
      <c r="K55" s="6">
        <f t="shared" si="0"/>
        <v>8.3660130718954245E-6</v>
      </c>
      <c r="L55" s="6">
        <f t="shared" si="1"/>
        <v>7.9505363745835237E-4</v>
      </c>
      <c r="M55" s="6">
        <f t="shared" si="2"/>
        <v>0.12145670221819958</v>
      </c>
      <c r="N55" s="6" t="str">
        <f t="shared" si="3"/>
        <v>Tidak</v>
      </c>
      <c r="O55" s="18"/>
      <c r="Z55" s="19" t="s">
        <v>0</v>
      </c>
      <c r="AA55" s="9"/>
      <c r="AB55" s="10"/>
      <c r="AC55" s="2" t="s">
        <v>266</v>
      </c>
      <c r="AD55" s="20"/>
    </row>
    <row r="56" spans="1:30" ht="15.75" customHeight="1" x14ac:dyDescent="0.25">
      <c r="A56" s="6" t="s">
        <v>97</v>
      </c>
      <c r="B56" s="6" t="s">
        <v>16</v>
      </c>
      <c r="C56" s="6" t="s">
        <v>27</v>
      </c>
      <c r="D56" s="6" t="s">
        <v>95</v>
      </c>
      <c r="E56" s="6">
        <v>88</v>
      </c>
      <c r="F56" s="6" t="s">
        <v>23</v>
      </c>
      <c r="G56" s="6" t="s">
        <v>23</v>
      </c>
      <c r="H56" s="6" t="s">
        <v>24</v>
      </c>
      <c r="I56" s="6" t="s">
        <v>25</v>
      </c>
      <c r="J56" s="7" t="s">
        <v>13</v>
      </c>
      <c r="K56" s="6">
        <f t="shared" si="0"/>
        <v>5.5773420479302833E-6</v>
      </c>
      <c r="L56" s="6">
        <f t="shared" si="1"/>
        <v>6.4961699645987316E-4</v>
      </c>
      <c r="M56" s="6">
        <f t="shared" si="2"/>
        <v>9.9239012788041134E-2</v>
      </c>
      <c r="N56" s="6" t="str">
        <f t="shared" si="3"/>
        <v>Tidak</v>
      </c>
      <c r="O56" s="21"/>
      <c r="P56" s="4" t="s">
        <v>1</v>
      </c>
      <c r="Q56" s="4" t="s">
        <v>2</v>
      </c>
      <c r="R56" s="4" t="s">
        <v>3</v>
      </c>
      <c r="S56" s="4" t="s">
        <v>4</v>
      </c>
      <c r="T56" s="4" t="s">
        <v>5</v>
      </c>
      <c r="U56" s="4" t="s">
        <v>6</v>
      </c>
      <c r="V56" s="4" t="s">
        <v>7</v>
      </c>
      <c r="W56" s="4" t="s">
        <v>8</v>
      </c>
      <c r="X56" s="4" t="s">
        <v>9</v>
      </c>
      <c r="Y56" s="4" t="s">
        <v>10</v>
      </c>
      <c r="Z56" s="4" t="s">
        <v>11</v>
      </c>
      <c r="AA56" s="4" t="s">
        <v>12</v>
      </c>
      <c r="AB56" s="4" t="s">
        <v>13</v>
      </c>
      <c r="AC56" s="22"/>
      <c r="AD56" s="23"/>
    </row>
    <row r="57" spans="1:30" ht="15.75" customHeight="1" x14ac:dyDescent="0.25">
      <c r="A57" s="6" t="s">
        <v>98</v>
      </c>
      <c r="B57" s="6" t="s">
        <v>22</v>
      </c>
      <c r="C57" s="6" t="s">
        <v>27</v>
      </c>
      <c r="D57" s="6">
        <v>11</v>
      </c>
      <c r="E57" s="6">
        <v>80</v>
      </c>
      <c r="F57" s="6" t="s">
        <v>23</v>
      </c>
      <c r="G57" s="6" t="s">
        <v>23</v>
      </c>
      <c r="H57" s="6" t="s">
        <v>24</v>
      </c>
      <c r="I57" s="6" t="s">
        <v>25</v>
      </c>
      <c r="J57" s="7" t="s">
        <v>13</v>
      </c>
      <c r="K57" s="6">
        <f t="shared" si="0"/>
        <v>2.0281243810655577E-6</v>
      </c>
      <c r="L57" s="6">
        <f t="shared" si="1"/>
        <v>3.4646239811193244E-4</v>
      </c>
      <c r="M57" s="6">
        <f t="shared" si="2"/>
        <v>6.6902705250364791E-2</v>
      </c>
      <c r="N57" s="6" t="str">
        <f t="shared" si="3"/>
        <v>Tidak</v>
      </c>
      <c r="O57" s="21"/>
      <c r="P57" s="6" t="s">
        <v>267</v>
      </c>
      <c r="Q57" s="6" t="s">
        <v>16</v>
      </c>
      <c r="R57" s="6" t="s">
        <v>17</v>
      </c>
      <c r="S57" s="6">
        <v>17.600000000000001</v>
      </c>
      <c r="T57" s="6">
        <v>107</v>
      </c>
      <c r="U57" s="6" t="s">
        <v>48</v>
      </c>
      <c r="V57" s="6" t="s">
        <v>23</v>
      </c>
      <c r="W57" s="6" t="s">
        <v>49</v>
      </c>
      <c r="X57" s="6" t="s">
        <v>25</v>
      </c>
      <c r="Y57" s="6" t="s">
        <v>13</v>
      </c>
      <c r="Z57" s="15">
        <f>S15*S22*S27*S43*S51</f>
        <v>154454872</v>
      </c>
      <c r="AA57" s="15">
        <f>T15*T22*T27*T35*T43*T51</f>
        <v>5.2148148148148151E-5</v>
      </c>
      <c r="AB57" s="24">
        <f>U15*U22*U27*U35*U43*U51</f>
        <v>4.6172369628792498E-4</v>
      </c>
      <c r="AC57" s="15" t="s">
        <v>13</v>
      </c>
      <c r="AD57" s="15"/>
    </row>
    <row r="58" spans="1:30" ht="15.75" customHeight="1" x14ac:dyDescent="0.25">
      <c r="A58" s="6" t="s">
        <v>99</v>
      </c>
      <c r="B58" s="6" t="s">
        <v>22</v>
      </c>
      <c r="C58" s="6" t="s">
        <v>27</v>
      </c>
      <c r="D58" s="6">
        <v>10.9</v>
      </c>
      <c r="E58" s="6">
        <v>92</v>
      </c>
      <c r="F58" s="6" t="s">
        <v>23</v>
      </c>
      <c r="G58" s="6" t="s">
        <v>23</v>
      </c>
      <c r="H58" s="6" t="s">
        <v>24</v>
      </c>
      <c r="I58" s="6" t="s">
        <v>25</v>
      </c>
      <c r="J58" s="7" t="s">
        <v>13</v>
      </c>
      <c r="K58" s="6">
        <f t="shared" si="0"/>
        <v>2.0281243810655577E-6</v>
      </c>
      <c r="L58" s="6">
        <f t="shared" si="1"/>
        <v>3.4646239811193244E-4</v>
      </c>
      <c r="M58" s="6">
        <f t="shared" si="2"/>
        <v>6.6902705250364791E-2</v>
      </c>
      <c r="N58" s="6" t="str">
        <f t="shared" si="3"/>
        <v>Tidak</v>
      </c>
      <c r="P58" s="6" t="s">
        <v>21</v>
      </c>
      <c r="Q58" s="6" t="s">
        <v>22</v>
      </c>
      <c r="R58" s="6" t="s">
        <v>17</v>
      </c>
      <c r="S58" s="6">
        <v>11.3</v>
      </c>
      <c r="T58" s="6">
        <v>115</v>
      </c>
      <c r="U58" s="6" t="s">
        <v>23</v>
      </c>
      <c r="V58" s="6" t="s">
        <v>23</v>
      </c>
      <c r="W58" s="6" t="s">
        <v>24</v>
      </c>
      <c r="X58" s="6" t="s">
        <v>25</v>
      </c>
      <c r="Y58" s="7" t="s">
        <v>13</v>
      </c>
    </row>
    <row r="59" spans="1:30" ht="15.75" customHeight="1" x14ac:dyDescent="0.25">
      <c r="A59" s="6" t="s">
        <v>100</v>
      </c>
      <c r="B59" s="6" t="s">
        <v>16</v>
      </c>
      <c r="C59" s="6" t="s">
        <v>27</v>
      </c>
      <c r="D59" s="6">
        <v>13</v>
      </c>
      <c r="E59" s="6">
        <v>87</v>
      </c>
      <c r="F59" s="6" t="s">
        <v>23</v>
      </c>
      <c r="G59" s="6" t="s">
        <v>23</v>
      </c>
      <c r="H59" s="6" t="s">
        <v>24</v>
      </c>
      <c r="I59" s="6" t="s">
        <v>25</v>
      </c>
      <c r="J59" s="7" t="s">
        <v>13</v>
      </c>
      <c r="K59" s="6">
        <f t="shared" si="0"/>
        <v>5.5773420479302833E-6</v>
      </c>
      <c r="L59" s="6">
        <f t="shared" si="1"/>
        <v>6.4961699645987316E-4</v>
      </c>
      <c r="M59" s="6">
        <f t="shared" si="2"/>
        <v>9.9239012788041134E-2</v>
      </c>
      <c r="N59" s="6" t="str">
        <f t="shared" si="3"/>
        <v>Tidak</v>
      </c>
    </row>
    <row r="60" spans="1:30" ht="15.75" customHeight="1" x14ac:dyDescent="0.25">
      <c r="A60" s="6" t="s">
        <v>101</v>
      </c>
      <c r="B60" s="6" t="s">
        <v>16</v>
      </c>
      <c r="C60" s="6" t="s">
        <v>27</v>
      </c>
      <c r="D60" s="6">
        <v>12.8</v>
      </c>
      <c r="E60" s="6">
        <v>91</v>
      </c>
      <c r="F60" s="6" t="s">
        <v>23</v>
      </c>
      <c r="G60" s="6" t="s">
        <v>23</v>
      </c>
      <c r="H60" s="6" t="s">
        <v>24</v>
      </c>
      <c r="I60" s="6" t="s">
        <v>25</v>
      </c>
      <c r="J60" s="7" t="s">
        <v>13</v>
      </c>
      <c r="K60" s="6">
        <f t="shared" si="0"/>
        <v>5.5773420479302833E-6</v>
      </c>
      <c r="L60" s="6">
        <f t="shared" si="1"/>
        <v>6.4961699645987316E-4</v>
      </c>
      <c r="M60" s="6">
        <f t="shared" si="2"/>
        <v>9.9239012788041134E-2</v>
      </c>
      <c r="N60" s="6" t="str">
        <f t="shared" si="3"/>
        <v>Tidak</v>
      </c>
    </row>
    <row r="61" spans="1:30" ht="15.75" customHeight="1" x14ac:dyDescent="0.25">
      <c r="A61" s="6" t="s">
        <v>102</v>
      </c>
      <c r="B61" s="6" t="s">
        <v>22</v>
      </c>
      <c r="C61" s="6" t="s">
        <v>17</v>
      </c>
      <c r="D61" s="6" t="s">
        <v>103</v>
      </c>
      <c r="E61" s="6">
        <v>102</v>
      </c>
      <c r="F61" s="6" t="s">
        <v>23</v>
      </c>
      <c r="G61" s="6" t="s">
        <v>23</v>
      </c>
      <c r="H61" s="6" t="s">
        <v>24</v>
      </c>
      <c r="I61" s="6" t="s">
        <v>25</v>
      </c>
      <c r="J61" s="7" t="s">
        <v>13</v>
      </c>
      <c r="K61" s="6">
        <f t="shared" si="0"/>
        <v>3.042186571598336E-6</v>
      </c>
      <c r="L61" s="6">
        <f t="shared" si="1"/>
        <v>4.2402860664445452E-4</v>
      </c>
      <c r="M61" s="6">
        <f t="shared" si="2"/>
        <v>8.1880922843730039E-2</v>
      </c>
      <c r="N61" s="6" t="str">
        <f t="shared" si="3"/>
        <v>Tidak</v>
      </c>
    </row>
    <row r="62" spans="1:30" ht="15.75" customHeight="1" x14ac:dyDescent="0.25">
      <c r="A62" s="6" t="s">
        <v>104</v>
      </c>
      <c r="B62" s="6" t="s">
        <v>16</v>
      </c>
      <c r="C62" s="6" t="s">
        <v>27</v>
      </c>
      <c r="D62" s="6">
        <v>7.9</v>
      </c>
      <c r="E62" s="6">
        <v>90</v>
      </c>
      <c r="F62" s="6" t="s">
        <v>29</v>
      </c>
      <c r="G62" s="6" t="s">
        <v>23</v>
      </c>
      <c r="H62" s="6" t="s">
        <v>33</v>
      </c>
      <c r="I62" s="6" t="s">
        <v>25</v>
      </c>
      <c r="J62" s="7" t="s">
        <v>13</v>
      </c>
      <c r="K62" s="6">
        <f t="shared" si="0"/>
        <v>2.2309368191721133E-5</v>
      </c>
      <c r="L62" s="6">
        <f t="shared" si="1"/>
        <v>3.0160789121351256E-4</v>
      </c>
      <c r="M62" s="6">
        <f t="shared" si="2"/>
        <v>6.4313311617812414E-3</v>
      </c>
      <c r="N62" s="6" t="str">
        <f t="shared" si="3"/>
        <v>Tidak</v>
      </c>
    </row>
    <row r="63" spans="1:30" ht="15.75" customHeight="1" x14ac:dyDescent="0.25">
      <c r="A63" s="6" t="s">
        <v>105</v>
      </c>
      <c r="B63" s="6" t="s">
        <v>16</v>
      </c>
      <c r="C63" s="6" t="s">
        <v>17</v>
      </c>
      <c r="D63" s="6">
        <v>11.5</v>
      </c>
      <c r="E63" s="6">
        <v>93</v>
      </c>
      <c r="F63" s="6" t="s">
        <v>29</v>
      </c>
      <c r="G63" s="6" t="s">
        <v>23</v>
      </c>
      <c r="H63" s="6" t="s">
        <v>33</v>
      </c>
      <c r="I63" s="6" t="s">
        <v>25</v>
      </c>
      <c r="J63" s="7" t="s">
        <v>13</v>
      </c>
      <c r="K63" s="6">
        <f t="shared" si="0"/>
        <v>3.3464052287581698E-5</v>
      </c>
      <c r="L63" s="6">
        <f t="shared" si="1"/>
        <v>3.6913204596280647E-4</v>
      </c>
      <c r="M63" s="6">
        <f t="shared" si="2"/>
        <v>7.871181421881519E-3</v>
      </c>
      <c r="N63" s="6" t="str">
        <f t="shared" si="3"/>
        <v>Tidak</v>
      </c>
    </row>
    <row r="64" spans="1:30" ht="15.75" customHeight="1" x14ac:dyDescent="0.25">
      <c r="A64" s="6" t="s">
        <v>106</v>
      </c>
      <c r="B64" s="6" t="s">
        <v>22</v>
      </c>
      <c r="C64" s="6" t="s">
        <v>17</v>
      </c>
      <c r="D64" s="6">
        <v>19.399999999999999</v>
      </c>
      <c r="E64" s="6">
        <v>98</v>
      </c>
      <c r="F64" s="6" t="s">
        <v>48</v>
      </c>
      <c r="G64" s="6" t="s">
        <v>23</v>
      </c>
      <c r="H64" s="6" t="s">
        <v>49</v>
      </c>
      <c r="I64" s="6" t="s">
        <v>25</v>
      </c>
      <c r="J64" s="7" t="s">
        <v>13</v>
      </c>
      <c r="K64" s="6">
        <f t="shared" si="0"/>
        <v>1.521093285799168E-6</v>
      </c>
      <c r="L64" s="6">
        <f t="shared" si="1"/>
        <v>3.0287757617461039E-5</v>
      </c>
      <c r="M64" s="6">
        <f t="shared" si="2"/>
        <v>1.0539128682856341E-3</v>
      </c>
      <c r="N64" s="6" t="str">
        <f t="shared" si="3"/>
        <v>Tidak</v>
      </c>
    </row>
    <row r="65" spans="1:14" ht="15.75" customHeight="1" x14ac:dyDescent="0.25">
      <c r="A65" s="6" t="s">
        <v>107</v>
      </c>
      <c r="B65" s="6" t="s">
        <v>16</v>
      </c>
      <c r="C65" s="6" t="s">
        <v>17</v>
      </c>
      <c r="D65" s="6">
        <v>18.100000000000001</v>
      </c>
      <c r="E65" s="6">
        <v>94</v>
      </c>
      <c r="F65" s="6" t="s">
        <v>48</v>
      </c>
      <c r="G65" s="6" t="s">
        <v>23</v>
      </c>
      <c r="H65" s="6" t="s">
        <v>20</v>
      </c>
      <c r="I65" s="6" t="s">
        <v>25</v>
      </c>
      <c r="J65" s="7" t="s">
        <v>13</v>
      </c>
      <c r="K65" s="6">
        <f t="shared" si="0"/>
        <v>2.091503267973856E-5</v>
      </c>
      <c r="L65" s="6">
        <f t="shared" si="1"/>
        <v>5.6789545532739453E-5</v>
      </c>
      <c r="M65" s="6">
        <f t="shared" si="2"/>
        <v>1.4211855345063856E-4</v>
      </c>
      <c r="N65" s="6" t="str">
        <f t="shared" si="3"/>
        <v>Tidak</v>
      </c>
    </row>
    <row r="66" spans="1:14" ht="15.75" customHeight="1" x14ac:dyDescent="0.25">
      <c r="A66" s="6" t="s">
        <v>108</v>
      </c>
      <c r="B66" s="6" t="s">
        <v>22</v>
      </c>
      <c r="C66" s="6" t="s">
        <v>27</v>
      </c>
      <c r="D66" s="6">
        <v>12.7</v>
      </c>
      <c r="E66" s="6">
        <v>84</v>
      </c>
      <c r="F66" s="6" t="s">
        <v>23</v>
      </c>
      <c r="G66" s="6" t="s">
        <v>23</v>
      </c>
      <c r="H66" s="6" t="s">
        <v>24</v>
      </c>
      <c r="I66" s="6" t="s">
        <v>25</v>
      </c>
      <c r="J66" s="7" t="s">
        <v>13</v>
      </c>
      <c r="K66" s="6">
        <f t="shared" si="0"/>
        <v>2.0281243810655577E-6</v>
      </c>
      <c r="L66" s="6">
        <f t="shared" si="1"/>
        <v>3.4646239811193244E-4</v>
      </c>
      <c r="M66" s="6">
        <f t="shared" si="2"/>
        <v>6.6902705250364791E-2</v>
      </c>
      <c r="N66" s="6" t="str">
        <f t="shared" si="3"/>
        <v>Tidak</v>
      </c>
    </row>
    <row r="67" spans="1:14" ht="15.75" customHeight="1" x14ac:dyDescent="0.25">
      <c r="A67" s="6" t="s">
        <v>109</v>
      </c>
      <c r="B67" s="6" t="s">
        <v>16</v>
      </c>
      <c r="C67" s="6" t="s">
        <v>17</v>
      </c>
      <c r="D67" s="6">
        <v>17.3</v>
      </c>
      <c r="E67" s="6">
        <v>101</v>
      </c>
      <c r="F67" s="6" t="s">
        <v>48</v>
      </c>
      <c r="G67" s="6" t="s">
        <v>23</v>
      </c>
      <c r="H67" s="6" t="s">
        <v>49</v>
      </c>
      <c r="I67" s="6" t="s">
        <v>25</v>
      </c>
      <c r="J67" s="7" t="s">
        <v>13</v>
      </c>
      <c r="K67" s="6">
        <f t="shared" ref="K67:K130" si="10">($Q$4/$Q$3)*(IF(B67="L",$T$15,$T$16))*(IF(C67="1-34 Bulan",$T$21,$T$22))*(IF(F67="Risiko Lebih",$T$27,IF(F67="Normal",$T$28,IF(F67="Kurang",$T$29,$T$30))))*(IF(G67="Normal",$T$35,IF(G67="Pendek",$T$36,$T$37)))*(IF(H67="Gizi Buruk",$T$42,IF(H67="Gizi Lebih",$T$43,IF(H67="Risiko Gizi Lebih",$T$44,IF(H67="Gizi Baik",$T$45,$T$46)))))*(IF(I67="Ya",$T$51,$T$52))</f>
        <v>4.1830065359477122E-6</v>
      </c>
      <c r="L67" s="6">
        <f t="shared" ref="L67:L130" si="11">($Q$5/$Q$3)*(IF(B67="L",$U$15,$U$16))*(IF(C67="1-34 Bulan",$U$21,$U$22))*(IF(F67="Risiko Lebih",$U$27,IF(F67="Normal",$U$28,IF(F67="Kurang",$U$29,$U$30))))*(IF(G67="Normal",$U$35,IF(G67="Pendek",$U$36,$U$37)))*(IF(H67="Gizi Buruk",$U$42,IF(H67="Gizi Lebih",$U$43,IF(H67="Risiko Gizi Lebih",$U$44,IF(H67="Gizi Baik",$U$45,$U$46)))))*(IF(I67="Ya",$U$51,$U$52))</f>
        <v>5.6789545532739453E-5</v>
      </c>
      <c r="M67" s="6">
        <f t="shared" ref="M67:M130" si="12">($Q$6/$Q$3)*(IF(B67="L",$V$15,$V$16))*(IF(C67="1-34 Bulan",$V$21,$V$22))*(IF(F67="Risiko Lebih",$V$27,IF(F67="Normal",$V$28,IF(F67="Kurang",$V$29,$V$30))))*(IF(G67="Normal",$V$35,IF(G67="Pendek",$V$36,$V$37)))*(IF(H67="Gizi Buruk",$V$42,IF(H67="Gizi Lebih",$V$43,IF(H67="Risiko Gizi Lebih",$V$44,IF(H67="Gizi Baik",$V$45,$V$46)))))*(IF(I67="Ya",$V$51,$V$52))</f>
        <v>1.5633040879570244E-3</v>
      </c>
      <c r="N67" s="6" t="str">
        <f t="shared" ref="N67:N130" si="13">IF(K67=MAX(K67,L67,M67),"Stunting",IF(L67=MAX(K67,L67,M67),"Potensi Stunting","Tidak"))</f>
        <v>Tidak</v>
      </c>
    </row>
    <row r="68" spans="1:14" ht="15.75" customHeight="1" x14ac:dyDescent="0.25">
      <c r="A68" s="6" t="s">
        <v>110</v>
      </c>
      <c r="B68" s="6" t="s">
        <v>22</v>
      </c>
      <c r="C68" s="6" t="s">
        <v>27</v>
      </c>
      <c r="D68" s="6">
        <v>9.9</v>
      </c>
      <c r="E68" s="6">
        <v>89</v>
      </c>
      <c r="F68" s="6" t="s">
        <v>29</v>
      </c>
      <c r="G68" s="6" t="s">
        <v>23</v>
      </c>
      <c r="H68" s="6" t="s">
        <v>33</v>
      </c>
      <c r="I68" s="6" t="s">
        <v>25</v>
      </c>
      <c r="J68" s="7" t="s">
        <v>13</v>
      </c>
      <c r="K68" s="6">
        <f t="shared" si="10"/>
        <v>8.112497524262231E-6</v>
      </c>
      <c r="L68" s="6">
        <f t="shared" si="11"/>
        <v>1.6085754198054002E-4</v>
      </c>
      <c r="M68" s="6">
        <f t="shared" si="12"/>
        <v>4.3357288731109486E-3</v>
      </c>
      <c r="N68" s="6" t="str">
        <f t="shared" si="13"/>
        <v>Tidak</v>
      </c>
    </row>
    <row r="69" spans="1:14" ht="15.75" customHeight="1" x14ac:dyDescent="0.25">
      <c r="A69" s="6" t="s">
        <v>111</v>
      </c>
      <c r="B69" s="6" t="s">
        <v>16</v>
      </c>
      <c r="C69" s="6" t="s">
        <v>27</v>
      </c>
      <c r="D69" s="6">
        <v>5.6</v>
      </c>
      <c r="E69" s="6">
        <v>62.5</v>
      </c>
      <c r="F69" s="6" t="s">
        <v>23</v>
      </c>
      <c r="G69" s="6" t="s">
        <v>23</v>
      </c>
      <c r="H69" s="6" t="s">
        <v>33</v>
      </c>
      <c r="I69" s="6" t="s">
        <v>25</v>
      </c>
      <c r="J69" s="7" t="s">
        <v>13</v>
      </c>
      <c r="K69" s="6">
        <f t="shared" si="10"/>
        <v>5.5773420479302833E-6</v>
      </c>
      <c r="L69" s="6">
        <f t="shared" si="11"/>
        <v>1.3920364209854424E-4</v>
      </c>
      <c r="M69" s="6">
        <f t="shared" si="12"/>
        <v>2.9476934491497363E-2</v>
      </c>
      <c r="N69" s="6" t="str">
        <f t="shared" si="13"/>
        <v>Tidak</v>
      </c>
    </row>
    <row r="70" spans="1:14" ht="15.75" customHeight="1" x14ac:dyDescent="0.25">
      <c r="A70" s="6" t="s">
        <v>112</v>
      </c>
      <c r="B70" s="6" t="s">
        <v>16</v>
      </c>
      <c r="C70" s="6" t="s">
        <v>27</v>
      </c>
      <c r="D70" s="6" t="s">
        <v>113</v>
      </c>
      <c r="E70" s="6">
        <v>74</v>
      </c>
      <c r="F70" s="6" t="s">
        <v>23</v>
      </c>
      <c r="G70" s="6" t="s">
        <v>23</v>
      </c>
      <c r="H70" s="6" t="s">
        <v>24</v>
      </c>
      <c r="I70" s="6" t="s">
        <v>25</v>
      </c>
      <c r="J70" s="7" t="s">
        <v>13</v>
      </c>
      <c r="K70" s="6">
        <f t="shared" si="10"/>
        <v>5.5773420479302833E-6</v>
      </c>
      <c r="L70" s="6">
        <f t="shared" si="11"/>
        <v>6.4961699645987316E-4</v>
      </c>
      <c r="M70" s="6">
        <f t="shared" si="12"/>
        <v>9.9239012788041134E-2</v>
      </c>
      <c r="N70" s="6" t="str">
        <f t="shared" si="13"/>
        <v>Tidak</v>
      </c>
    </row>
    <row r="71" spans="1:14" ht="15.75" customHeight="1" x14ac:dyDescent="0.25">
      <c r="A71" s="6" t="s">
        <v>114</v>
      </c>
      <c r="B71" s="6" t="s">
        <v>22</v>
      </c>
      <c r="C71" s="6" t="s">
        <v>17</v>
      </c>
      <c r="D71" s="6">
        <v>10.3</v>
      </c>
      <c r="E71" s="6">
        <v>103</v>
      </c>
      <c r="F71" s="6" t="s">
        <v>23</v>
      </c>
      <c r="G71" s="6" t="s">
        <v>23</v>
      </c>
      <c r="H71" s="6" t="s">
        <v>24</v>
      </c>
      <c r="I71" s="6" t="s">
        <v>25</v>
      </c>
      <c r="J71" s="7" t="s">
        <v>13</v>
      </c>
      <c r="K71" s="6">
        <f t="shared" si="10"/>
        <v>3.042186571598336E-6</v>
      </c>
      <c r="L71" s="6">
        <f t="shared" si="11"/>
        <v>4.2402860664445452E-4</v>
      </c>
      <c r="M71" s="6">
        <f t="shared" si="12"/>
        <v>8.1880922843730039E-2</v>
      </c>
      <c r="N71" s="6" t="str">
        <f t="shared" si="13"/>
        <v>Tidak</v>
      </c>
    </row>
    <row r="72" spans="1:14" ht="15.75" customHeight="1" x14ac:dyDescent="0.25">
      <c r="A72" s="6" t="s">
        <v>115</v>
      </c>
      <c r="B72" s="6" t="s">
        <v>22</v>
      </c>
      <c r="C72" s="6" t="s">
        <v>17</v>
      </c>
      <c r="D72" s="6">
        <v>10.45</v>
      </c>
      <c r="E72" s="6">
        <v>90.5</v>
      </c>
      <c r="F72" s="6" t="s">
        <v>29</v>
      </c>
      <c r="G72" s="6" t="s">
        <v>23</v>
      </c>
      <c r="H72" s="6" t="s">
        <v>33</v>
      </c>
      <c r="I72" s="6" t="s">
        <v>25</v>
      </c>
      <c r="J72" s="7" t="s">
        <v>13</v>
      </c>
      <c r="K72" s="6">
        <f t="shared" si="10"/>
        <v>1.2168746286393344E-5</v>
      </c>
      <c r="L72" s="6">
        <f t="shared" si="11"/>
        <v>1.9687042451349673E-4</v>
      </c>
      <c r="M72" s="6">
        <f t="shared" si="12"/>
        <v>5.3064144417178773E-3</v>
      </c>
      <c r="N72" s="6" t="str">
        <f t="shared" si="13"/>
        <v>Tidak</v>
      </c>
    </row>
    <row r="73" spans="1:14" ht="15.75" customHeight="1" x14ac:dyDescent="0.25">
      <c r="A73" s="6" t="s">
        <v>116</v>
      </c>
      <c r="B73" s="6" t="s">
        <v>16</v>
      </c>
      <c r="C73" s="6" t="s">
        <v>17</v>
      </c>
      <c r="D73" s="6" t="s">
        <v>117</v>
      </c>
      <c r="E73" s="6">
        <v>99</v>
      </c>
      <c r="F73" s="6" t="s">
        <v>23</v>
      </c>
      <c r="G73" s="6" t="s">
        <v>23</v>
      </c>
      <c r="H73" s="6" t="s">
        <v>24</v>
      </c>
      <c r="I73" s="6" t="s">
        <v>25</v>
      </c>
      <c r="J73" s="7" t="s">
        <v>13</v>
      </c>
      <c r="K73" s="6">
        <f t="shared" si="10"/>
        <v>8.3660130718954245E-6</v>
      </c>
      <c r="L73" s="6">
        <f t="shared" si="11"/>
        <v>7.9505363745835237E-4</v>
      </c>
      <c r="M73" s="6">
        <f t="shared" si="12"/>
        <v>0.12145670221819958</v>
      </c>
      <c r="N73" s="6" t="str">
        <f t="shared" si="13"/>
        <v>Tidak</v>
      </c>
    </row>
    <row r="74" spans="1:14" ht="15.75" customHeight="1" x14ac:dyDescent="0.25">
      <c r="A74" s="6" t="s">
        <v>118</v>
      </c>
      <c r="B74" s="6" t="s">
        <v>22</v>
      </c>
      <c r="C74" s="6" t="s">
        <v>27</v>
      </c>
      <c r="D74" s="6">
        <v>13</v>
      </c>
      <c r="E74" s="6">
        <v>91</v>
      </c>
      <c r="F74" s="6" t="s">
        <v>23</v>
      </c>
      <c r="G74" s="6" t="s">
        <v>23</v>
      </c>
      <c r="H74" s="6" t="s">
        <v>24</v>
      </c>
      <c r="I74" s="6" t="s">
        <v>25</v>
      </c>
      <c r="J74" s="7" t="s">
        <v>13</v>
      </c>
      <c r="K74" s="6">
        <f t="shared" si="10"/>
        <v>2.0281243810655577E-6</v>
      </c>
      <c r="L74" s="6">
        <f t="shared" si="11"/>
        <v>3.4646239811193244E-4</v>
      </c>
      <c r="M74" s="6">
        <f t="shared" si="12"/>
        <v>6.6902705250364791E-2</v>
      </c>
      <c r="N74" s="6" t="str">
        <f t="shared" si="13"/>
        <v>Tidak</v>
      </c>
    </row>
    <row r="75" spans="1:14" ht="15.75" customHeight="1" x14ac:dyDescent="0.25">
      <c r="A75" s="6" t="s">
        <v>119</v>
      </c>
      <c r="B75" s="6" t="s">
        <v>16</v>
      </c>
      <c r="C75" s="6" t="s">
        <v>27</v>
      </c>
      <c r="D75" s="6">
        <v>8.6</v>
      </c>
      <c r="E75" s="6">
        <v>78</v>
      </c>
      <c r="F75" s="6" t="s">
        <v>18</v>
      </c>
      <c r="G75" s="6" t="s">
        <v>19</v>
      </c>
      <c r="H75" s="6" t="s">
        <v>20</v>
      </c>
      <c r="I75" s="6" t="s">
        <v>13</v>
      </c>
      <c r="J75" s="7" t="s">
        <v>11</v>
      </c>
      <c r="K75" s="6">
        <f t="shared" si="10"/>
        <v>1.7847494553376907E-3</v>
      </c>
      <c r="L75" s="6">
        <f t="shared" si="11"/>
        <v>3.0934142688565388E-6</v>
      </c>
      <c r="M75" s="6">
        <f t="shared" si="12"/>
        <v>1.7368081647604193E-9</v>
      </c>
      <c r="N75" s="6" t="str">
        <f t="shared" si="13"/>
        <v>Stunting</v>
      </c>
    </row>
    <row r="76" spans="1:14" ht="15.75" customHeight="1" x14ac:dyDescent="0.25">
      <c r="A76" s="6" t="s">
        <v>120</v>
      </c>
      <c r="B76" s="6" t="s">
        <v>16</v>
      </c>
      <c r="C76" s="6" t="s">
        <v>17</v>
      </c>
      <c r="D76" s="6">
        <v>8.5</v>
      </c>
      <c r="E76" s="6">
        <v>78.3</v>
      </c>
      <c r="F76" s="6" t="s">
        <v>18</v>
      </c>
      <c r="G76" s="6" t="s">
        <v>19</v>
      </c>
      <c r="H76" s="6" t="s">
        <v>33</v>
      </c>
      <c r="I76" s="6" t="s">
        <v>13</v>
      </c>
      <c r="J76" s="7" t="s">
        <v>11</v>
      </c>
      <c r="K76" s="6">
        <f t="shared" si="10"/>
        <v>2.1416993464052287E-3</v>
      </c>
      <c r="L76" s="6">
        <f t="shared" si="11"/>
        <v>5.6789545532739448E-6</v>
      </c>
      <c r="M76" s="6">
        <f t="shared" si="12"/>
        <v>6.3769374407621358E-8</v>
      </c>
      <c r="N76" s="6" t="str">
        <f t="shared" si="13"/>
        <v>Stunting</v>
      </c>
    </row>
    <row r="77" spans="1:14" ht="15.75" customHeight="1" x14ac:dyDescent="0.25">
      <c r="A77" s="6" t="s">
        <v>121</v>
      </c>
      <c r="B77" s="6" t="s">
        <v>16</v>
      </c>
      <c r="C77" s="6" t="s">
        <v>17</v>
      </c>
      <c r="D77" s="6">
        <v>16.100000000000001</v>
      </c>
      <c r="E77" s="6">
        <v>110</v>
      </c>
      <c r="F77" s="6" t="s">
        <v>23</v>
      </c>
      <c r="G77" s="6" t="s">
        <v>23</v>
      </c>
      <c r="H77" s="6" t="s">
        <v>24</v>
      </c>
      <c r="I77" s="6" t="s">
        <v>25</v>
      </c>
      <c r="J77" s="7" t="s">
        <v>13</v>
      </c>
      <c r="K77" s="6">
        <f t="shared" si="10"/>
        <v>8.3660130718954245E-6</v>
      </c>
      <c r="L77" s="6">
        <f t="shared" si="11"/>
        <v>7.9505363745835237E-4</v>
      </c>
      <c r="M77" s="6">
        <f t="shared" si="12"/>
        <v>0.12145670221819958</v>
      </c>
      <c r="N77" s="6" t="str">
        <f t="shared" si="13"/>
        <v>Tidak</v>
      </c>
    </row>
    <row r="78" spans="1:14" ht="15.75" customHeight="1" x14ac:dyDescent="0.25">
      <c r="A78" s="6" t="s">
        <v>122</v>
      </c>
      <c r="B78" s="6" t="s">
        <v>16</v>
      </c>
      <c r="C78" s="6" t="s">
        <v>17</v>
      </c>
      <c r="D78" s="6">
        <v>10.5</v>
      </c>
      <c r="E78" s="6">
        <v>90</v>
      </c>
      <c r="F78" s="6" t="s">
        <v>18</v>
      </c>
      <c r="G78" s="6" t="s">
        <v>35</v>
      </c>
      <c r="H78" s="6" t="s">
        <v>33</v>
      </c>
      <c r="I78" s="6" t="s">
        <v>13</v>
      </c>
      <c r="J78" s="7" t="s">
        <v>11</v>
      </c>
      <c r="K78" s="6">
        <f t="shared" si="10"/>
        <v>1.6062745098039217E-3</v>
      </c>
      <c r="L78" s="6">
        <f t="shared" si="11"/>
        <v>2.2715818213095779E-5</v>
      </c>
      <c r="M78" s="6">
        <f t="shared" si="12"/>
        <v>2.5507749763048543E-7</v>
      </c>
      <c r="N78" s="6" t="str">
        <f t="shared" si="13"/>
        <v>Stunting</v>
      </c>
    </row>
    <row r="79" spans="1:14" ht="15.75" customHeight="1" x14ac:dyDescent="0.25">
      <c r="A79" s="6" t="s">
        <v>123</v>
      </c>
      <c r="B79" s="6" t="s">
        <v>16</v>
      </c>
      <c r="C79" s="6" t="s">
        <v>27</v>
      </c>
      <c r="D79" s="6">
        <v>12.7</v>
      </c>
      <c r="E79" s="6">
        <v>79</v>
      </c>
      <c r="F79" s="6" t="s">
        <v>23</v>
      </c>
      <c r="G79" s="6" t="s">
        <v>23</v>
      </c>
      <c r="H79" s="6" t="s">
        <v>24</v>
      </c>
      <c r="I79" s="6" t="s">
        <v>25</v>
      </c>
      <c r="J79" s="7" t="s">
        <v>13</v>
      </c>
      <c r="K79" s="6">
        <f t="shared" si="10"/>
        <v>5.5773420479302833E-6</v>
      </c>
      <c r="L79" s="6">
        <f t="shared" si="11"/>
        <v>6.4961699645987316E-4</v>
      </c>
      <c r="M79" s="6">
        <f t="shared" si="12"/>
        <v>9.9239012788041134E-2</v>
      </c>
      <c r="N79" s="6" t="str">
        <f t="shared" si="13"/>
        <v>Tidak</v>
      </c>
    </row>
    <row r="80" spans="1:14" ht="15.75" customHeight="1" x14ac:dyDescent="0.25">
      <c r="A80" s="6" t="s">
        <v>124</v>
      </c>
      <c r="B80" s="6" t="s">
        <v>16</v>
      </c>
      <c r="C80" s="6" t="s">
        <v>27</v>
      </c>
      <c r="D80" s="6">
        <v>14.6</v>
      </c>
      <c r="E80" s="6">
        <v>99</v>
      </c>
      <c r="F80" s="6" t="s">
        <v>23</v>
      </c>
      <c r="G80" s="6" t="s">
        <v>23</v>
      </c>
      <c r="H80" s="6" t="s">
        <v>24</v>
      </c>
      <c r="I80" s="6" t="s">
        <v>25</v>
      </c>
      <c r="J80" s="7" t="s">
        <v>13</v>
      </c>
      <c r="K80" s="6">
        <f t="shared" si="10"/>
        <v>5.5773420479302833E-6</v>
      </c>
      <c r="L80" s="6">
        <f t="shared" si="11"/>
        <v>6.4961699645987316E-4</v>
      </c>
      <c r="M80" s="6">
        <f t="shared" si="12"/>
        <v>9.9239012788041134E-2</v>
      </c>
      <c r="N80" s="6" t="str">
        <f t="shared" si="13"/>
        <v>Tidak</v>
      </c>
    </row>
    <row r="81" spans="1:14" ht="15.75" customHeight="1" x14ac:dyDescent="0.25">
      <c r="A81" s="6" t="s">
        <v>125</v>
      </c>
      <c r="B81" s="6" t="s">
        <v>16</v>
      </c>
      <c r="C81" s="6" t="s">
        <v>27</v>
      </c>
      <c r="D81" s="6" t="s">
        <v>126</v>
      </c>
      <c r="E81" s="6">
        <v>87</v>
      </c>
      <c r="F81" s="6" t="s">
        <v>23</v>
      </c>
      <c r="G81" s="6" t="s">
        <v>23</v>
      </c>
      <c r="H81" s="6" t="s">
        <v>24</v>
      </c>
      <c r="I81" s="6" t="s">
        <v>25</v>
      </c>
      <c r="J81" s="7" t="s">
        <v>13</v>
      </c>
      <c r="K81" s="6">
        <f t="shared" si="10"/>
        <v>5.5773420479302833E-6</v>
      </c>
      <c r="L81" s="6">
        <f t="shared" si="11"/>
        <v>6.4961699645987316E-4</v>
      </c>
      <c r="M81" s="6">
        <f t="shared" si="12"/>
        <v>9.9239012788041134E-2</v>
      </c>
      <c r="N81" s="6" t="str">
        <f t="shared" si="13"/>
        <v>Tidak</v>
      </c>
    </row>
    <row r="82" spans="1:14" ht="15.75" customHeight="1" x14ac:dyDescent="0.25">
      <c r="A82" s="6" t="s">
        <v>127</v>
      </c>
      <c r="B82" s="6" t="s">
        <v>16</v>
      </c>
      <c r="C82" s="6" t="s">
        <v>17</v>
      </c>
      <c r="D82" s="6">
        <v>16.899999999999999</v>
      </c>
      <c r="E82" s="6">
        <v>93</v>
      </c>
      <c r="F82" s="6" t="s">
        <v>23</v>
      </c>
      <c r="G82" s="6" t="s">
        <v>23</v>
      </c>
      <c r="H82" s="6" t="s">
        <v>24</v>
      </c>
      <c r="I82" s="6" t="s">
        <v>25</v>
      </c>
      <c r="J82" s="7" t="s">
        <v>13</v>
      </c>
      <c r="K82" s="6">
        <f t="shared" si="10"/>
        <v>8.3660130718954245E-6</v>
      </c>
      <c r="L82" s="6">
        <f t="shared" si="11"/>
        <v>7.9505363745835237E-4</v>
      </c>
      <c r="M82" s="6">
        <f t="shared" si="12"/>
        <v>0.12145670221819958</v>
      </c>
      <c r="N82" s="6" t="str">
        <f t="shared" si="13"/>
        <v>Tidak</v>
      </c>
    </row>
    <row r="83" spans="1:14" ht="15.75" customHeight="1" x14ac:dyDescent="0.25">
      <c r="A83" s="6" t="s">
        <v>128</v>
      </c>
      <c r="B83" s="6" t="s">
        <v>16</v>
      </c>
      <c r="C83" s="6" t="s">
        <v>27</v>
      </c>
      <c r="D83" s="6">
        <v>6.16</v>
      </c>
      <c r="E83" s="6">
        <v>65.5</v>
      </c>
      <c r="F83" s="6" t="s">
        <v>29</v>
      </c>
      <c r="G83" s="6" t="s">
        <v>35</v>
      </c>
      <c r="H83" s="6" t="s">
        <v>33</v>
      </c>
      <c r="I83" s="6" t="s">
        <v>13</v>
      </c>
      <c r="J83" s="7" t="s">
        <v>11</v>
      </c>
      <c r="K83" s="6">
        <f t="shared" si="10"/>
        <v>5.3542483660130728E-4</v>
      </c>
      <c r="L83" s="6">
        <f t="shared" si="11"/>
        <v>2.4128631297081003E-4</v>
      </c>
      <c r="M83" s="6">
        <f t="shared" si="12"/>
        <v>2.5010037572550033E-6</v>
      </c>
      <c r="N83" s="6" t="str">
        <f t="shared" si="13"/>
        <v>Stunting</v>
      </c>
    </row>
    <row r="84" spans="1:14" ht="15.75" customHeight="1" x14ac:dyDescent="0.25">
      <c r="A84" s="6" t="s">
        <v>129</v>
      </c>
      <c r="B84" s="6" t="s">
        <v>22</v>
      </c>
      <c r="C84" s="6" t="s">
        <v>27</v>
      </c>
      <c r="D84" s="6">
        <v>6.3</v>
      </c>
      <c r="E84" s="6">
        <v>70</v>
      </c>
      <c r="F84" s="6" t="s">
        <v>29</v>
      </c>
      <c r="G84" s="6" t="s">
        <v>23</v>
      </c>
      <c r="H84" s="6" t="s">
        <v>33</v>
      </c>
      <c r="I84" s="6" t="s">
        <v>25</v>
      </c>
      <c r="J84" s="7" t="s">
        <v>13</v>
      </c>
      <c r="K84" s="6">
        <f t="shared" si="10"/>
        <v>8.112497524262231E-6</v>
      </c>
      <c r="L84" s="6">
        <f t="shared" si="11"/>
        <v>1.6085754198054002E-4</v>
      </c>
      <c r="M84" s="6">
        <f t="shared" si="12"/>
        <v>4.3357288731109486E-3</v>
      </c>
      <c r="N84" s="6" t="str">
        <f t="shared" si="13"/>
        <v>Tidak</v>
      </c>
    </row>
    <row r="85" spans="1:14" ht="15.75" customHeight="1" x14ac:dyDescent="0.25">
      <c r="A85" s="6" t="s">
        <v>130</v>
      </c>
      <c r="B85" s="6" t="s">
        <v>22</v>
      </c>
      <c r="C85" s="6" t="s">
        <v>27</v>
      </c>
      <c r="D85" s="6">
        <v>7.8</v>
      </c>
      <c r="E85" s="6">
        <v>72</v>
      </c>
      <c r="F85" s="6" t="s">
        <v>23</v>
      </c>
      <c r="G85" s="6" t="s">
        <v>35</v>
      </c>
      <c r="H85" s="6" t="s">
        <v>24</v>
      </c>
      <c r="I85" s="6" t="s">
        <v>25</v>
      </c>
      <c r="J85" s="7" t="s">
        <v>12</v>
      </c>
      <c r="K85" s="6">
        <f t="shared" si="10"/>
        <v>1.2168746286393347E-5</v>
      </c>
      <c r="L85" s="6">
        <f t="shared" si="11"/>
        <v>1.8477994565969727E-3</v>
      </c>
      <c r="M85" s="6">
        <f t="shared" si="12"/>
        <v>3.8505154100929371E-3</v>
      </c>
      <c r="N85" s="6" t="str">
        <f t="shared" si="13"/>
        <v>Tidak</v>
      </c>
    </row>
    <row r="86" spans="1:14" ht="15.75" customHeight="1" x14ac:dyDescent="0.25">
      <c r="A86" s="6" t="s">
        <v>131</v>
      </c>
      <c r="B86" s="6" t="s">
        <v>22</v>
      </c>
      <c r="C86" s="6" t="s">
        <v>27</v>
      </c>
      <c r="D86" s="6" t="s">
        <v>132</v>
      </c>
      <c r="E86" s="6">
        <v>70</v>
      </c>
      <c r="F86" s="6" t="s">
        <v>23</v>
      </c>
      <c r="G86" s="6" t="s">
        <v>23</v>
      </c>
      <c r="H86" s="6" t="s">
        <v>24</v>
      </c>
      <c r="I86" s="6" t="s">
        <v>25</v>
      </c>
      <c r="J86" s="7" t="s">
        <v>13</v>
      </c>
      <c r="K86" s="6">
        <f t="shared" si="10"/>
        <v>2.0281243810655577E-6</v>
      </c>
      <c r="L86" s="6">
        <f t="shared" si="11"/>
        <v>3.4646239811193244E-4</v>
      </c>
      <c r="M86" s="6">
        <f t="shared" si="12"/>
        <v>6.6902705250364791E-2</v>
      </c>
      <c r="N86" s="6" t="str">
        <f t="shared" si="13"/>
        <v>Tidak</v>
      </c>
    </row>
    <row r="87" spans="1:14" ht="15.75" customHeight="1" x14ac:dyDescent="0.25">
      <c r="A87" s="6" t="s">
        <v>133</v>
      </c>
      <c r="B87" s="6" t="s">
        <v>22</v>
      </c>
      <c r="C87" s="6" t="s">
        <v>17</v>
      </c>
      <c r="D87" s="6">
        <v>10.1</v>
      </c>
      <c r="E87" s="6">
        <v>84</v>
      </c>
      <c r="F87" s="6" t="s">
        <v>29</v>
      </c>
      <c r="G87" s="6" t="s">
        <v>35</v>
      </c>
      <c r="H87" s="6" t="s">
        <v>24</v>
      </c>
      <c r="I87" s="6" t="s">
        <v>25</v>
      </c>
      <c r="J87" s="7" t="s">
        <v>13</v>
      </c>
      <c r="K87" s="6">
        <f t="shared" si="10"/>
        <v>7.3012477718360067E-5</v>
      </c>
      <c r="L87" s="6">
        <f t="shared" si="11"/>
        <v>4.899886121224808E-3</v>
      </c>
      <c r="M87" s="6">
        <f t="shared" si="12"/>
        <v>1.0281973306733921E-3</v>
      </c>
      <c r="N87" s="6" t="str">
        <f t="shared" si="13"/>
        <v>Potensi Stunting</v>
      </c>
    </row>
    <row r="88" spans="1:14" ht="15.75" customHeight="1" x14ac:dyDescent="0.25">
      <c r="A88" s="6" t="s">
        <v>134</v>
      </c>
      <c r="B88" s="6" t="s">
        <v>22</v>
      </c>
      <c r="C88" s="6" t="s">
        <v>27</v>
      </c>
      <c r="D88" s="6">
        <v>7.2</v>
      </c>
      <c r="E88" s="6">
        <v>69</v>
      </c>
      <c r="F88" s="6" t="s">
        <v>29</v>
      </c>
      <c r="G88" s="6" t="s">
        <v>35</v>
      </c>
      <c r="H88" s="6" t="s">
        <v>24</v>
      </c>
      <c r="I88" s="6" t="s">
        <v>25</v>
      </c>
      <c r="J88" s="7" t="s">
        <v>12</v>
      </c>
      <c r="K88" s="6">
        <f t="shared" si="10"/>
        <v>4.8674985145573389E-5</v>
      </c>
      <c r="L88" s="6">
        <f t="shared" si="11"/>
        <v>4.0035654892934406E-3</v>
      </c>
      <c r="M88" s="6">
        <f t="shared" si="12"/>
        <v>8.4011245311118622E-4</v>
      </c>
      <c r="N88" s="6" t="str">
        <f t="shared" si="13"/>
        <v>Potensi Stunting</v>
      </c>
    </row>
    <row r="89" spans="1:14" ht="15.75" customHeight="1" x14ac:dyDescent="0.25">
      <c r="A89" s="6" t="s">
        <v>135</v>
      </c>
      <c r="B89" s="6" t="s">
        <v>16</v>
      </c>
      <c r="C89" s="6" t="s">
        <v>27</v>
      </c>
      <c r="D89" s="6">
        <v>12.4</v>
      </c>
      <c r="E89" s="6">
        <v>73</v>
      </c>
      <c r="F89" s="6" t="s">
        <v>23</v>
      </c>
      <c r="G89" s="6" t="s">
        <v>23</v>
      </c>
      <c r="H89" s="6" t="s">
        <v>24</v>
      </c>
      <c r="I89" s="6" t="s">
        <v>25</v>
      </c>
      <c r="J89" s="7" t="s">
        <v>13</v>
      </c>
      <c r="K89" s="6">
        <f t="shared" si="10"/>
        <v>5.5773420479302833E-6</v>
      </c>
      <c r="L89" s="6">
        <f t="shared" si="11"/>
        <v>6.4961699645987316E-4</v>
      </c>
      <c r="M89" s="6">
        <f t="shared" si="12"/>
        <v>9.9239012788041134E-2</v>
      </c>
      <c r="N89" s="6" t="str">
        <f t="shared" si="13"/>
        <v>Tidak</v>
      </c>
    </row>
    <row r="90" spans="1:14" ht="15.75" customHeight="1" x14ac:dyDescent="0.25">
      <c r="A90" s="6" t="s">
        <v>136</v>
      </c>
      <c r="B90" s="6" t="s">
        <v>22</v>
      </c>
      <c r="C90" s="6" t="s">
        <v>17</v>
      </c>
      <c r="D90" s="6">
        <v>12.3</v>
      </c>
      <c r="E90" s="6">
        <v>83</v>
      </c>
      <c r="F90" s="6" t="s">
        <v>29</v>
      </c>
      <c r="G90" s="6" t="s">
        <v>19</v>
      </c>
      <c r="H90" s="6" t="s">
        <v>41</v>
      </c>
      <c r="I90" s="6" t="s">
        <v>25</v>
      </c>
      <c r="J90" s="7" t="s">
        <v>12</v>
      </c>
      <c r="K90" s="6">
        <f t="shared" si="10"/>
        <v>2.4337492572786688E-5</v>
      </c>
      <c r="L90" s="6">
        <f t="shared" si="11"/>
        <v>1.7499593290088599E-4</v>
      </c>
      <c r="M90" s="6">
        <f t="shared" si="12"/>
        <v>1.5270257386238497E-5</v>
      </c>
      <c r="N90" s="6" t="str">
        <f t="shared" si="13"/>
        <v>Potensi Stunting</v>
      </c>
    </row>
    <row r="91" spans="1:14" ht="15.75" customHeight="1" x14ac:dyDescent="0.25">
      <c r="A91" s="6" t="s">
        <v>137</v>
      </c>
      <c r="B91" s="6" t="s">
        <v>16</v>
      </c>
      <c r="C91" s="6" t="s">
        <v>27</v>
      </c>
      <c r="D91" s="6">
        <v>10.15</v>
      </c>
      <c r="E91" s="6">
        <v>74</v>
      </c>
      <c r="F91" s="6" t="s">
        <v>23</v>
      </c>
      <c r="G91" s="6" t="s">
        <v>35</v>
      </c>
      <c r="H91" s="6" t="s">
        <v>41</v>
      </c>
      <c r="I91" s="6" t="s">
        <v>25</v>
      </c>
      <c r="J91" s="7" t="s">
        <v>12</v>
      </c>
      <c r="K91" s="6">
        <f t="shared" si="10"/>
        <v>8.3660130718954262E-6</v>
      </c>
      <c r="L91" s="6">
        <f t="shared" si="11"/>
        <v>4.9494628301704623E-4</v>
      </c>
      <c r="M91" s="6">
        <f t="shared" si="12"/>
        <v>3.3930284306759554E-4</v>
      </c>
      <c r="N91" s="6" t="str">
        <f t="shared" si="13"/>
        <v>Potensi Stunting</v>
      </c>
    </row>
    <row r="92" spans="1:14" ht="15.75" customHeight="1" x14ac:dyDescent="0.25">
      <c r="A92" s="6" t="s">
        <v>138</v>
      </c>
      <c r="B92" s="6" t="s">
        <v>22</v>
      </c>
      <c r="C92" s="6" t="s">
        <v>17</v>
      </c>
      <c r="D92" s="6">
        <v>14.2</v>
      </c>
      <c r="E92" s="6">
        <v>116</v>
      </c>
      <c r="F92" s="6" t="s">
        <v>23</v>
      </c>
      <c r="G92" s="6" t="s">
        <v>23</v>
      </c>
      <c r="H92" s="6" t="s">
        <v>24</v>
      </c>
      <c r="I92" s="6" t="s">
        <v>25</v>
      </c>
      <c r="J92" s="7" t="s">
        <v>13</v>
      </c>
      <c r="K92" s="6">
        <f t="shared" si="10"/>
        <v>3.042186571598336E-6</v>
      </c>
      <c r="L92" s="6">
        <f t="shared" si="11"/>
        <v>4.2402860664445452E-4</v>
      </c>
      <c r="M92" s="6">
        <f t="shared" si="12"/>
        <v>8.1880922843730039E-2</v>
      </c>
      <c r="N92" s="6" t="str">
        <f t="shared" si="13"/>
        <v>Tidak</v>
      </c>
    </row>
    <row r="93" spans="1:14" ht="15.75" customHeight="1" x14ac:dyDescent="0.25">
      <c r="A93" s="6" t="s">
        <v>139</v>
      </c>
      <c r="B93" s="6" t="s">
        <v>22</v>
      </c>
      <c r="C93" s="6" t="s">
        <v>27</v>
      </c>
      <c r="D93" s="6">
        <v>13</v>
      </c>
      <c r="E93" s="6">
        <v>80</v>
      </c>
      <c r="F93" s="6" t="s">
        <v>23</v>
      </c>
      <c r="G93" s="6" t="s">
        <v>23</v>
      </c>
      <c r="H93" s="6" t="s">
        <v>24</v>
      </c>
      <c r="I93" s="6" t="s">
        <v>25</v>
      </c>
      <c r="J93" s="7" t="s">
        <v>13</v>
      </c>
      <c r="K93" s="6">
        <f t="shared" si="10"/>
        <v>2.0281243810655577E-6</v>
      </c>
      <c r="L93" s="6">
        <f t="shared" si="11"/>
        <v>3.4646239811193244E-4</v>
      </c>
      <c r="M93" s="6">
        <f t="shared" si="12"/>
        <v>6.6902705250364791E-2</v>
      </c>
      <c r="N93" s="6" t="str">
        <f t="shared" si="13"/>
        <v>Tidak</v>
      </c>
    </row>
    <row r="94" spans="1:14" ht="15.75" customHeight="1" x14ac:dyDescent="0.25">
      <c r="A94" s="6" t="s">
        <v>140</v>
      </c>
      <c r="B94" s="6" t="s">
        <v>22</v>
      </c>
      <c r="C94" s="6" t="s">
        <v>17</v>
      </c>
      <c r="D94" s="6">
        <v>15.7</v>
      </c>
      <c r="E94" s="6">
        <v>96</v>
      </c>
      <c r="F94" s="6" t="s">
        <v>23</v>
      </c>
      <c r="G94" s="6" t="s">
        <v>23</v>
      </c>
      <c r="H94" s="6" t="s">
        <v>24</v>
      </c>
      <c r="I94" s="6" t="s">
        <v>25</v>
      </c>
      <c r="J94" s="7" t="s">
        <v>13</v>
      </c>
      <c r="K94" s="6">
        <f t="shared" si="10"/>
        <v>3.042186571598336E-6</v>
      </c>
      <c r="L94" s="6">
        <f t="shared" si="11"/>
        <v>4.2402860664445452E-4</v>
      </c>
      <c r="M94" s="6">
        <f t="shared" si="12"/>
        <v>8.1880922843730039E-2</v>
      </c>
      <c r="N94" s="6" t="str">
        <f t="shared" si="13"/>
        <v>Tidak</v>
      </c>
    </row>
    <row r="95" spans="1:14" ht="15.75" customHeight="1" x14ac:dyDescent="0.25">
      <c r="A95" s="6" t="s">
        <v>141</v>
      </c>
      <c r="B95" s="6" t="s">
        <v>16</v>
      </c>
      <c r="C95" s="6" t="s">
        <v>27</v>
      </c>
      <c r="D95" s="6">
        <v>14</v>
      </c>
      <c r="E95" s="6">
        <v>91</v>
      </c>
      <c r="F95" s="6" t="s">
        <v>23</v>
      </c>
      <c r="G95" s="6" t="s">
        <v>23</v>
      </c>
      <c r="H95" s="6" t="s">
        <v>24</v>
      </c>
      <c r="I95" s="6" t="s">
        <v>25</v>
      </c>
      <c r="J95" s="7" t="s">
        <v>13</v>
      </c>
      <c r="K95" s="6">
        <f t="shared" si="10"/>
        <v>5.5773420479302833E-6</v>
      </c>
      <c r="L95" s="6">
        <f t="shared" si="11"/>
        <v>6.4961699645987316E-4</v>
      </c>
      <c r="M95" s="6">
        <f t="shared" si="12"/>
        <v>9.9239012788041134E-2</v>
      </c>
      <c r="N95" s="6" t="str">
        <f t="shared" si="13"/>
        <v>Tidak</v>
      </c>
    </row>
    <row r="96" spans="1:14" ht="15.75" customHeight="1" x14ac:dyDescent="0.25">
      <c r="A96" s="6" t="s">
        <v>142</v>
      </c>
      <c r="B96" s="6" t="s">
        <v>22</v>
      </c>
      <c r="C96" s="6" t="s">
        <v>17</v>
      </c>
      <c r="D96" s="6">
        <v>9.4</v>
      </c>
      <c r="E96" s="6">
        <v>78</v>
      </c>
      <c r="F96" s="6" t="s">
        <v>23</v>
      </c>
      <c r="G96" s="6" t="s">
        <v>35</v>
      </c>
      <c r="H96" s="6" t="s">
        <v>24</v>
      </c>
      <c r="I96" s="6" t="s">
        <v>25</v>
      </c>
      <c r="J96" s="7" t="s">
        <v>13</v>
      </c>
      <c r="K96" s="6">
        <f t="shared" si="10"/>
        <v>1.8253119429590017E-5</v>
      </c>
      <c r="L96" s="6">
        <f t="shared" si="11"/>
        <v>2.2614859021037577E-3</v>
      </c>
      <c r="M96" s="6">
        <f t="shared" si="12"/>
        <v>4.7125710989197149E-3</v>
      </c>
      <c r="N96" s="6" t="str">
        <f t="shared" si="13"/>
        <v>Tidak</v>
      </c>
    </row>
    <row r="97" spans="1:14" ht="15.75" customHeight="1" x14ac:dyDescent="0.25">
      <c r="A97" s="6" t="s">
        <v>143</v>
      </c>
      <c r="B97" s="6" t="s">
        <v>22</v>
      </c>
      <c r="C97" s="6" t="s">
        <v>17</v>
      </c>
      <c r="D97" s="6">
        <v>19.8</v>
      </c>
      <c r="E97" s="6">
        <v>119</v>
      </c>
      <c r="F97" s="6" t="s">
        <v>48</v>
      </c>
      <c r="G97" s="6" t="s">
        <v>23</v>
      </c>
      <c r="H97" s="6" t="s">
        <v>49</v>
      </c>
      <c r="I97" s="6" t="s">
        <v>25</v>
      </c>
      <c r="J97" s="7" t="s">
        <v>13</v>
      </c>
      <c r="K97" s="6">
        <f t="shared" si="10"/>
        <v>1.521093285799168E-6</v>
      </c>
      <c r="L97" s="6">
        <f t="shared" si="11"/>
        <v>3.0287757617461039E-5</v>
      </c>
      <c r="M97" s="6">
        <f t="shared" si="12"/>
        <v>1.0539128682856341E-3</v>
      </c>
      <c r="N97" s="6" t="str">
        <f t="shared" si="13"/>
        <v>Tidak</v>
      </c>
    </row>
    <row r="98" spans="1:14" ht="15.75" customHeight="1" x14ac:dyDescent="0.25">
      <c r="A98" s="6" t="s">
        <v>144</v>
      </c>
      <c r="B98" s="6" t="s">
        <v>16</v>
      </c>
      <c r="C98" s="6" t="s">
        <v>17</v>
      </c>
      <c r="D98" s="6">
        <v>17.7</v>
      </c>
      <c r="E98" s="6">
        <v>98</v>
      </c>
      <c r="F98" s="6" t="s">
        <v>48</v>
      </c>
      <c r="G98" s="6" t="s">
        <v>23</v>
      </c>
      <c r="H98" s="6" t="s">
        <v>49</v>
      </c>
      <c r="I98" s="6" t="s">
        <v>13</v>
      </c>
      <c r="J98" s="7" t="s">
        <v>12</v>
      </c>
      <c r="K98" s="6">
        <f t="shared" si="10"/>
        <v>1.6732026143790849E-5</v>
      </c>
      <c r="L98" s="6">
        <f t="shared" si="11"/>
        <v>8.5184318299109176E-6</v>
      </c>
      <c r="M98" s="6">
        <f t="shared" si="12"/>
        <v>1.0562865459169084E-5</v>
      </c>
      <c r="N98" s="6" t="str">
        <f t="shared" si="13"/>
        <v>Stunting</v>
      </c>
    </row>
    <row r="99" spans="1:14" ht="15.75" customHeight="1" x14ac:dyDescent="0.25">
      <c r="A99" s="6" t="s">
        <v>145</v>
      </c>
      <c r="B99" s="6" t="s">
        <v>22</v>
      </c>
      <c r="C99" s="6" t="s">
        <v>17</v>
      </c>
      <c r="D99" s="6">
        <v>18.7</v>
      </c>
      <c r="E99" s="6">
        <v>112</v>
      </c>
      <c r="F99" s="6" t="s">
        <v>48</v>
      </c>
      <c r="G99" s="6" t="s">
        <v>23</v>
      </c>
      <c r="H99" s="6" t="s">
        <v>49</v>
      </c>
      <c r="I99" s="6" t="s">
        <v>25</v>
      </c>
      <c r="J99" s="7" t="s">
        <v>13</v>
      </c>
      <c r="K99" s="6">
        <f t="shared" si="10"/>
        <v>1.521093285799168E-6</v>
      </c>
      <c r="L99" s="6">
        <f t="shared" si="11"/>
        <v>3.0287757617461039E-5</v>
      </c>
      <c r="M99" s="6">
        <f t="shared" si="12"/>
        <v>1.0539128682856341E-3</v>
      </c>
      <c r="N99" s="6" t="str">
        <f t="shared" si="13"/>
        <v>Tidak</v>
      </c>
    </row>
    <row r="100" spans="1:14" ht="15.75" customHeight="1" x14ac:dyDescent="0.25">
      <c r="A100" s="6" t="s">
        <v>146</v>
      </c>
      <c r="B100" s="6" t="s">
        <v>22</v>
      </c>
      <c r="C100" s="6" t="s">
        <v>17</v>
      </c>
      <c r="D100" s="6" t="s">
        <v>147</v>
      </c>
      <c r="E100" s="6">
        <v>83</v>
      </c>
      <c r="F100" s="6" t="s">
        <v>18</v>
      </c>
      <c r="G100" s="6" t="s">
        <v>19</v>
      </c>
      <c r="H100" s="6" t="s">
        <v>24</v>
      </c>
      <c r="I100" s="6" t="s">
        <v>25</v>
      </c>
      <c r="J100" s="7" t="s">
        <v>11</v>
      </c>
      <c r="K100" s="6">
        <f t="shared" si="10"/>
        <v>1.946999405822935E-4</v>
      </c>
      <c r="L100" s="6">
        <f t="shared" si="11"/>
        <v>9.4228579254323225E-5</v>
      </c>
      <c r="M100" s="6">
        <f t="shared" si="12"/>
        <v>2.1420777722362336E-5</v>
      </c>
      <c r="N100" s="6" t="str">
        <f t="shared" si="13"/>
        <v>Stunting</v>
      </c>
    </row>
    <row r="101" spans="1:14" ht="15.75" customHeight="1" x14ac:dyDescent="0.25">
      <c r="A101" s="6" t="s">
        <v>148</v>
      </c>
      <c r="B101" s="6" t="s">
        <v>16</v>
      </c>
      <c r="C101" s="6" t="s">
        <v>17</v>
      </c>
      <c r="D101" s="6">
        <v>9.5</v>
      </c>
      <c r="E101" s="6">
        <v>83</v>
      </c>
      <c r="F101" s="6" t="s">
        <v>18</v>
      </c>
      <c r="G101" s="6" t="s">
        <v>19</v>
      </c>
      <c r="H101" s="6" t="s">
        <v>24</v>
      </c>
      <c r="I101" s="6" t="s">
        <v>25</v>
      </c>
      <c r="J101" s="7" t="s">
        <v>11</v>
      </c>
      <c r="K101" s="6">
        <f t="shared" si="10"/>
        <v>5.3542483660130717E-4</v>
      </c>
      <c r="L101" s="6">
        <f t="shared" si="11"/>
        <v>1.7667858610185609E-4</v>
      </c>
      <c r="M101" s="6">
        <f t="shared" si="12"/>
        <v>3.1774153621504133E-5</v>
      </c>
      <c r="N101" s="6" t="str">
        <f t="shared" si="13"/>
        <v>Stunting</v>
      </c>
    </row>
    <row r="102" spans="1:14" ht="15.75" customHeight="1" x14ac:dyDescent="0.25">
      <c r="A102" s="6" t="s">
        <v>149</v>
      </c>
      <c r="B102" s="6" t="s">
        <v>16</v>
      </c>
      <c r="C102" s="6" t="s">
        <v>17</v>
      </c>
      <c r="D102" s="6">
        <v>15.8</v>
      </c>
      <c r="E102" s="6">
        <v>111</v>
      </c>
      <c r="F102" s="6" t="s">
        <v>23</v>
      </c>
      <c r="G102" s="6" t="s">
        <v>23</v>
      </c>
      <c r="H102" s="6" t="s">
        <v>33</v>
      </c>
      <c r="I102" s="6" t="s">
        <v>25</v>
      </c>
      <c r="J102" s="7" t="s">
        <v>13</v>
      </c>
      <c r="K102" s="6">
        <f t="shared" si="10"/>
        <v>8.3660130718954245E-6</v>
      </c>
      <c r="L102" s="6">
        <f t="shared" si="11"/>
        <v>1.7036863659821835E-4</v>
      </c>
      <c r="M102" s="6">
        <f t="shared" si="12"/>
        <v>3.6076248183623635E-2</v>
      </c>
      <c r="N102" s="6" t="str">
        <f t="shared" si="13"/>
        <v>Tidak</v>
      </c>
    </row>
    <row r="103" spans="1:14" ht="15.75" customHeight="1" x14ac:dyDescent="0.25">
      <c r="A103" s="6" t="s">
        <v>150</v>
      </c>
      <c r="B103" s="6" t="s">
        <v>22</v>
      </c>
      <c r="C103" s="6" t="s">
        <v>27</v>
      </c>
      <c r="D103" s="6" t="s">
        <v>113</v>
      </c>
      <c r="E103" s="6">
        <v>71</v>
      </c>
      <c r="F103" s="6" t="s">
        <v>23</v>
      </c>
      <c r="G103" s="6" t="s">
        <v>23</v>
      </c>
      <c r="H103" s="6" t="s">
        <v>41</v>
      </c>
      <c r="I103" s="6" t="s">
        <v>25</v>
      </c>
      <c r="J103" s="7" t="s">
        <v>13</v>
      </c>
      <c r="K103" s="6">
        <f t="shared" si="10"/>
        <v>5.0703109526638944E-7</v>
      </c>
      <c r="L103" s="6">
        <f t="shared" si="11"/>
        <v>4.9494628301704627E-5</v>
      </c>
      <c r="M103" s="6">
        <f t="shared" si="12"/>
        <v>3.9744181336850365E-3</v>
      </c>
      <c r="N103" s="6" t="str">
        <f t="shared" si="13"/>
        <v>Tidak</v>
      </c>
    </row>
    <row r="104" spans="1:14" ht="15.75" customHeight="1" x14ac:dyDescent="0.25">
      <c r="A104" s="6" t="s">
        <v>151</v>
      </c>
      <c r="B104" s="6" t="s">
        <v>22</v>
      </c>
      <c r="C104" s="6" t="s">
        <v>27</v>
      </c>
      <c r="D104" s="6" t="s">
        <v>152</v>
      </c>
      <c r="E104" s="6">
        <v>85</v>
      </c>
      <c r="F104" s="6" t="s">
        <v>23</v>
      </c>
      <c r="G104" s="6" t="s">
        <v>23</v>
      </c>
      <c r="H104" s="6" t="s">
        <v>24</v>
      </c>
      <c r="I104" s="6" t="s">
        <v>25</v>
      </c>
      <c r="J104" s="7" t="s">
        <v>13</v>
      </c>
      <c r="K104" s="6">
        <f t="shared" si="10"/>
        <v>2.0281243810655577E-6</v>
      </c>
      <c r="L104" s="6">
        <f t="shared" si="11"/>
        <v>3.4646239811193244E-4</v>
      </c>
      <c r="M104" s="6">
        <f t="shared" si="12"/>
        <v>6.6902705250364791E-2</v>
      </c>
      <c r="N104" s="6" t="str">
        <f t="shared" si="13"/>
        <v>Tidak</v>
      </c>
    </row>
    <row r="105" spans="1:14" ht="15.75" customHeight="1" x14ac:dyDescent="0.25">
      <c r="A105" s="6" t="s">
        <v>153</v>
      </c>
      <c r="B105" s="6" t="s">
        <v>22</v>
      </c>
      <c r="C105" s="6" t="s">
        <v>17</v>
      </c>
      <c r="D105" s="6" t="s">
        <v>69</v>
      </c>
      <c r="E105" s="6">
        <v>96</v>
      </c>
      <c r="F105" s="6" t="s">
        <v>23</v>
      </c>
      <c r="G105" s="6" t="s">
        <v>23</v>
      </c>
      <c r="H105" s="6" t="s">
        <v>24</v>
      </c>
      <c r="I105" s="6" t="s">
        <v>25</v>
      </c>
      <c r="J105" s="7" t="s">
        <v>13</v>
      </c>
      <c r="K105" s="6">
        <f t="shared" si="10"/>
        <v>3.042186571598336E-6</v>
      </c>
      <c r="L105" s="6">
        <f t="shared" si="11"/>
        <v>4.2402860664445452E-4</v>
      </c>
      <c r="M105" s="6">
        <f t="shared" si="12"/>
        <v>8.1880922843730039E-2</v>
      </c>
      <c r="N105" s="6" t="str">
        <f t="shared" si="13"/>
        <v>Tidak</v>
      </c>
    </row>
    <row r="106" spans="1:14" ht="15.75" customHeight="1" x14ac:dyDescent="0.25">
      <c r="A106" s="6" t="s">
        <v>154</v>
      </c>
      <c r="B106" s="6" t="s">
        <v>22</v>
      </c>
      <c r="C106" s="6" t="s">
        <v>27</v>
      </c>
      <c r="D106" s="6">
        <v>7.13</v>
      </c>
      <c r="E106" s="6">
        <v>72</v>
      </c>
      <c r="F106" s="6" t="s">
        <v>23</v>
      </c>
      <c r="G106" s="6" t="s">
        <v>23</v>
      </c>
      <c r="H106" s="6" t="s">
        <v>33</v>
      </c>
      <c r="I106" s="6" t="s">
        <v>25</v>
      </c>
      <c r="J106" s="7" t="s">
        <v>13</v>
      </c>
      <c r="K106" s="6">
        <f t="shared" si="10"/>
        <v>2.0281243810655577E-6</v>
      </c>
      <c r="L106" s="6">
        <f t="shared" si="11"/>
        <v>7.4241942452556937E-5</v>
      </c>
      <c r="M106" s="6">
        <f t="shared" si="12"/>
        <v>1.9872090668425182E-2</v>
      </c>
      <c r="N106" s="6" t="str">
        <f t="shared" si="13"/>
        <v>Tidak</v>
      </c>
    </row>
    <row r="107" spans="1:14" ht="15.75" customHeight="1" x14ac:dyDescent="0.25">
      <c r="A107" s="6" t="s">
        <v>155</v>
      </c>
      <c r="B107" s="6" t="s">
        <v>16</v>
      </c>
      <c r="C107" s="6" t="s">
        <v>17</v>
      </c>
      <c r="D107" s="6">
        <v>13.6</v>
      </c>
      <c r="E107" s="6">
        <v>111</v>
      </c>
      <c r="F107" s="6" t="s">
        <v>23</v>
      </c>
      <c r="G107" s="6" t="s">
        <v>23</v>
      </c>
      <c r="H107" s="6" t="s">
        <v>24</v>
      </c>
      <c r="I107" s="6" t="s">
        <v>25</v>
      </c>
      <c r="J107" s="7" t="s">
        <v>13</v>
      </c>
      <c r="K107" s="6">
        <f t="shared" si="10"/>
        <v>8.3660130718954245E-6</v>
      </c>
      <c r="L107" s="6">
        <f t="shared" si="11"/>
        <v>7.9505363745835237E-4</v>
      </c>
      <c r="M107" s="6">
        <f t="shared" si="12"/>
        <v>0.12145670221819958</v>
      </c>
      <c r="N107" s="6" t="str">
        <f t="shared" si="13"/>
        <v>Tidak</v>
      </c>
    </row>
    <row r="108" spans="1:14" ht="15.75" customHeight="1" x14ac:dyDescent="0.25">
      <c r="A108" s="6" t="s">
        <v>156</v>
      </c>
      <c r="B108" s="6" t="s">
        <v>16</v>
      </c>
      <c r="C108" s="6" t="s">
        <v>17</v>
      </c>
      <c r="D108" s="6">
        <v>11</v>
      </c>
      <c r="E108" s="6">
        <v>93</v>
      </c>
      <c r="F108" s="6" t="s">
        <v>29</v>
      </c>
      <c r="G108" s="6" t="s">
        <v>23</v>
      </c>
      <c r="H108" s="6" t="s">
        <v>33</v>
      </c>
      <c r="I108" s="6" t="s">
        <v>25</v>
      </c>
      <c r="J108" s="7" t="s">
        <v>13</v>
      </c>
      <c r="K108" s="6">
        <f t="shared" si="10"/>
        <v>3.3464052287581698E-5</v>
      </c>
      <c r="L108" s="6">
        <f t="shared" si="11"/>
        <v>3.6913204596280647E-4</v>
      </c>
      <c r="M108" s="6">
        <f t="shared" si="12"/>
        <v>7.871181421881519E-3</v>
      </c>
      <c r="N108" s="6" t="str">
        <f t="shared" si="13"/>
        <v>Tidak</v>
      </c>
    </row>
    <row r="109" spans="1:14" ht="15.75" customHeight="1" x14ac:dyDescent="0.25">
      <c r="A109" s="6" t="s">
        <v>157</v>
      </c>
      <c r="B109" s="6" t="s">
        <v>22</v>
      </c>
      <c r="C109" s="6" t="s">
        <v>27</v>
      </c>
      <c r="D109" s="6">
        <v>7.8</v>
      </c>
      <c r="E109" s="6">
        <v>78</v>
      </c>
      <c r="F109" s="6" t="s">
        <v>29</v>
      </c>
      <c r="G109" s="6" t="s">
        <v>23</v>
      </c>
      <c r="H109" s="6" t="s">
        <v>33</v>
      </c>
      <c r="I109" s="6" t="s">
        <v>25</v>
      </c>
      <c r="J109" s="7" t="s">
        <v>13</v>
      </c>
      <c r="K109" s="6">
        <f t="shared" si="10"/>
        <v>8.112497524262231E-6</v>
      </c>
      <c r="L109" s="6">
        <f t="shared" si="11"/>
        <v>1.6085754198054002E-4</v>
      </c>
      <c r="M109" s="6">
        <f t="shared" si="12"/>
        <v>4.3357288731109486E-3</v>
      </c>
      <c r="N109" s="6" t="str">
        <f t="shared" si="13"/>
        <v>Tidak</v>
      </c>
    </row>
    <row r="110" spans="1:14" ht="15.75" customHeight="1" x14ac:dyDescent="0.25">
      <c r="A110" s="6" t="s">
        <v>158</v>
      </c>
      <c r="B110" s="6" t="s">
        <v>16</v>
      </c>
      <c r="C110" s="6" t="s">
        <v>17</v>
      </c>
      <c r="D110" s="6" t="s">
        <v>159</v>
      </c>
      <c r="E110" s="6">
        <v>105</v>
      </c>
      <c r="F110" s="6" t="s">
        <v>23</v>
      </c>
      <c r="G110" s="6" t="s">
        <v>23</v>
      </c>
      <c r="H110" s="6" t="s">
        <v>24</v>
      </c>
      <c r="I110" s="6" t="s">
        <v>25</v>
      </c>
      <c r="J110" s="7" t="s">
        <v>13</v>
      </c>
      <c r="K110" s="6">
        <f t="shared" si="10"/>
        <v>8.3660130718954245E-6</v>
      </c>
      <c r="L110" s="6">
        <f t="shared" si="11"/>
        <v>7.9505363745835237E-4</v>
      </c>
      <c r="M110" s="6">
        <f t="shared" si="12"/>
        <v>0.12145670221819958</v>
      </c>
      <c r="N110" s="6" t="str">
        <f t="shared" si="13"/>
        <v>Tidak</v>
      </c>
    </row>
    <row r="111" spans="1:14" ht="15.75" customHeight="1" x14ac:dyDescent="0.25">
      <c r="A111" s="6" t="s">
        <v>160</v>
      </c>
      <c r="B111" s="6" t="s">
        <v>22</v>
      </c>
      <c r="C111" s="6" t="s">
        <v>27</v>
      </c>
      <c r="D111" s="6">
        <v>12.5</v>
      </c>
      <c r="E111" s="6">
        <v>81</v>
      </c>
      <c r="F111" s="6" t="s">
        <v>23</v>
      </c>
      <c r="G111" s="6" t="s">
        <v>23</v>
      </c>
      <c r="H111" s="6" t="s">
        <v>24</v>
      </c>
      <c r="I111" s="6" t="s">
        <v>25</v>
      </c>
      <c r="J111" s="7" t="s">
        <v>13</v>
      </c>
      <c r="K111" s="6">
        <f t="shared" si="10"/>
        <v>2.0281243810655577E-6</v>
      </c>
      <c r="L111" s="6">
        <f t="shared" si="11"/>
        <v>3.4646239811193244E-4</v>
      </c>
      <c r="M111" s="6">
        <f t="shared" si="12"/>
        <v>6.6902705250364791E-2</v>
      </c>
      <c r="N111" s="6" t="str">
        <f t="shared" si="13"/>
        <v>Tidak</v>
      </c>
    </row>
    <row r="112" spans="1:14" ht="15.75" customHeight="1" x14ac:dyDescent="0.25">
      <c r="A112" s="6" t="s">
        <v>161</v>
      </c>
      <c r="B112" s="6" t="s">
        <v>16</v>
      </c>
      <c r="C112" s="6" t="s">
        <v>17</v>
      </c>
      <c r="D112" s="6">
        <v>12.3</v>
      </c>
      <c r="E112" s="6">
        <v>99</v>
      </c>
      <c r="F112" s="6" t="s">
        <v>29</v>
      </c>
      <c r="G112" s="6" t="s">
        <v>23</v>
      </c>
      <c r="H112" s="6" t="s">
        <v>33</v>
      </c>
      <c r="I112" s="6" t="s">
        <v>25</v>
      </c>
      <c r="J112" s="7" t="s">
        <v>13</v>
      </c>
      <c r="K112" s="6">
        <f t="shared" si="10"/>
        <v>3.3464052287581698E-5</v>
      </c>
      <c r="L112" s="6">
        <f t="shared" si="11"/>
        <v>3.6913204596280647E-4</v>
      </c>
      <c r="M112" s="6">
        <f t="shared" si="12"/>
        <v>7.871181421881519E-3</v>
      </c>
      <c r="N112" s="6" t="str">
        <f t="shared" si="13"/>
        <v>Tidak</v>
      </c>
    </row>
    <row r="113" spans="1:14" ht="15.75" customHeight="1" x14ac:dyDescent="0.25">
      <c r="A113" s="6" t="s">
        <v>162</v>
      </c>
      <c r="B113" s="6" t="s">
        <v>16</v>
      </c>
      <c r="C113" s="6" t="s">
        <v>17</v>
      </c>
      <c r="D113" s="6">
        <v>12.4</v>
      </c>
      <c r="E113" s="6">
        <v>97</v>
      </c>
      <c r="F113" s="6" t="s">
        <v>23</v>
      </c>
      <c r="G113" s="6" t="s">
        <v>23</v>
      </c>
      <c r="H113" s="6" t="s">
        <v>33</v>
      </c>
      <c r="I113" s="6" t="s">
        <v>25</v>
      </c>
      <c r="J113" s="7" t="s">
        <v>13</v>
      </c>
      <c r="K113" s="6">
        <f t="shared" si="10"/>
        <v>8.3660130718954245E-6</v>
      </c>
      <c r="L113" s="6">
        <f t="shared" si="11"/>
        <v>1.7036863659821835E-4</v>
      </c>
      <c r="M113" s="6">
        <f t="shared" si="12"/>
        <v>3.6076248183623635E-2</v>
      </c>
      <c r="N113" s="6" t="str">
        <f t="shared" si="13"/>
        <v>Tidak</v>
      </c>
    </row>
    <row r="114" spans="1:14" ht="15.75" customHeight="1" x14ac:dyDescent="0.25">
      <c r="A114" s="6" t="s">
        <v>163</v>
      </c>
      <c r="B114" s="6" t="s">
        <v>16</v>
      </c>
      <c r="C114" s="6" t="s">
        <v>17</v>
      </c>
      <c r="D114" s="6">
        <v>17.100000000000001</v>
      </c>
      <c r="E114" s="6">
        <v>101</v>
      </c>
      <c r="F114" s="6" t="s">
        <v>48</v>
      </c>
      <c r="G114" s="6" t="s">
        <v>23</v>
      </c>
      <c r="H114" s="6" t="s">
        <v>49</v>
      </c>
      <c r="I114" s="6" t="s">
        <v>25</v>
      </c>
      <c r="J114" s="7" t="s">
        <v>13</v>
      </c>
      <c r="K114" s="6">
        <f t="shared" si="10"/>
        <v>4.1830065359477122E-6</v>
      </c>
      <c r="L114" s="6">
        <f t="shared" si="11"/>
        <v>5.6789545532739453E-5</v>
      </c>
      <c r="M114" s="6">
        <f t="shared" si="12"/>
        <v>1.5633040879570244E-3</v>
      </c>
      <c r="N114" s="6" t="str">
        <f t="shared" si="13"/>
        <v>Tidak</v>
      </c>
    </row>
    <row r="115" spans="1:14" ht="15.75" customHeight="1" x14ac:dyDescent="0.25">
      <c r="A115" s="6" t="s">
        <v>164</v>
      </c>
      <c r="B115" s="6" t="s">
        <v>16</v>
      </c>
      <c r="C115" s="6" t="s">
        <v>17</v>
      </c>
      <c r="D115" s="6" t="s">
        <v>165</v>
      </c>
      <c r="E115" s="6">
        <v>100</v>
      </c>
      <c r="F115" s="6" t="s">
        <v>23</v>
      </c>
      <c r="G115" s="6" t="s">
        <v>23</v>
      </c>
      <c r="H115" s="6" t="s">
        <v>24</v>
      </c>
      <c r="I115" s="6" t="s">
        <v>25</v>
      </c>
      <c r="J115" s="7" t="s">
        <v>13</v>
      </c>
      <c r="K115" s="6">
        <f t="shared" si="10"/>
        <v>8.3660130718954245E-6</v>
      </c>
      <c r="L115" s="6">
        <f t="shared" si="11"/>
        <v>7.9505363745835237E-4</v>
      </c>
      <c r="M115" s="6">
        <f t="shared" si="12"/>
        <v>0.12145670221819958</v>
      </c>
      <c r="N115" s="6" t="str">
        <f t="shared" si="13"/>
        <v>Tidak</v>
      </c>
    </row>
    <row r="116" spans="1:14" ht="15.75" customHeight="1" x14ac:dyDescent="0.25">
      <c r="A116" s="6" t="s">
        <v>166</v>
      </c>
      <c r="B116" s="6" t="s">
        <v>16</v>
      </c>
      <c r="C116" s="6" t="s">
        <v>17</v>
      </c>
      <c r="D116" s="6">
        <v>10</v>
      </c>
      <c r="E116" s="6">
        <v>84</v>
      </c>
      <c r="F116" s="6" t="s">
        <v>29</v>
      </c>
      <c r="G116" s="6" t="s">
        <v>35</v>
      </c>
      <c r="H116" s="6" t="s">
        <v>24</v>
      </c>
      <c r="I116" s="6" t="s">
        <v>25</v>
      </c>
      <c r="J116" s="7" t="s">
        <v>13</v>
      </c>
      <c r="K116" s="6">
        <f t="shared" si="10"/>
        <v>2.0078431372549021E-4</v>
      </c>
      <c r="L116" s="6">
        <f t="shared" si="11"/>
        <v>9.1872864772965159E-3</v>
      </c>
      <c r="M116" s="6">
        <f t="shared" si="12"/>
        <v>1.5251593738321986E-3</v>
      </c>
      <c r="N116" s="6" t="str">
        <f t="shared" si="13"/>
        <v>Potensi Stunting</v>
      </c>
    </row>
    <row r="117" spans="1:14" ht="15.75" customHeight="1" x14ac:dyDescent="0.25">
      <c r="A117" s="6" t="s">
        <v>167</v>
      </c>
      <c r="B117" s="6" t="s">
        <v>22</v>
      </c>
      <c r="C117" s="6" t="s">
        <v>27</v>
      </c>
      <c r="D117" s="6">
        <v>14.4</v>
      </c>
      <c r="E117" s="6">
        <v>81</v>
      </c>
      <c r="F117" s="6" t="s">
        <v>23</v>
      </c>
      <c r="G117" s="6" t="s">
        <v>23</v>
      </c>
      <c r="H117" s="6" t="s">
        <v>24</v>
      </c>
      <c r="I117" s="6" t="s">
        <v>25</v>
      </c>
      <c r="J117" s="7" t="s">
        <v>13</v>
      </c>
      <c r="K117" s="6">
        <f t="shared" si="10"/>
        <v>2.0281243810655577E-6</v>
      </c>
      <c r="L117" s="6">
        <f t="shared" si="11"/>
        <v>3.4646239811193244E-4</v>
      </c>
      <c r="M117" s="6">
        <f t="shared" si="12"/>
        <v>6.6902705250364791E-2</v>
      </c>
      <c r="N117" s="6" t="str">
        <f t="shared" si="13"/>
        <v>Tidak</v>
      </c>
    </row>
    <row r="118" spans="1:14" ht="15.75" customHeight="1" x14ac:dyDescent="0.25">
      <c r="A118" s="6" t="s">
        <v>168</v>
      </c>
      <c r="B118" s="6" t="s">
        <v>16</v>
      </c>
      <c r="C118" s="6" t="s">
        <v>17</v>
      </c>
      <c r="D118" s="6" t="s">
        <v>169</v>
      </c>
      <c r="E118" s="6">
        <v>102</v>
      </c>
      <c r="F118" s="6" t="s">
        <v>23</v>
      </c>
      <c r="G118" s="6" t="s">
        <v>23</v>
      </c>
      <c r="H118" s="6" t="s">
        <v>24</v>
      </c>
      <c r="I118" s="6" t="s">
        <v>25</v>
      </c>
      <c r="J118" s="7" t="s">
        <v>13</v>
      </c>
      <c r="K118" s="6">
        <f t="shared" si="10"/>
        <v>8.3660130718954245E-6</v>
      </c>
      <c r="L118" s="6">
        <f t="shared" si="11"/>
        <v>7.9505363745835237E-4</v>
      </c>
      <c r="M118" s="6">
        <f t="shared" si="12"/>
        <v>0.12145670221819958</v>
      </c>
      <c r="N118" s="6" t="str">
        <f t="shared" si="13"/>
        <v>Tidak</v>
      </c>
    </row>
    <row r="119" spans="1:14" ht="15.75" customHeight="1" x14ac:dyDescent="0.25">
      <c r="A119" s="6" t="s">
        <v>170</v>
      </c>
      <c r="B119" s="6" t="s">
        <v>16</v>
      </c>
      <c r="C119" s="6" t="s">
        <v>17</v>
      </c>
      <c r="D119" s="6">
        <v>9.1999999999999993</v>
      </c>
      <c r="E119" s="6">
        <v>81.7</v>
      </c>
      <c r="F119" s="6" t="s">
        <v>29</v>
      </c>
      <c r="G119" s="6" t="s">
        <v>35</v>
      </c>
      <c r="H119" s="6" t="s">
        <v>33</v>
      </c>
      <c r="I119" s="6" t="s">
        <v>25</v>
      </c>
      <c r="J119" s="7" t="s">
        <v>12</v>
      </c>
      <c r="K119" s="6">
        <f t="shared" si="10"/>
        <v>2.0078431372549021E-4</v>
      </c>
      <c r="L119" s="6">
        <f t="shared" si="11"/>
        <v>1.9687042451349678E-3</v>
      </c>
      <c r="M119" s="6">
        <f t="shared" si="12"/>
        <v>4.5301763579174207E-4</v>
      </c>
      <c r="N119" s="6" t="str">
        <f t="shared" si="13"/>
        <v>Potensi Stunting</v>
      </c>
    </row>
    <row r="120" spans="1:14" ht="15.75" customHeight="1" x14ac:dyDescent="0.25">
      <c r="A120" s="6" t="s">
        <v>171</v>
      </c>
      <c r="B120" s="6" t="s">
        <v>16</v>
      </c>
      <c r="C120" s="6" t="s">
        <v>27</v>
      </c>
      <c r="D120" s="6">
        <v>13.7</v>
      </c>
      <c r="E120" s="6">
        <v>73</v>
      </c>
      <c r="F120" s="6" t="s">
        <v>23</v>
      </c>
      <c r="G120" s="6" t="s">
        <v>23</v>
      </c>
      <c r="H120" s="6" t="s">
        <v>24</v>
      </c>
      <c r="I120" s="6" t="s">
        <v>25</v>
      </c>
      <c r="J120" s="7" t="s">
        <v>13</v>
      </c>
      <c r="K120" s="6">
        <f t="shared" si="10"/>
        <v>5.5773420479302833E-6</v>
      </c>
      <c r="L120" s="6">
        <f t="shared" si="11"/>
        <v>6.4961699645987316E-4</v>
      </c>
      <c r="M120" s="6">
        <f t="shared" si="12"/>
        <v>9.9239012788041134E-2</v>
      </c>
      <c r="N120" s="6" t="str">
        <f t="shared" si="13"/>
        <v>Tidak</v>
      </c>
    </row>
    <row r="121" spans="1:14" ht="15.75" customHeight="1" x14ac:dyDescent="0.25">
      <c r="A121" s="6" t="s">
        <v>172</v>
      </c>
      <c r="B121" s="6" t="s">
        <v>16</v>
      </c>
      <c r="C121" s="6" t="s">
        <v>27</v>
      </c>
      <c r="D121" s="6" t="s">
        <v>113</v>
      </c>
      <c r="E121" s="6">
        <v>74</v>
      </c>
      <c r="F121" s="6" t="s">
        <v>23</v>
      </c>
      <c r="G121" s="6" t="s">
        <v>23</v>
      </c>
      <c r="H121" s="6" t="s">
        <v>24</v>
      </c>
      <c r="I121" s="6" t="s">
        <v>25</v>
      </c>
      <c r="J121" s="7" t="s">
        <v>13</v>
      </c>
      <c r="K121" s="6">
        <f t="shared" si="10"/>
        <v>5.5773420479302833E-6</v>
      </c>
      <c r="L121" s="6">
        <f t="shared" si="11"/>
        <v>6.4961699645987316E-4</v>
      </c>
      <c r="M121" s="6">
        <f t="shared" si="12"/>
        <v>9.9239012788041134E-2</v>
      </c>
      <c r="N121" s="6" t="str">
        <f t="shared" si="13"/>
        <v>Tidak</v>
      </c>
    </row>
    <row r="122" spans="1:14" ht="15.75" customHeight="1" x14ac:dyDescent="0.25">
      <c r="A122" s="6" t="s">
        <v>173</v>
      </c>
      <c r="B122" s="6" t="s">
        <v>16</v>
      </c>
      <c r="C122" s="6" t="s">
        <v>17</v>
      </c>
      <c r="D122" s="6">
        <v>17.399999999999999</v>
      </c>
      <c r="E122" s="6">
        <v>92</v>
      </c>
      <c r="F122" s="6" t="s">
        <v>48</v>
      </c>
      <c r="G122" s="6" t="s">
        <v>23</v>
      </c>
      <c r="H122" s="6" t="s">
        <v>49</v>
      </c>
      <c r="I122" s="6" t="s">
        <v>13</v>
      </c>
      <c r="J122" s="7" t="s">
        <v>13</v>
      </c>
      <c r="K122" s="6">
        <f t="shared" si="10"/>
        <v>1.6732026143790849E-5</v>
      </c>
      <c r="L122" s="6">
        <f t="shared" si="11"/>
        <v>8.5184318299109176E-6</v>
      </c>
      <c r="M122" s="6">
        <f t="shared" si="12"/>
        <v>1.0562865459169084E-5</v>
      </c>
      <c r="N122" s="6" t="str">
        <f t="shared" si="13"/>
        <v>Stunting</v>
      </c>
    </row>
    <row r="123" spans="1:14" ht="15.75" customHeight="1" x14ac:dyDescent="0.25">
      <c r="A123" s="6" t="s">
        <v>174</v>
      </c>
      <c r="B123" s="6" t="s">
        <v>16</v>
      </c>
      <c r="C123" s="6" t="s">
        <v>17</v>
      </c>
      <c r="D123" s="6">
        <v>17.5</v>
      </c>
      <c r="E123" s="6">
        <v>117</v>
      </c>
      <c r="F123" s="6" t="s">
        <v>48</v>
      </c>
      <c r="G123" s="6" t="s">
        <v>23</v>
      </c>
      <c r="H123" s="6" t="s">
        <v>49</v>
      </c>
      <c r="I123" s="6" t="s">
        <v>25</v>
      </c>
      <c r="J123" s="7" t="s">
        <v>12</v>
      </c>
      <c r="K123" s="6">
        <f t="shared" si="10"/>
        <v>4.1830065359477122E-6</v>
      </c>
      <c r="L123" s="6">
        <f t="shared" si="11"/>
        <v>5.6789545532739453E-5</v>
      </c>
      <c r="M123" s="6">
        <f t="shared" si="12"/>
        <v>1.5633040879570244E-3</v>
      </c>
      <c r="N123" s="6" t="str">
        <f t="shared" si="13"/>
        <v>Tidak</v>
      </c>
    </row>
    <row r="124" spans="1:14" ht="15.75" customHeight="1" x14ac:dyDescent="0.25">
      <c r="A124" s="6" t="s">
        <v>175</v>
      </c>
      <c r="B124" s="6" t="s">
        <v>16</v>
      </c>
      <c r="C124" s="6" t="s">
        <v>27</v>
      </c>
      <c r="D124" s="6">
        <v>6.6</v>
      </c>
      <c r="E124" s="6">
        <v>81</v>
      </c>
      <c r="F124" s="6" t="s">
        <v>29</v>
      </c>
      <c r="G124" s="6" t="s">
        <v>23</v>
      </c>
      <c r="H124" s="6" t="s">
        <v>33</v>
      </c>
      <c r="I124" s="6" t="s">
        <v>25</v>
      </c>
      <c r="J124" s="7" t="s">
        <v>13</v>
      </c>
      <c r="K124" s="6">
        <f t="shared" si="10"/>
        <v>2.2309368191721133E-5</v>
      </c>
      <c r="L124" s="6">
        <f t="shared" si="11"/>
        <v>3.0160789121351256E-4</v>
      </c>
      <c r="M124" s="6">
        <f t="shared" si="12"/>
        <v>6.4313311617812414E-3</v>
      </c>
      <c r="N124" s="6" t="str">
        <f t="shared" si="13"/>
        <v>Tidak</v>
      </c>
    </row>
    <row r="125" spans="1:14" ht="15.75" customHeight="1" x14ac:dyDescent="0.25">
      <c r="A125" s="6" t="s">
        <v>176</v>
      </c>
      <c r="B125" s="6" t="s">
        <v>22</v>
      </c>
      <c r="C125" s="6" t="s">
        <v>17</v>
      </c>
      <c r="D125" s="6" t="s">
        <v>79</v>
      </c>
      <c r="E125" s="6">
        <v>98</v>
      </c>
      <c r="F125" s="6" t="s">
        <v>23</v>
      </c>
      <c r="G125" s="6" t="s">
        <v>23</v>
      </c>
      <c r="H125" s="6" t="s">
        <v>24</v>
      </c>
      <c r="I125" s="6" t="s">
        <v>25</v>
      </c>
      <c r="J125" s="7" t="s">
        <v>13</v>
      </c>
      <c r="K125" s="6">
        <f t="shared" si="10"/>
        <v>3.042186571598336E-6</v>
      </c>
      <c r="L125" s="6">
        <f t="shared" si="11"/>
        <v>4.2402860664445452E-4</v>
      </c>
      <c r="M125" s="6">
        <f t="shared" si="12"/>
        <v>8.1880922843730039E-2</v>
      </c>
      <c r="N125" s="6" t="str">
        <f t="shared" si="13"/>
        <v>Tidak</v>
      </c>
    </row>
    <row r="126" spans="1:14" ht="15.75" customHeight="1" x14ac:dyDescent="0.25">
      <c r="A126" s="6" t="s">
        <v>177</v>
      </c>
      <c r="B126" s="6" t="s">
        <v>16</v>
      </c>
      <c r="C126" s="6" t="s">
        <v>27</v>
      </c>
      <c r="D126" s="6">
        <v>8</v>
      </c>
      <c r="E126" s="6">
        <v>78</v>
      </c>
      <c r="F126" s="6" t="s">
        <v>29</v>
      </c>
      <c r="G126" s="6" t="s">
        <v>23</v>
      </c>
      <c r="H126" s="6" t="s">
        <v>33</v>
      </c>
      <c r="I126" s="6" t="s">
        <v>25</v>
      </c>
      <c r="J126" s="7" t="s">
        <v>13</v>
      </c>
      <c r="K126" s="6">
        <f t="shared" si="10"/>
        <v>2.2309368191721133E-5</v>
      </c>
      <c r="L126" s="6">
        <f t="shared" si="11"/>
        <v>3.0160789121351256E-4</v>
      </c>
      <c r="M126" s="6">
        <f t="shared" si="12"/>
        <v>6.4313311617812414E-3</v>
      </c>
      <c r="N126" s="6" t="str">
        <f t="shared" si="13"/>
        <v>Tidak</v>
      </c>
    </row>
    <row r="127" spans="1:14" ht="15.75" customHeight="1" x14ac:dyDescent="0.25">
      <c r="A127" s="6" t="s">
        <v>178</v>
      </c>
      <c r="B127" s="6" t="s">
        <v>16</v>
      </c>
      <c r="C127" s="6" t="s">
        <v>17</v>
      </c>
      <c r="D127" s="6" t="s">
        <v>159</v>
      </c>
      <c r="E127" s="6">
        <v>104</v>
      </c>
      <c r="F127" s="6" t="s">
        <v>23</v>
      </c>
      <c r="G127" s="6" t="s">
        <v>23</v>
      </c>
      <c r="H127" s="6" t="s">
        <v>24</v>
      </c>
      <c r="I127" s="6" t="s">
        <v>25</v>
      </c>
      <c r="J127" s="7" t="s">
        <v>13</v>
      </c>
      <c r="K127" s="6">
        <f t="shared" si="10"/>
        <v>8.3660130718954245E-6</v>
      </c>
      <c r="L127" s="6">
        <f t="shared" si="11"/>
        <v>7.9505363745835237E-4</v>
      </c>
      <c r="M127" s="6">
        <f t="shared" si="12"/>
        <v>0.12145670221819958</v>
      </c>
      <c r="N127" s="6" t="str">
        <f t="shared" si="13"/>
        <v>Tidak</v>
      </c>
    </row>
    <row r="128" spans="1:14" ht="15.75" customHeight="1" x14ac:dyDescent="0.25">
      <c r="A128" s="6" t="s">
        <v>179</v>
      </c>
      <c r="B128" s="6" t="s">
        <v>16</v>
      </c>
      <c r="C128" s="6" t="s">
        <v>17</v>
      </c>
      <c r="D128" s="6">
        <v>13.7</v>
      </c>
      <c r="E128" s="6">
        <v>96</v>
      </c>
      <c r="F128" s="6" t="s">
        <v>23</v>
      </c>
      <c r="G128" s="6" t="s">
        <v>23</v>
      </c>
      <c r="H128" s="6" t="s">
        <v>24</v>
      </c>
      <c r="I128" s="6" t="s">
        <v>25</v>
      </c>
      <c r="J128" s="7" t="s">
        <v>13</v>
      </c>
      <c r="K128" s="6">
        <f t="shared" si="10"/>
        <v>8.3660130718954245E-6</v>
      </c>
      <c r="L128" s="6">
        <f t="shared" si="11"/>
        <v>7.9505363745835237E-4</v>
      </c>
      <c r="M128" s="6">
        <f t="shared" si="12"/>
        <v>0.12145670221819958</v>
      </c>
      <c r="N128" s="6" t="str">
        <f t="shared" si="13"/>
        <v>Tidak</v>
      </c>
    </row>
    <row r="129" spans="1:14" ht="15.75" customHeight="1" x14ac:dyDescent="0.25">
      <c r="A129" s="6" t="s">
        <v>180</v>
      </c>
      <c r="B129" s="6" t="s">
        <v>16</v>
      </c>
      <c r="C129" s="6" t="s">
        <v>27</v>
      </c>
      <c r="D129" s="6" t="s">
        <v>181</v>
      </c>
      <c r="E129" s="6">
        <v>87</v>
      </c>
      <c r="F129" s="6" t="s">
        <v>23</v>
      </c>
      <c r="G129" s="6" t="s">
        <v>23</v>
      </c>
      <c r="H129" s="6" t="s">
        <v>41</v>
      </c>
      <c r="I129" s="6" t="s">
        <v>25</v>
      </c>
      <c r="J129" s="7" t="s">
        <v>13</v>
      </c>
      <c r="K129" s="6">
        <f t="shared" si="10"/>
        <v>1.3943355119825708E-6</v>
      </c>
      <c r="L129" s="6">
        <f t="shared" si="11"/>
        <v>9.2802428065696168E-5</v>
      </c>
      <c r="M129" s="6">
        <f t="shared" si="12"/>
        <v>5.8953868982994729E-3</v>
      </c>
      <c r="N129" s="6" t="str">
        <f t="shared" si="13"/>
        <v>Tidak</v>
      </c>
    </row>
    <row r="130" spans="1:14" ht="15.75" customHeight="1" x14ac:dyDescent="0.25">
      <c r="A130" s="6" t="s">
        <v>182</v>
      </c>
      <c r="B130" s="6" t="s">
        <v>16</v>
      </c>
      <c r="C130" s="6" t="s">
        <v>27</v>
      </c>
      <c r="D130" s="6">
        <v>9.5</v>
      </c>
      <c r="E130" s="6">
        <v>85</v>
      </c>
      <c r="F130" s="6" t="s">
        <v>18</v>
      </c>
      <c r="G130" s="6" t="s">
        <v>35</v>
      </c>
      <c r="H130" s="6" t="s">
        <v>33</v>
      </c>
      <c r="I130" s="6" t="s">
        <v>13</v>
      </c>
      <c r="J130" s="7" t="s">
        <v>12</v>
      </c>
      <c r="K130" s="6">
        <f t="shared" si="10"/>
        <v>1.0708496732026146E-3</v>
      </c>
      <c r="L130" s="6">
        <f t="shared" si="11"/>
        <v>1.8560485613139234E-5</v>
      </c>
      <c r="M130" s="6">
        <f t="shared" si="12"/>
        <v>2.084169797712503E-7</v>
      </c>
      <c r="N130" s="6" t="str">
        <f t="shared" si="13"/>
        <v>Stunting</v>
      </c>
    </row>
    <row r="131" spans="1:14" ht="15.75" customHeight="1" x14ac:dyDescent="0.25">
      <c r="A131" s="6" t="s">
        <v>183</v>
      </c>
      <c r="B131" s="6" t="s">
        <v>16</v>
      </c>
      <c r="C131" s="6" t="s">
        <v>17</v>
      </c>
      <c r="D131" s="6" t="s">
        <v>79</v>
      </c>
      <c r="E131" s="6">
        <v>105</v>
      </c>
      <c r="F131" s="6" t="s">
        <v>23</v>
      </c>
      <c r="G131" s="6" t="s">
        <v>23</v>
      </c>
      <c r="H131" s="6" t="s">
        <v>24</v>
      </c>
      <c r="I131" s="6" t="s">
        <v>25</v>
      </c>
      <c r="J131" s="7" t="s">
        <v>13</v>
      </c>
      <c r="K131" s="6">
        <f t="shared" ref="K131:K189" si="14">($Q$4/$Q$3)*(IF(B131="L",$T$15,$T$16))*(IF(C131="1-34 Bulan",$T$21,$T$22))*(IF(F131="Risiko Lebih",$T$27,IF(F131="Normal",$T$28,IF(F131="Kurang",$T$29,$T$30))))*(IF(G131="Normal",$T$35,IF(G131="Pendek",$T$36,$T$37)))*(IF(H131="Gizi Buruk",$T$42,IF(H131="Gizi Lebih",$T$43,IF(H131="Risiko Gizi Lebih",$T$44,IF(H131="Gizi Baik",$T$45,$T$46)))))*(IF(I131="Ya",$T$51,$T$52))</f>
        <v>8.3660130718954245E-6</v>
      </c>
      <c r="L131" s="6">
        <f t="shared" ref="L131:L189" si="15">($Q$5/$Q$3)*(IF(B131="L",$U$15,$U$16))*(IF(C131="1-34 Bulan",$U$21,$U$22))*(IF(F131="Risiko Lebih",$U$27,IF(F131="Normal",$U$28,IF(F131="Kurang",$U$29,$U$30))))*(IF(G131="Normal",$U$35,IF(G131="Pendek",$U$36,$U$37)))*(IF(H131="Gizi Buruk",$U$42,IF(H131="Gizi Lebih",$U$43,IF(H131="Risiko Gizi Lebih",$U$44,IF(H131="Gizi Baik",$U$45,$U$46)))))*(IF(I131="Ya",$U$51,$U$52))</f>
        <v>7.9505363745835237E-4</v>
      </c>
      <c r="M131" s="6">
        <f t="shared" ref="M131:M189" si="16">($Q$6/$Q$3)*(IF(B131="L",$V$15,$V$16))*(IF(C131="1-34 Bulan",$V$21,$V$22))*(IF(F131="Risiko Lebih",$V$27,IF(F131="Normal",$V$28,IF(F131="Kurang",$V$29,$V$30))))*(IF(G131="Normal",$V$35,IF(G131="Pendek",$V$36,$V$37)))*(IF(H131="Gizi Buruk",$V$42,IF(H131="Gizi Lebih",$V$43,IF(H131="Risiko Gizi Lebih",$V$44,IF(H131="Gizi Baik",$V$45,$V$46)))))*(IF(I131="Ya",$V$51,$V$52))</f>
        <v>0.12145670221819958</v>
      </c>
      <c r="N131" s="6" t="str">
        <f t="shared" ref="N131:N189" si="17">IF(K131=MAX(K131,L131,M131),"Stunting",IF(L131=MAX(K131,L131,M131),"Potensi Stunting","Tidak"))</f>
        <v>Tidak</v>
      </c>
    </row>
    <row r="132" spans="1:14" ht="15.75" customHeight="1" x14ac:dyDescent="0.25">
      <c r="A132" s="6" t="s">
        <v>184</v>
      </c>
      <c r="B132" s="6" t="s">
        <v>16</v>
      </c>
      <c r="C132" s="6" t="s">
        <v>17</v>
      </c>
      <c r="D132" s="6">
        <v>15.2</v>
      </c>
      <c r="E132" s="6">
        <v>110</v>
      </c>
      <c r="F132" s="6" t="s">
        <v>23</v>
      </c>
      <c r="G132" s="6" t="s">
        <v>23</v>
      </c>
      <c r="H132" s="6" t="s">
        <v>24</v>
      </c>
      <c r="I132" s="6" t="s">
        <v>25</v>
      </c>
      <c r="J132" s="7" t="s">
        <v>13</v>
      </c>
      <c r="K132" s="6">
        <f t="shared" si="14"/>
        <v>8.3660130718954245E-6</v>
      </c>
      <c r="L132" s="6">
        <f t="shared" si="15"/>
        <v>7.9505363745835237E-4</v>
      </c>
      <c r="M132" s="6">
        <f t="shared" si="16"/>
        <v>0.12145670221819958</v>
      </c>
      <c r="N132" s="6" t="str">
        <f t="shared" si="17"/>
        <v>Tidak</v>
      </c>
    </row>
    <row r="133" spans="1:14" ht="15.75" customHeight="1" x14ac:dyDescent="0.25">
      <c r="A133" s="6" t="s">
        <v>185</v>
      </c>
      <c r="B133" s="6" t="s">
        <v>22</v>
      </c>
      <c r="C133" s="6" t="s">
        <v>17</v>
      </c>
      <c r="D133" s="6">
        <v>16.7</v>
      </c>
      <c r="E133" s="6">
        <v>97</v>
      </c>
      <c r="F133" s="6" t="s">
        <v>23</v>
      </c>
      <c r="G133" s="6" t="s">
        <v>23</v>
      </c>
      <c r="H133" s="6" t="s">
        <v>24</v>
      </c>
      <c r="I133" s="6" t="s">
        <v>25</v>
      </c>
      <c r="J133" s="7" t="s">
        <v>13</v>
      </c>
      <c r="K133" s="6">
        <f t="shared" si="14"/>
        <v>3.042186571598336E-6</v>
      </c>
      <c r="L133" s="6">
        <f t="shared" si="15"/>
        <v>4.2402860664445452E-4</v>
      </c>
      <c r="M133" s="6">
        <f t="shared" si="16"/>
        <v>8.1880922843730039E-2</v>
      </c>
      <c r="N133" s="6" t="str">
        <f t="shared" si="17"/>
        <v>Tidak</v>
      </c>
    </row>
    <row r="134" spans="1:14" ht="15.75" customHeight="1" x14ac:dyDescent="0.25">
      <c r="A134" s="6" t="s">
        <v>186</v>
      </c>
      <c r="B134" s="6" t="s">
        <v>16</v>
      </c>
      <c r="C134" s="6" t="s">
        <v>17</v>
      </c>
      <c r="D134" s="6">
        <v>14.5</v>
      </c>
      <c r="E134" s="6">
        <v>109</v>
      </c>
      <c r="F134" s="6" t="s">
        <v>23</v>
      </c>
      <c r="G134" s="6" t="s">
        <v>23</v>
      </c>
      <c r="H134" s="6" t="s">
        <v>24</v>
      </c>
      <c r="I134" s="6" t="s">
        <v>25</v>
      </c>
      <c r="J134" s="7" t="s">
        <v>13</v>
      </c>
      <c r="K134" s="6">
        <f t="shared" si="14"/>
        <v>8.3660130718954245E-6</v>
      </c>
      <c r="L134" s="6">
        <f t="shared" si="15"/>
        <v>7.9505363745835237E-4</v>
      </c>
      <c r="M134" s="6">
        <f t="shared" si="16"/>
        <v>0.12145670221819958</v>
      </c>
      <c r="N134" s="6" t="str">
        <f t="shared" si="17"/>
        <v>Tidak</v>
      </c>
    </row>
    <row r="135" spans="1:14" ht="15.75" customHeight="1" x14ac:dyDescent="0.25">
      <c r="A135" s="6" t="s">
        <v>187</v>
      </c>
      <c r="B135" s="6" t="s">
        <v>16</v>
      </c>
      <c r="C135" s="6" t="s">
        <v>17</v>
      </c>
      <c r="D135" s="6">
        <v>16.2</v>
      </c>
      <c r="E135" s="6">
        <v>112</v>
      </c>
      <c r="F135" s="6" t="s">
        <v>23</v>
      </c>
      <c r="G135" s="6" t="s">
        <v>23</v>
      </c>
      <c r="H135" s="6" t="s">
        <v>24</v>
      </c>
      <c r="I135" s="6" t="s">
        <v>25</v>
      </c>
      <c r="J135" s="7" t="s">
        <v>13</v>
      </c>
      <c r="K135" s="6">
        <f t="shared" si="14"/>
        <v>8.3660130718954245E-6</v>
      </c>
      <c r="L135" s="6">
        <f t="shared" si="15"/>
        <v>7.9505363745835237E-4</v>
      </c>
      <c r="M135" s="6">
        <f t="shared" si="16"/>
        <v>0.12145670221819958</v>
      </c>
      <c r="N135" s="6" t="str">
        <f t="shared" si="17"/>
        <v>Tidak</v>
      </c>
    </row>
    <row r="136" spans="1:14" ht="15.75" customHeight="1" x14ac:dyDescent="0.25">
      <c r="A136" s="6" t="s">
        <v>188</v>
      </c>
      <c r="B136" s="6" t="s">
        <v>16</v>
      </c>
      <c r="C136" s="6" t="s">
        <v>17</v>
      </c>
      <c r="D136" s="6">
        <v>21</v>
      </c>
      <c r="E136" s="6">
        <v>105</v>
      </c>
      <c r="F136" s="6" t="s">
        <v>48</v>
      </c>
      <c r="G136" s="6" t="s">
        <v>23</v>
      </c>
      <c r="H136" s="6" t="s">
        <v>49</v>
      </c>
      <c r="I136" s="6" t="s">
        <v>25</v>
      </c>
      <c r="J136" s="7" t="s">
        <v>13</v>
      </c>
      <c r="K136" s="6">
        <f t="shared" si="14"/>
        <v>4.1830065359477122E-6</v>
      </c>
      <c r="L136" s="6">
        <f t="shared" si="15"/>
        <v>5.6789545532739453E-5</v>
      </c>
      <c r="M136" s="6">
        <f t="shared" si="16"/>
        <v>1.5633040879570244E-3</v>
      </c>
      <c r="N136" s="6" t="str">
        <f t="shared" si="17"/>
        <v>Tidak</v>
      </c>
    </row>
    <row r="137" spans="1:14" ht="15.75" customHeight="1" x14ac:dyDescent="0.25">
      <c r="A137" s="6" t="s">
        <v>189</v>
      </c>
      <c r="B137" s="6" t="s">
        <v>16</v>
      </c>
      <c r="C137" s="6" t="s">
        <v>27</v>
      </c>
      <c r="D137" s="6" t="s">
        <v>190</v>
      </c>
      <c r="E137" s="6">
        <v>86</v>
      </c>
      <c r="F137" s="6" t="s">
        <v>23</v>
      </c>
      <c r="G137" s="6" t="s">
        <v>23</v>
      </c>
      <c r="H137" s="6" t="s">
        <v>24</v>
      </c>
      <c r="I137" s="6" t="s">
        <v>25</v>
      </c>
      <c r="J137" s="7" t="s">
        <v>13</v>
      </c>
      <c r="K137" s="6">
        <f t="shared" si="14"/>
        <v>5.5773420479302833E-6</v>
      </c>
      <c r="L137" s="6">
        <f t="shared" si="15"/>
        <v>6.4961699645987316E-4</v>
      </c>
      <c r="M137" s="6">
        <f t="shared" si="16"/>
        <v>9.9239012788041134E-2</v>
      </c>
      <c r="N137" s="6" t="str">
        <f t="shared" si="17"/>
        <v>Tidak</v>
      </c>
    </row>
    <row r="138" spans="1:14" ht="15.75" customHeight="1" x14ac:dyDescent="0.25">
      <c r="A138" s="6" t="s">
        <v>191</v>
      </c>
      <c r="B138" s="6" t="s">
        <v>16</v>
      </c>
      <c r="C138" s="6" t="s">
        <v>27</v>
      </c>
      <c r="D138" s="6" t="s">
        <v>192</v>
      </c>
      <c r="E138" s="6">
        <v>105</v>
      </c>
      <c r="F138" s="6" t="s">
        <v>23</v>
      </c>
      <c r="G138" s="6" t="s">
        <v>23</v>
      </c>
      <c r="H138" s="6" t="s">
        <v>24</v>
      </c>
      <c r="I138" s="6" t="s">
        <v>25</v>
      </c>
      <c r="J138" s="7" t="s">
        <v>13</v>
      </c>
      <c r="K138" s="6">
        <f t="shared" si="14"/>
        <v>5.5773420479302833E-6</v>
      </c>
      <c r="L138" s="6">
        <f t="shared" si="15"/>
        <v>6.4961699645987316E-4</v>
      </c>
      <c r="M138" s="6">
        <f t="shared" si="16"/>
        <v>9.9239012788041134E-2</v>
      </c>
      <c r="N138" s="6" t="str">
        <f t="shared" si="17"/>
        <v>Tidak</v>
      </c>
    </row>
    <row r="139" spans="1:14" ht="15.75" customHeight="1" x14ac:dyDescent="0.25">
      <c r="A139" s="6" t="s">
        <v>193</v>
      </c>
      <c r="B139" s="6" t="s">
        <v>16</v>
      </c>
      <c r="C139" s="6" t="s">
        <v>17</v>
      </c>
      <c r="D139" s="6" t="s">
        <v>194</v>
      </c>
      <c r="E139" s="6">
        <v>104</v>
      </c>
      <c r="F139" s="6" t="s">
        <v>23</v>
      </c>
      <c r="G139" s="6" t="s">
        <v>23</v>
      </c>
      <c r="H139" s="6" t="s">
        <v>41</v>
      </c>
      <c r="I139" s="6" t="s">
        <v>25</v>
      </c>
      <c r="J139" s="7" t="s">
        <v>13</v>
      </c>
      <c r="K139" s="6">
        <f t="shared" si="14"/>
        <v>2.0915032679738561E-6</v>
      </c>
      <c r="L139" s="6">
        <f t="shared" si="15"/>
        <v>1.1357909106547891E-4</v>
      </c>
      <c r="M139" s="6">
        <f t="shared" si="16"/>
        <v>7.2152496367247267E-3</v>
      </c>
      <c r="N139" s="6" t="str">
        <f t="shared" si="17"/>
        <v>Tidak</v>
      </c>
    </row>
    <row r="140" spans="1:14" ht="15.75" customHeight="1" x14ac:dyDescent="0.25">
      <c r="A140" s="6" t="s">
        <v>195</v>
      </c>
      <c r="B140" s="6" t="s">
        <v>22</v>
      </c>
      <c r="C140" s="6" t="s">
        <v>17</v>
      </c>
      <c r="D140" s="6">
        <v>13.4</v>
      </c>
      <c r="E140" s="6">
        <v>102</v>
      </c>
      <c r="F140" s="6" t="s">
        <v>23</v>
      </c>
      <c r="G140" s="6" t="s">
        <v>23</v>
      </c>
      <c r="H140" s="6" t="s">
        <v>24</v>
      </c>
      <c r="I140" s="6" t="s">
        <v>25</v>
      </c>
      <c r="J140" s="7" t="s">
        <v>13</v>
      </c>
      <c r="K140" s="6">
        <f t="shared" si="14"/>
        <v>3.042186571598336E-6</v>
      </c>
      <c r="L140" s="6">
        <f t="shared" si="15"/>
        <v>4.2402860664445452E-4</v>
      </c>
      <c r="M140" s="6">
        <f t="shared" si="16"/>
        <v>8.1880922843730039E-2</v>
      </c>
      <c r="N140" s="6" t="str">
        <f t="shared" si="17"/>
        <v>Tidak</v>
      </c>
    </row>
    <row r="141" spans="1:14" ht="15.75" customHeight="1" x14ac:dyDescent="0.25">
      <c r="A141" s="6" t="s">
        <v>196</v>
      </c>
      <c r="B141" s="6" t="s">
        <v>16</v>
      </c>
      <c r="C141" s="6" t="s">
        <v>27</v>
      </c>
      <c r="D141" s="6">
        <v>6.3</v>
      </c>
      <c r="E141" s="6">
        <v>89</v>
      </c>
      <c r="F141" s="6" t="s">
        <v>29</v>
      </c>
      <c r="G141" s="6" t="s">
        <v>23</v>
      </c>
      <c r="H141" s="6" t="s">
        <v>33</v>
      </c>
      <c r="I141" s="6" t="s">
        <v>25</v>
      </c>
      <c r="J141" s="7" t="s">
        <v>13</v>
      </c>
      <c r="K141" s="6">
        <f t="shared" si="14"/>
        <v>2.2309368191721133E-5</v>
      </c>
      <c r="L141" s="6">
        <f t="shared" si="15"/>
        <v>3.0160789121351256E-4</v>
      </c>
      <c r="M141" s="6">
        <f t="shared" si="16"/>
        <v>6.4313311617812414E-3</v>
      </c>
      <c r="N141" s="6" t="str">
        <f t="shared" si="17"/>
        <v>Tidak</v>
      </c>
    </row>
    <row r="142" spans="1:14" ht="15.75" customHeight="1" x14ac:dyDescent="0.25">
      <c r="A142" s="6" t="s">
        <v>197</v>
      </c>
      <c r="B142" s="6" t="s">
        <v>22</v>
      </c>
      <c r="C142" s="6" t="s">
        <v>17</v>
      </c>
      <c r="D142" s="6">
        <v>8.5</v>
      </c>
      <c r="E142" s="6">
        <v>73</v>
      </c>
      <c r="F142" s="6" t="s">
        <v>29</v>
      </c>
      <c r="G142" s="6" t="s">
        <v>19</v>
      </c>
      <c r="H142" s="6" t="s">
        <v>24</v>
      </c>
      <c r="I142" s="6" t="s">
        <v>25</v>
      </c>
      <c r="J142" s="7" t="s">
        <v>12</v>
      </c>
      <c r="K142" s="6">
        <f t="shared" si="14"/>
        <v>9.7349970291146751E-5</v>
      </c>
      <c r="L142" s="6">
        <f t="shared" si="15"/>
        <v>1.224971530306202E-3</v>
      </c>
      <c r="M142" s="6">
        <f t="shared" si="16"/>
        <v>2.5704933266834803E-4</v>
      </c>
      <c r="N142" s="6" t="str">
        <f t="shared" si="17"/>
        <v>Potensi Stunting</v>
      </c>
    </row>
    <row r="143" spans="1:14" ht="15.75" customHeight="1" x14ac:dyDescent="0.25">
      <c r="A143" s="6" t="s">
        <v>198</v>
      </c>
      <c r="B143" s="6" t="s">
        <v>16</v>
      </c>
      <c r="C143" s="6" t="s">
        <v>17</v>
      </c>
      <c r="D143" s="6">
        <v>8.9</v>
      </c>
      <c r="E143" s="6">
        <v>78.400000000000006</v>
      </c>
      <c r="F143" s="6" t="s">
        <v>18</v>
      </c>
      <c r="G143" s="6" t="s">
        <v>19</v>
      </c>
      <c r="H143" s="6" t="s">
        <v>24</v>
      </c>
      <c r="I143" s="6" t="s">
        <v>25</v>
      </c>
      <c r="J143" s="7" t="s">
        <v>13</v>
      </c>
      <c r="K143" s="6">
        <f t="shared" si="14"/>
        <v>5.3542483660130717E-4</v>
      </c>
      <c r="L143" s="6">
        <f t="shared" si="15"/>
        <v>1.7667858610185609E-4</v>
      </c>
      <c r="M143" s="6">
        <f t="shared" si="16"/>
        <v>3.1774153621504133E-5</v>
      </c>
      <c r="N143" s="6" t="str">
        <f t="shared" si="17"/>
        <v>Stunting</v>
      </c>
    </row>
    <row r="144" spans="1:14" ht="15.75" customHeight="1" x14ac:dyDescent="0.25">
      <c r="A144" s="6" t="s">
        <v>199</v>
      </c>
      <c r="B144" s="6" t="s">
        <v>16</v>
      </c>
      <c r="C144" s="6" t="s">
        <v>27</v>
      </c>
      <c r="D144" s="6">
        <v>13.7</v>
      </c>
      <c r="E144" s="6">
        <v>85</v>
      </c>
      <c r="F144" s="6" t="s">
        <v>23</v>
      </c>
      <c r="G144" s="6" t="s">
        <v>23</v>
      </c>
      <c r="H144" s="6" t="s">
        <v>24</v>
      </c>
      <c r="I144" s="6" t="s">
        <v>25</v>
      </c>
      <c r="J144" s="7" t="s">
        <v>13</v>
      </c>
      <c r="K144" s="6">
        <f t="shared" si="14"/>
        <v>5.5773420479302833E-6</v>
      </c>
      <c r="L144" s="6">
        <f t="shared" si="15"/>
        <v>6.4961699645987316E-4</v>
      </c>
      <c r="M144" s="6">
        <f t="shared" si="16"/>
        <v>9.9239012788041134E-2</v>
      </c>
      <c r="N144" s="6" t="str">
        <f t="shared" si="17"/>
        <v>Tidak</v>
      </c>
    </row>
    <row r="145" spans="1:14" ht="15.75" customHeight="1" x14ac:dyDescent="0.25">
      <c r="A145" s="6" t="s">
        <v>200</v>
      </c>
      <c r="B145" s="6" t="s">
        <v>22</v>
      </c>
      <c r="C145" s="6" t="s">
        <v>17</v>
      </c>
      <c r="D145" s="6" t="s">
        <v>201</v>
      </c>
      <c r="E145" s="6">
        <v>101</v>
      </c>
      <c r="F145" s="6" t="s">
        <v>23</v>
      </c>
      <c r="G145" s="6" t="s">
        <v>23</v>
      </c>
      <c r="H145" s="6" t="s">
        <v>24</v>
      </c>
      <c r="I145" s="6" t="s">
        <v>25</v>
      </c>
      <c r="J145" s="7" t="s">
        <v>13</v>
      </c>
      <c r="K145" s="6">
        <f t="shared" si="14"/>
        <v>3.042186571598336E-6</v>
      </c>
      <c r="L145" s="6">
        <f t="shared" si="15"/>
        <v>4.2402860664445452E-4</v>
      </c>
      <c r="M145" s="6">
        <f t="shared" si="16"/>
        <v>8.1880922843730039E-2</v>
      </c>
      <c r="N145" s="6" t="str">
        <f t="shared" si="17"/>
        <v>Tidak</v>
      </c>
    </row>
    <row r="146" spans="1:14" ht="15.75" customHeight="1" x14ac:dyDescent="0.25">
      <c r="A146" s="6" t="s">
        <v>202</v>
      </c>
      <c r="B146" s="6" t="s">
        <v>22</v>
      </c>
      <c r="C146" s="6" t="s">
        <v>17</v>
      </c>
      <c r="D146" s="6">
        <v>16.5</v>
      </c>
      <c r="E146" s="6">
        <v>105</v>
      </c>
      <c r="F146" s="6" t="s">
        <v>23</v>
      </c>
      <c r="G146" s="6" t="s">
        <v>23</v>
      </c>
      <c r="H146" s="6" t="s">
        <v>24</v>
      </c>
      <c r="I146" s="6" t="s">
        <v>25</v>
      </c>
      <c r="J146" s="7" t="s">
        <v>13</v>
      </c>
      <c r="K146" s="6">
        <f t="shared" si="14"/>
        <v>3.042186571598336E-6</v>
      </c>
      <c r="L146" s="6">
        <f t="shared" si="15"/>
        <v>4.2402860664445452E-4</v>
      </c>
      <c r="M146" s="6">
        <f t="shared" si="16"/>
        <v>8.1880922843730039E-2</v>
      </c>
      <c r="N146" s="6" t="str">
        <f t="shared" si="17"/>
        <v>Tidak</v>
      </c>
    </row>
    <row r="147" spans="1:14" ht="15.75" customHeight="1" x14ac:dyDescent="0.25">
      <c r="A147" s="6" t="s">
        <v>203</v>
      </c>
      <c r="B147" s="6" t="s">
        <v>16</v>
      </c>
      <c r="C147" s="6" t="s">
        <v>17</v>
      </c>
      <c r="D147" s="6">
        <v>12</v>
      </c>
      <c r="E147" s="6">
        <v>85</v>
      </c>
      <c r="F147" s="6" t="s">
        <v>23</v>
      </c>
      <c r="G147" s="6" t="s">
        <v>35</v>
      </c>
      <c r="H147" s="6" t="s">
        <v>24</v>
      </c>
      <c r="I147" s="6" t="s">
        <v>25</v>
      </c>
      <c r="J147" s="7" t="s">
        <v>13</v>
      </c>
      <c r="K147" s="6">
        <f t="shared" si="14"/>
        <v>5.0196078431372554E-5</v>
      </c>
      <c r="L147" s="6">
        <f t="shared" si="15"/>
        <v>4.2402860664445463E-3</v>
      </c>
      <c r="M147" s="6">
        <f t="shared" si="16"/>
        <v>6.990313796730911E-3</v>
      </c>
      <c r="N147" s="6" t="str">
        <f t="shared" si="17"/>
        <v>Tidak</v>
      </c>
    </row>
    <row r="148" spans="1:14" ht="15.75" customHeight="1" x14ac:dyDescent="0.25">
      <c r="A148" s="6" t="s">
        <v>204</v>
      </c>
      <c r="B148" s="6" t="s">
        <v>16</v>
      </c>
      <c r="C148" s="6" t="s">
        <v>17</v>
      </c>
      <c r="D148" s="6">
        <v>11.3</v>
      </c>
      <c r="E148" s="6">
        <v>81</v>
      </c>
      <c r="F148" s="6" t="s">
        <v>23</v>
      </c>
      <c r="G148" s="6" t="s">
        <v>19</v>
      </c>
      <c r="H148" s="6" t="s">
        <v>24</v>
      </c>
      <c r="I148" s="6" t="s">
        <v>13</v>
      </c>
      <c r="J148" s="7" t="s">
        <v>11</v>
      </c>
      <c r="K148" s="6">
        <f t="shared" si="14"/>
        <v>2.6771241830065358E-4</v>
      </c>
      <c r="L148" s="6">
        <f t="shared" si="15"/>
        <v>1.5901072749167049E-4</v>
      </c>
      <c r="M148" s="6">
        <f t="shared" si="16"/>
        <v>1.1807962494477891E-5</v>
      </c>
      <c r="N148" s="6" t="str">
        <f t="shared" si="17"/>
        <v>Stunting</v>
      </c>
    </row>
    <row r="149" spans="1:14" ht="15.75" customHeight="1" x14ac:dyDescent="0.25">
      <c r="A149" s="6" t="s">
        <v>205</v>
      </c>
      <c r="B149" s="6" t="s">
        <v>22</v>
      </c>
      <c r="C149" s="6" t="s">
        <v>27</v>
      </c>
      <c r="D149" s="6" t="s">
        <v>206</v>
      </c>
      <c r="E149" s="6">
        <v>76</v>
      </c>
      <c r="F149" s="6" t="s">
        <v>23</v>
      </c>
      <c r="G149" s="6" t="s">
        <v>35</v>
      </c>
      <c r="H149" s="6" t="s">
        <v>24</v>
      </c>
      <c r="I149" s="6" t="s">
        <v>25</v>
      </c>
      <c r="J149" s="7" t="s">
        <v>13</v>
      </c>
      <c r="K149" s="6">
        <f t="shared" si="14"/>
        <v>1.2168746286393347E-5</v>
      </c>
      <c r="L149" s="6">
        <f t="shared" si="15"/>
        <v>1.8477994565969727E-3</v>
      </c>
      <c r="M149" s="6">
        <f t="shared" si="16"/>
        <v>3.8505154100929371E-3</v>
      </c>
      <c r="N149" s="6" t="str">
        <f t="shared" si="17"/>
        <v>Tidak</v>
      </c>
    </row>
    <row r="150" spans="1:14" ht="15.75" customHeight="1" x14ac:dyDescent="0.25">
      <c r="A150" s="6" t="s">
        <v>207</v>
      </c>
      <c r="B150" s="6" t="s">
        <v>16</v>
      </c>
      <c r="C150" s="6" t="s">
        <v>17</v>
      </c>
      <c r="D150" s="6" t="s">
        <v>208</v>
      </c>
      <c r="E150" s="6">
        <v>101</v>
      </c>
      <c r="F150" s="6" t="s">
        <v>23</v>
      </c>
      <c r="G150" s="6" t="s">
        <v>23</v>
      </c>
      <c r="H150" s="6" t="s">
        <v>24</v>
      </c>
      <c r="I150" s="6" t="s">
        <v>25</v>
      </c>
      <c r="J150" s="7" t="s">
        <v>13</v>
      </c>
      <c r="K150" s="6">
        <f t="shared" si="14"/>
        <v>8.3660130718954245E-6</v>
      </c>
      <c r="L150" s="6">
        <f t="shared" si="15"/>
        <v>7.9505363745835237E-4</v>
      </c>
      <c r="M150" s="6">
        <f t="shared" si="16"/>
        <v>0.12145670221819958</v>
      </c>
      <c r="N150" s="6" t="str">
        <f t="shared" si="17"/>
        <v>Tidak</v>
      </c>
    </row>
    <row r="151" spans="1:14" ht="15.75" customHeight="1" x14ac:dyDescent="0.25">
      <c r="A151" s="6" t="s">
        <v>209</v>
      </c>
      <c r="B151" s="6" t="s">
        <v>16</v>
      </c>
      <c r="C151" s="6" t="s">
        <v>17</v>
      </c>
      <c r="D151" s="6" t="s">
        <v>210</v>
      </c>
      <c r="E151" s="6">
        <v>105</v>
      </c>
      <c r="F151" s="6" t="s">
        <v>48</v>
      </c>
      <c r="G151" s="6" t="s">
        <v>23</v>
      </c>
      <c r="H151" s="6" t="s">
        <v>41</v>
      </c>
      <c r="I151" s="6" t="s">
        <v>25</v>
      </c>
      <c r="J151" s="7" t="s">
        <v>13</v>
      </c>
      <c r="K151" s="6">
        <f t="shared" si="14"/>
        <v>4.1830065359477122E-6</v>
      </c>
      <c r="L151" s="6">
        <f t="shared" si="15"/>
        <v>5.6789545532739453E-5</v>
      </c>
      <c r="M151" s="6">
        <f t="shared" si="16"/>
        <v>8.5271132070383136E-4</v>
      </c>
      <c r="N151" s="6" t="str">
        <f t="shared" si="17"/>
        <v>Tidak</v>
      </c>
    </row>
    <row r="152" spans="1:14" ht="15.75" customHeight="1" x14ac:dyDescent="0.25">
      <c r="A152" s="6" t="s">
        <v>211</v>
      </c>
      <c r="B152" s="6" t="s">
        <v>16</v>
      </c>
      <c r="C152" s="6" t="s">
        <v>17</v>
      </c>
      <c r="D152" s="6" t="s">
        <v>212</v>
      </c>
      <c r="E152" s="6">
        <v>98</v>
      </c>
      <c r="F152" s="6" t="s">
        <v>23</v>
      </c>
      <c r="G152" s="6" t="s">
        <v>23</v>
      </c>
      <c r="H152" s="6" t="s">
        <v>24</v>
      </c>
      <c r="I152" s="6" t="s">
        <v>25</v>
      </c>
      <c r="J152" s="7" t="s">
        <v>13</v>
      </c>
      <c r="K152" s="6">
        <f t="shared" si="14"/>
        <v>8.3660130718954245E-6</v>
      </c>
      <c r="L152" s="6">
        <f t="shared" si="15"/>
        <v>7.9505363745835237E-4</v>
      </c>
      <c r="M152" s="6">
        <f t="shared" si="16"/>
        <v>0.12145670221819958</v>
      </c>
      <c r="N152" s="6" t="str">
        <f t="shared" si="17"/>
        <v>Tidak</v>
      </c>
    </row>
    <row r="153" spans="1:14" ht="15.75" customHeight="1" x14ac:dyDescent="0.25">
      <c r="A153" s="6" t="s">
        <v>213</v>
      </c>
      <c r="B153" s="6" t="s">
        <v>16</v>
      </c>
      <c r="C153" s="6" t="s">
        <v>17</v>
      </c>
      <c r="D153" s="6" t="s">
        <v>214</v>
      </c>
      <c r="E153" s="6">
        <v>105</v>
      </c>
      <c r="F153" s="6" t="s">
        <v>23</v>
      </c>
      <c r="G153" s="6" t="s">
        <v>23</v>
      </c>
      <c r="H153" s="6" t="s">
        <v>24</v>
      </c>
      <c r="I153" s="6" t="s">
        <v>25</v>
      </c>
      <c r="J153" s="7" t="s">
        <v>13</v>
      </c>
      <c r="K153" s="6">
        <f t="shared" si="14"/>
        <v>8.3660130718954245E-6</v>
      </c>
      <c r="L153" s="6">
        <f t="shared" si="15"/>
        <v>7.9505363745835237E-4</v>
      </c>
      <c r="M153" s="6">
        <f t="shared" si="16"/>
        <v>0.12145670221819958</v>
      </c>
      <c r="N153" s="6" t="str">
        <f t="shared" si="17"/>
        <v>Tidak</v>
      </c>
    </row>
    <row r="154" spans="1:14" ht="15.75" customHeight="1" x14ac:dyDescent="0.25">
      <c r="A154" s="6" t="s">
        <v>215</v>
      </c>
      <c r="B154" s="6" t="s">
        <v>16</v>
      </c>
      <c r="C154" s="6" t="s">
        <v>17</v>
      </c>
      <c r="D154" s="6">
        <v>13.3</v>
      </c>
      <c r="E154" s="6">
        <v>104</v>
      </c>
      <c r="F154" s="6" t="s">
        <v>23</v>
      </c>
      <c r="G154" s="6" t="s">
        <v>23</v>
      </c>
      <c r="H154" s="6" t="s">
        <v>33</v>
      </c>
      <c r="I154" s="6" t="s">
        <v>25</v>
      </c>
      <c r="J154" s="7" t="s">
        <v>13</v>
      </c>
      <c r="K154" s="6">
        <f t="shared" si="14"/>
        <v>8.3660130718954245E-6</v>
      </c>
      <c r="L154" s="6">
        <f t="shared" si="15"/>
        <v>1.7036863659821835E-4</v>
      </c>
      <c r="M154" s="6">
        <f t="shared" si="16"/>
        <v>3.6076248183623635E-2</v>
      </c>
      <c r="N154" s="6" t="str">
        <f t="shared" si="17"/>
        <v>Tidak</v>
      </c>
    </row>
    <row r="155" spans="1:14" ht="15.75" customHeight="1" x14ac:dyDescent="0.25">
      <c r="A155" s="6" t="s">
        <v>216</v>
      </c>
      <c r="B155" s="6" t="s">
        <v>16</v>
      </c>
      <c r="C155" s="6" t="s">
        <v>27</v>
      </c>
      <c r="D155" s="6" t="s">
        <v>28</v>
      </c>
      <c r="E155" s="6">
        <v>77</v>
      </c>
      <c r="F155" s="6" t="s">
        <v>23</v>
      </c>
      <c r="G155" s="6" t="s">
        <v>23</v>
      </c>
      <c r="H155" s="6" t="s">
        <v>24</v>
      </c>
      <c r="I155" s="6" t="s">
        <v>25</v>
      </c>
      <c r="J155" s="7" t="s">
        <v>13</v>
      </c>
      <c r="K155" s="6">
        <f t="shared" si="14"/>
        <v>5.5773420479302833E-6</v>
      </c>
      <c r="L155" s="6">
        <f t="shared" si="15"/>
        <v>6.4961699645987316E-4</v>
      </c>
      <c r="M155" s="6">
        <f t="shared" si="16"/>
        <v>9.9239012788041134E-2</v>
      </c>
      <c r="N155" s="6" t="str">
        <f t="shared" si="17"/>
        <v>Tidak</v>
      </c>
    </row>
    <row r="156" spans="1:14" ht="15.75" customHeight="1" x14ac:dyDescent="0.25">
      <c r="A156" s="6" t="s">
        <v>217</v>
      </c>
      <c r="B156" s="6" t="s">
        <v>22</v>
      </c>
      <c r="C156" s="6" t="s">
        <v>17</v>
      </c>
      <c r="D156" s="6">
        <v>8.4</v>
      </c>
      <c r="E156" s="6">
        <v>75</v>
      </c>
      <c r="F156" s="6" t="s">
        <v>18</v>
      </c>
      <c r="G156" s="6" t="s">
        <v>19</v>
      </c>
      <c r="H156" s="6" t="s">
        <v>24</v>
      </c>
      <c r="I156" s="6" t="s">
        <v>25</v>
      </c>
      <c r="J156" s="7" t="s">
        <v>11</v>
      </c>
      <c r="K156" s="6">
        <f t="shared" si="14"/>
        <v>1.946999405822935E-4</v>
      </c>
      <c r="L156" s="6">
        <f t="shared" si="15"/>
        <v>9.4228579254323225E-5</v>
      </c>
      <c r="M156" s="6">
        <f t="shared" si="16"/>
        <v>2.1420777722362336E-5</v>
      </c>
      <c r="N156" s="6" t="str">
        <f t="shared" si="17"/>
        <v>Stunting</v>
      </c>
    </row>
    <row r="157" spans="1:14" ht="15.75" customHeight="1" x14ac:dyDescent="0.25">
      <c r="A157" s="6" t="s">
        <v>218</v>
      </c>
      <c r="B157" s="6" t="s">
        <v>16</v>
      </c>
      <c r="C157" s="6" t="s">
        <v>17</v>
      </c>
      <c r="D157" s="6">
        <v>15.2</v>
      </c>
      <c r="E157" s="6">
        <v>114</v>
      </c>
      <c r="F157" s="6" t="s">
        <v>23</v>
      </c>
      <c r="G157" s="6" t="s">
        <v>23</v>
      </c>
      <c r="H157" s="6" t="s">
        <v>24</v>
      </c>
      <c r="I157" s="6" t="s">
        <v>25</v>
      </c>
      <c r="J157" s="7" t="s">
        <v>13</v>
      </c>
      <c r="K157" s="6">
        <f t="shared" si="14"/>
        <v>8.3660130718954245E-6</v>
      </c>
      <c r="L157" s="6">
        <f t="shared" si="15"/>
        <v>7.9505363745835237E-4</v>
      </c>
      <c r="M157" s="6">
        <f t="shared" si="16"/>
        <v>0.12145670221819958</v>
      </c>
      <c r="N157" s="6" t="str">
        <f t="shared" si="17"/>
        <v>Tidak</v>
      </c>
    </row>
    <row r="158" spans="1:14" ht="15.75" customHeight="1" x14ac:dyDescent="0.25">
      <c r="A158" s="6" t="s">
        <v>219</v>
      </c>
      <c r="B158" s="6" t="s">
        <v>16</v>
      </c>
      <c r="C158" s="6" t="s">
        <v>27</v>
      </c>
      <c r="D158" s="6">
        <v>13</v>
      </c>
      <c r="E158" s="6">
        <v>88</v>
      </c>
      <c r="F158" s="6" t="s">
        <v>23</v>
      </c>
      <c r="G158" s="6" t="s">
        <v>23</v>
      </c>
      <c r="H158" s="6" t="s">
        <v>24</v>
      </c>
      <c r="I158" s="6" t="s">
        <v>25</v>
      </c>
      <c r="J158" s="7" t="s">
        <v>13</v>
      </c>
      <c r="K158" s="6">
        <f t="shared" si="14"/>
        <v>5.5773420479302833E-6</v>
      </c>
      <c r="L158" s="6">
        <f t="shared" si="15"/>
        <v>6.4961699645987316E-4</v>
      </c>
      <c r="M158" s="6">
        <f t="shared" si="16"/>
        <v>9.9239012788041134E-2</v>
      </c>
      <c r="N158" s="6" t="str">
        <f t="shared" si="17"/>
        <v>Tidak</v>
      </c>
    </row>
    <row r="159" spans="1:14" ht="15.75" customHeight="1" x14ac:dyDescent="0.25">
      <c r="A159" s="6" t="s">
        <v>220</v>
      </c>
      <c r="B159" s="6" t="s">
        <v>22</v>
      </c>
      <c r="C159" s="6" t="s">
        <v>17</v>
      </c>
      <c r="D159" s="6">
        <v>11</v>
      </c>
      <c r="E159" s="6">
        <v>94</v>
      </c>
      <c r="F159" s="6" t="s">
        <v>29</v>
      </c>
      <c r="G159" s="6" t="s">
        <v>23</v>
      </c>
      <c r="H159" s="6" t="s">
        <v>33</v>
      </c>
      <c r="I159" s="6" t="s">
        <v>25</v>
      </c>
      <c r="J159" s="7" t="s">
        <v>13</v>
      </c>
      <c r="K159" s="6">
        <f t="shared" si="14"/>
        <v>1.2168746286393344E-5</v>
      </c>
      <c r="L159" s="6">
        <f t="shared" si="15"/>
        <v>1.9687042451349673E-4</v>
      </c>
      <c r="M159" s="6">
        <f t="shared" si="16"/>
        <v>5.3064144417178773E-3</v>
      </c>
      <c r="N159" s="6" t="str">
        <f t="shared" si="17"/>
        <v>Tidak</v>
      </c>
    </row>
    <row r="160" spans="1:14" ht="15.75" customHeight="1" x14ac:dyDescent="0.25">
      <c r="A160" s="6" t="s">
        <v>221</v>
      </c>
      <c r="B160" s="6" t="s">
        <v>16</v>
      </c>
      <c r="C160" s="6" t="s">
        <v>17</v>
      </c>
      <c r="D160" s="6">
        <v>12.2</v>
      </c>
      <c r="E160" s="6">
        <v>113</v>
      </c>
      <c r="F160" s="6" t="s">
        <v>23</v>
      </c>
      <c r="G160" s="6" t="s">
        <v>23</v>
      </c>
      <c r="H160" s="6" t="s">
        <v>24</v>
      </c>
      <c r="I160" s="6" t="s">
        <v>25</v>
      </c>
      <c r="J160" s="7" t="s">
        <v>13</v>
      </c>
      <c r="K160" s="6">
        <f t="shared" si="14"/>
        <v>8.3660130718954245E-6</v>
      </c>
      <c r="L160" s="6">
        <f t="shared" si="15"/>
        <v>7.9505363745835237E-4</v>
      </c>
      <c r="M160" s="6">
        <f t="shared" si="16"/>
        <v>0.12145670221819958</v>
      </c>
      <c r="N160" s="6" t="str">
        <f t="shared" si="17"/>
        <v>Tidak</v>
      </c>
    </row>
    <row r="161" spans="1:14" ht="15.75" customHeight="1" x14ac:dyDescent="0.25">
      <c r="A161" s="6" t="s">
        <v>222</v>
      </c>
      <c r="B161" s="6" t="s">
        <v>22</v>
      </c>
      <c r="C161" s="6" t="s">
        <v>27</v>
      </c>
      <c r="D161" s="6">
        <v>8.4</v>
      </c>
      <c r="E161" s="6">
        <v>87</v>
      </c>
      <c r="F161" s="6" t="s">
        <v>29</v>
      </c>
      <c r="G161" s="6" t="s">
        <v>23</v>
      </c>
      <c r="H161" s="6" t="s">
        <v>33</v>
      </c>
      <c r="I161" s="6" t="s">
        <v>25</v>
      </c>
      <c r="J161" s="7" t="s">
        <v>13</v>
      </c>
      <c r="K161" s="6">
        <f t="shared" si="14"/>
        <v>8.112497524262231E-6</v>
      </c>
      <c r="L161" s="6">
        <f t="shared" si="15"/>
        <v>1.6085754198054002E-4</v>
      </c>
      <c r="M161" s="6">
        <f t="shared" si="16"/>
        <v>4.3357288731109486E-3</v>
      </c>
      <c r="N161" s="6" t="str">
        <f t="shared" si="17"/>
        <v>Tidak</v>
      </c>
    </row>
    <row r="162" spans="1:14" ht="15.75" customHeight="1" x14ac:dyDescent="0.25">
      <c r="A162" s="6" t="s">
        <v>223</v>
      </c>
      <c r="B162" s="6" t="s">
        <v>16</v>
      </c>
      <c r="C162" s="6" t="s">
        <v>17</v>
      </c>
      <c r="D162" s="6">
        <v>11.1</v>
      </c>
      <c r="E162" s="6">
        <v>83</v>
      </c>
      <c r="F162" s="6" t="s">
        <v>23</v>
      </c>
      <c r="G162" s="6" t="s">
        <v>35</v>
      </c>
      <c r="H162" s="6" t="s">
        <v>24</v>
      </c>
      <c r="I162" s="6" t="s">
        <v>25</v>
      </c>
      <c r="J162" s="7" t="s">
        <v>13</v>
      </c>
      <c r="K162" s="6">
        <f t="shared" si="14"/>
        <v>5.0196078431372554E-5</v>
      </c>
      <c r="L162" s="6">
        <f t="shared" si="15"/>
        <v>4.2402860664445463E-3</v>
      </c>
      <c r="M162" s="6">
        <f t="shared" si="16"/>
        <v>6.990313796730911E-3</v>
      </c>
      <c r="N162" s="6" t="str">
        <f t="shared" si="17"/>
        <v>Tidak</v>
      </c>
    </row>
    <row r="163" spans="1:14" ht="15.75" customHeight="1" x14ac:dyDescent="0.25">
      <c r="A163" s="6" t="s">
        <v>224</v>
      </c>
      <c r="B163" s="6" t="s">
        <v>16</v>
      </c>
      <c r="C163" s="6" t="s">
        <v>17</v>
      </c>
      <c r="D163" s="6">
        <v>16.899999999999999</v>
      </c>
      <c r="E163" s="6">
        <v>111</v>
      </c>
      <c r="F163" s="6" t="s">
        <v>23</v>
      </c>
      <c r="G163" s="6" t="s">
        <v>23</v>
      </c>
      <c r="H163" s="6" t="s">
        <v>24</v>
      </c>
      <c r="I163" s="6" t="s">
        <v>25</v>
      </c>
      <c r="J163" s="7" t="s">
        <v>13</v>
      </c>
      <c r="K163" s="6">
        <f t="shared" si="14"/>
        <v>8.3660130718954245E-6</v>
      </c>
      <c r="L163" s="6">
        <f t="shared" si="15"/>
        <v>7.9505363745835237E-4</v>
      </c>
      <c r="M163" s="6">
        <f t="shared" si="16"/>
        <v>0.12145670221819958</v>
      </c>
      <c r="N163" s="6" t="str">
        <f t="shared" si="17"/>
        <v>Tidak</v>
      </c>
    </row>
    <row r="164" spans="1:14" ht="15.75" customHeight="1" x14ac:dyDescent="0.25">
      <c r="A164" s="6" t="s">
        <v>225</v>
      </c>
      <c r="B164" s="6" t="s">
        <v>16</v>
      </c>
      <c r="C164" s="6" t="s">
        <v>17</v>
      </c>
      <c r="D164" s="6">
        <v>14.8</v>
      </c>
      <c r="E164" s="6">
        <v>101</v>
      </c>
      <c r="F164" s="6" t="s">
        <v>23</v>
      </c>
      <c r="G164" s="6" t="s">
        <v>23</v>
      </c>
      <c r="H164" s="6" t="s">
        <v>24</v>
      </c>
      <c r="I164" s="6" t="s">
        <v>25</v>
      </c>
      <c r="J164" s="7" t="s">
        <v>13</v>
      </c>
      <c r="K164" s="6">
        <f t="shared" si="14"/>
        <v>8.3660130718954245E-6</v>
      </c>
      <c r="L164" s="6">
        <f t="shared" si="15"/>
        <v>7.9505363745835237E-4</v>
      </c>
      <c r="M164" s="6">
        <f t="shared" si="16"/>
        <v>0.12145670221819958</v>
      </c>
      <c r="N164" s="6" t="str">
        <f t="shared" si="17"/>
        <v>Tidak</v>
      </c>
    </row>
    <row r="165" spans="1:14" ht="15.75" customHeight="1" x14ac:dyDescent="0.25">
      <c r="A165" s="6" t="s">
        <v>226</v>
      </c>
      <c r="B165" s="6" t="s">
        <v>16</v>
      </c>
      <c r="C165" s="6" t="s">
        <v>17</v>
      </c>
      <c r="D165" s="6">
        <v>13.1</v>
      </c>
      <c r="E165" s="6">
        <v>103</v>
      </c>
      <c r="F165" s="6" t="s">
        <v>29</v>
      </c>
      <c r="G165" s="6" t="s">
        <v>23</v>
      </c>
      <c r="H165" s="6" t="s">
        <v>33</v>
      </c>
      <c r="I165" s="6" t="s">
        <v>25</v>
      </c>
      <c r="J165" s="7" t="s">
        <v>13</v>
      </c>
      <c r="K165" s="6">
        <f t="shared" si="14"/>
        <v>3.3464052287581698E-5</v>
      </c>
      <c r="L165" s="6">
        <f t="shared" si="15"/>
        <v>3.6913204596280647E-4</v>
      </c>
      <c r="M165" s="6">
        <f t="shared" si="16"/>
        <v>7.871181421881519E-3</v>
      </c>
      <c r="N165" s="6" t="str">
        <f t="shared" si="17"/>
        <v>Tidak</v>
      </c>
    </row>
    <row r="166" spans="1:14" ht="15.75" customHeight="1" x14ac:dyDescent="0.25">
      <c r="A166" s="6" t="s">
        <v>227</v>
      </c>
      <c r="B166" s="6" t="s">
        <v>16</v>
      </c>
      <c r="C166" s="6" t="s">
        <v>17</v>
      </c>
      <c r="D166" s="6">
        <v>17.5</v>
      </c>
      <c r="E166" s="6">
        <v>105</v>
      </c>
      <c r="F166" s="6" t="s">
        <v>48</v>
      </c>
      <c r="G166" s="6" t="s">
        <v>23</v>
      </c>
      <c r="H166" s="6" t="s">
        <v>49</v>
      </c>
      <c r="I166" s="6" t="s">
        <v>25</v>
      </c>
      <c r="J166" s="7" t="s">
        <v>13</v>
      </c>
      <c r="K166" s="6">
        <f t="shared" si="14"/>
        <v>4.1830065359477122E-6</v>
      </c>
      <c r="L166" s="6">
        <f t="shared" si="15"/>
        <v>5.6789545532739453E-5</v>
      </c>
      <c r="M166" s="6">
        <f t="shared" si="16"/>
        <v>1.5633040879570244E-3</v>
      </c>
      <c r="N166" s="6" t="str">
        <f t="shared" si="17"/>
        <v>Tidak</v>
      </c>
    </row>
    <row r="167" spans="1:14" ht="15.75" customHeight="1" x14ac:dyDescent="0.25">
      <c r="A167" s="6" t="s">
        <v>228</v>
      </c>
      <c r="B167" s="6" t="s">
        <v>22</v>
      </c>
      <c r="C167" s="6" t="s">
        <v>27</v>
      </c>
      <c r="D167" s="6">
        <v>8.6</v>
      </c>
      <c r="E167" s="6">
        <v>82.5</v>
      </c>
      <c r="F167" s="6" t="s">
        <v>29</v>
      </c>
      <c r="G167" s="6" t="s">
        <v>23</v>
      </c>
      <c r="H167" s="6" t="s">
        <v>33</v>
      </c>
      <c r="I167" s="6" t="s">
        <v>25</v>
      </c>
      <c r="J167" s="7" t="s">
        <v>13</v>
      </c>
      <c r="K167" s="6">
        <f t="shared" si="14"/>
        <v>8.112497524262231E-6</v>
      </c>
      <c r="L167" s="6">
        <f t="shared" si="15"/>
        <v>1.6085754198054002E-4</v>
      </c>
      <c r="M167" s="6">
        <f t="shared" si="16"/>
        <v>4.3357288731109486E-3</v>
      </c>
      <c r="N167" s="6" t="str">
        <f t="shared" si="17"/>
        <v>Tidak</v>
      </c>
    </row>
    <row r="168" spans="1:14" ht="15.75" customHeight="1" x14ac:dyDescent="0.25">
      <c r="A168" s="6" t="s">
        <v>229</v>
      </c>
      <c r="B168" s="6" t="s">
        <v>22</v>
      </c>
      <c r="C168" s="6" t="s">
        <v>17</v>
      </c>
      <c r="D168" s="6">
        <v>12.8</v>
      </c>
      <c r="E168" s="6">
        <v>93</v>
      </c>
      <c r="F168" s="6" t="s">
        <v>23</v>
      </c>
      <c r="G168" s="6" t="s">
        <v>23</v>
      </c>
      <c r="H168" s="6" t="s">
        <v>24</v>
      </c>
      <c r="I168" s="6" t="s">
        <v>25</v>
      </c>
      <c r="J168" s="7" t="s">
        <v>13</v>
      </c>
      <c r="K168" s="6">
        <f t="shared" si="14"/>
        <v>3.042186571598336E-6</v>
      </c>
      <c r="L168" s="6">
        <f t="shared" si="15"/>
        <v>4.2402860664445452E-4</v>
      </c>
      <c r="M168" s="6">
        <f t="shared" si="16"/>
        <v>8.1880922843730039E-2</v>
      </c>
      <c r="N168" s="6" t="str">
        <f t="shared" si="17"/>
        <v>Tidak</v>
      </c>
    </row>
    <row r="169" spans="1:14" ht="15.75" customHeight="1" x14ac:dyDescent="0.25">
      <c r="A169" s="6" t="s">
        <v>230</v>
      </c>
      <c r="B169" s="6" t="s">
        <v>16</v>
      </c>
      <c r="C169" s="6" t="s">
        <v>17</v>
      </c>
      <c r="D169" s="6">
        <v>11.3</v>
      </c>
      <c r="E169" s="6">
        <v>79</v>
      </c>
      <c r="F169" s="6" t="s">
        <v>23</v>
      </c>
      <c r="G169" s="6" t="s">
        <v>35</v>
      </c>
      <c r="H169" s="6" t="s">
        <v>24</v>
      </c>
      <c r="I169" s="6" t="s">
        <v>25</v>
      </c>
      <c r="J169" s="7" t="s">
        <v>13</v>
      </c>
      <c r="K169" s="6">
        <f t="shared" si="14"/>
        <v>5.0196078431372554E-5</v>
      </c>
      <c r="L169" s="6">
        <f t="shared" si="15"/>
        <v>4.2402860664445463E-3</v>
      </c>
      <c r="M169" s="6">
        <f t="shared" si="16"/>
        <v>6.990313796730911E-3</v>
      </c>
      <c r="N169" s="6" t="str">
        <f t="shared" si="17"/>
        <v>Tidak</v>
      </c>
    </row>
    <row r="170" spans="1:14" ht="15.75" customHeight="1" x14ac:dyDescent="0.25">
      <c r="A170" s="6" t="s">
        <v>231</v>
      </c>
      <c r="B170" s="6" t="s">
        <v>16</v>
      </c>
      <c r="C170" s="6" t="s">
        <v>17</v>
      </c>
      <c r="D170" s="6">
        <v>10.6</v>
      </c>
      <c r="E170" s="6">
        <v>115</v>
      </c>
      <c r="F170" s="6" t="s">
        <v>23</v>
      </c>
      <c r="G170" s="6" t="s">
        <v>23</v>
      </c>
      <c r="H170" s="6" t="s">
        <v>24</v>
      </c>
      <c r="I170" s="6" t="s">
        <v>25</v>
      </c>
      <c r="J170" s="7" t="s">
        <v>13</v>
      </c>
      <c r="K170" s="6">
        <f t="shared" si="14"/>
        <v>8.3660130718954245E-6</v>
      </c>
      <c r="L170" s="6">
        <f t="shared" si="15"/>
        <v>7.9505363745835237E-4</v>
      </c>
      <c r="M170" s="6">
        <f t="shared" si="16"/>
        <v>0.12145670221819958</v>
      </c>
      <c r="N170" s="6" t="str">
        <f t="shared" si="17"/>
        <v>Tidak</v>
      </c>
    </row>
    <row r="171" spans="1:14" ht="15.75" customHeight="1" x14ac:dyDescent="0.25">
      <c r="A171" s="6" t="s">
        <v>232</v>
      </c>
      <c r="B171" s="6" t="s">
        <v>16</v>
      </c>
      <c r="C171" s="6" t="s">
        <v>17</v>
      </c>
      <c r="D171" s="6">
        <v>8.8000000000000007</v>
      </c>
      <c r="E171" s="6">
        <v>74</v>
      </c>
      <c r="F171" s="6" t="s">
        <v>29</v>
      </c>
      <c r="G171" s="6" t="s">
        <v>19</v>
      </c>
      <c r="H171" s="6" t="s">
        <v>24</v>
      </c>
      <c r="I171" s="6" t="s">
        <v>25</v>
      </c>
      <c r="J171" s="7" t="s">
        <v>12</v>
      </c>
      <c r="K171" s="6">
        <f t="shared" si="14"/>
        <v>2.6771241830065358E-4</v>
      </c>
      <c r="L171" s="6">
        <f t="shared" si="15"/>
        <v>2.296821619324129E-3</v>
      </c>
      <c r="M171" s="6">
        <f t="shared" si="16"/>
        <v>3.8128984345804965E-4</v>
      </c>
      <c r="N171" s="6" t="str">
        <f t="shared" si="17"/>
        <v>Potensi Stunting</v>
      </c>
    </row>
    <row r="172" spans="1:14" ht="15.75" customHeight="1" x14ac:dyDescent="0.25">
      <c r="A172" s="6" t="s">
        <v>233</v>
      </c>
      <c r="B172" s="6" t="s">
        <v>16</v>
      </c>
      <c r="C172" s="6" t="s">
        <v>17</v>
      </c>
      <c r="D172" s="6">
        <v>11</v>
      </c>
      <c r="E172" s="6">
        <v>88</v>
      </c>
      <c r="F172" s="6" t="s">
        <v>29</v>
      </c>
      <c r="G172" s="6" t="s">
        <v>35</v>
      </c>
      <c r="H172" s="6" t="s">
        <v>24</v>
      </c>
      <c r="I172" s="6" t="s">
        <v>25</v>
      </c>
      <c r="J172" s="7" t="s">
        <v>13</v>
      </c>
      <c r="K172" s="6">
        <f t="shared" si="14"/>
        <v>2.0078431372549021E-4</v>
      </c>
      <c r="L172" s="6">
        <f t="shared" si="15"/>
        <v>9.1872864772965159E-3</v>
      </c>
      <c r="M172" s="6">
        <f t="shared" si="16"/>
        <v>1.5251593738321986E-3</v>
      </c>
      <c r="N172" s="6" t="str">
        <f t="shared" si="17"/>
        <v>Potensi Stunting</v>
      </c>
    </row>
    <row r="173" spans="1:14" ht="15.75" customHeight="1" x14ac:dyDescent="0.25">
      <c r="A173" s="6" t="s">
        <v>234</v>
      </c>
      <c r="B173" s="6" t="s">
        <v>16</v>
      </c>
      <c r="C173" s="6" t="s">
        <v>17</v>
      </c>
      <c r="D173" s="6">
        <v>10.8</v>
      </c>
      <c r="E173" s="6">
        <v>117</v>
      </c>
      <c r="F173" s="6" t="s">
        <v>23</v>
      </c>
      <c r="G173" s="6" t="s">
        <v>23</v>
      </c>
      <c r="H173" s="6" t="s">
        <v>24</v>
      </c>
      <c r="I173" s="6" t="s">
        <v>25</v>
      </c>
      <c r="J173" s="7" t="s">
        <v>13</v>
      </c>
      <c r="K173" s="6">
        <f t="shared" si="14"/>
        <v>8.3660130718954245E-6</v>
      </c>
      <c r="L173" s="6">
        <f t="shared" si="15"/>
        <v>7.9505363745835237E-4</v>
      </c>
      <c r="M173" s="6">
        <f t="shared" si="16"/>
        <v>0.12145670221819958</v>
      </c>
      <c r="N173" s="6" t="str">
        <f t="shared" si="17"/>
        <v>Tidak</v>
      </c>
    </row>
    <row r="174" spans="1:14" ht="15.75" customHeight="1" x14ac:dyDescent="0.25">
      <c r="A174" s="6" t="s">
        <v>235</v>
      </c>
      <c r="B174" s="6" t="s">
        <v>22</v>
      </c>
      <c r="C174" s="6" t="s">
        <v>27</v>
      </c>
      <c r="D174" s="6">
        <v>8.1</v>
      </c>
      <c r="E174" s="6">
        <v>75</v>
      </c>
      <c r="F174" s="6" t="s">
        <v>29</v>
      </c>
      <c r="G174" s="6" t="s">
        <v>35</v>
      </c>
      <c r="H174" s="6" t="s">
        <v>24</v>
      </c>
      <c r="I174" s="6" t="s">
        <v>25</v>
      </c>
      <c r="J174" s="7" t="s">
        <v>12</v>
      </c>
      <c r="K174" s="6">
        <f t="shared" si="14"/>
        <v>4.8674985145573389E-5</v>
      </c>
      <c r="L174" s="6">
        <f t="shared" si="15"/>
        <v>4.0035654892934406E-3</v>
      </c>
      <c r="M174" s="6">
        <f t="shared" si="16"/>
        <v>8.4011245311118622E-4</v>
      </c>
      <c r="N174" s="6" t="str">
        <f t="shared" si="17"/>
        <v>Potensi Stunting</v>
      </c>
    </row>
    <row r="175" spans="1:14" ht="15.75" customHeight="1" x14ac:dyDescent="0.25">
      <c r="A175" s="6" t="s">
        <v>236</v>
      </c>
      <c r="B175" s="6" t="s">
        <v>22</v>
      </c>
      <c r="C175" s="6" t="s">
        <v>17</v>
      </c>
      <c r="D175" s="6">
        <v>10.3</v>
      </c>
      <c r="E175" s="6">
        <v>95</v>
      </c>
      <c r="F175" s="6" t="s">
        <v>23</v>
      </c>
      <c r="G175" s="6" t="s">
        <v>23</v>
      </c>
      <c r="H175" s="6" t="s">
        <v>24</v>
      </c>
      <c r="I175" s="6" t="s">
        <v>25</v>
      </c>
      <c r="J175" s="7" t="s">
        <v>13</v>
      </c>
      <c r="K175" s="6">
        <f t="shared" si="14"/>
        <v>3.042186571598336E-6</v>
      </c>
      <c r="L175" s="6">
        <f t="shared" si="15"/>
        <v>4.2402860664445452E-4</v>
      </c>
      <c r="M175" s="6">
        <f t="shared" si="16"/>
        <v>8.1880922843730039E-2</v>
      </c>
      <c r="N175" s="6" t="str">
        <f t="shared" si="17"/>
        <v>Tidak</v>
      </c>
    </row>
    <row r="176" spans="1:14" ht="15.75" customHeight="1" x14ac:dyDescent="0.25">
      <c r="A176" s="6" t="s">
        <v>237</v>
      </c>
      <c r="B176" s="6" t="s">
        <v>16</v>
      </c>
      <c r="C176" s="6" t="s">
        <v>27</v>
      </c>
      <c r="D176" s="6" t="s">
        <v>238</v>
      </c>
      <c r="E176" s="6">
        <v>83</v>
      </c>
      <c r="F176" s="6" t="s">
        <v>48</v>
      </c>
      <c r="G176" s="6" t="s">
        <v>23</v>
      </c>
      <c r="H176" s="6" t="s">
        <v>49</v>
      </c>
      <c r="I176" s="6" t="s">
        <v>13</v>
      </c>
      <c r="J176" s="7" t="s">
        <v>11</v>
      </c>
      <c r="K176" s="6">
        <f t="shared" si="14"/>
        <v>1.1154684095860567E-5</v>
      </c>
      <c r="L176" s="6">
        <f t="shared" si="15"/>
        <v>6.9601821049272124E-6</v>
      </c>
      <c r="M176" s="6">
        <f t="shared" si="16"/>
        <v>8.630633972735715E-6</v>
      </c>
      <c r="N176" s="6" t="str">
        <f t="shared" si="17"/>
        <v>Stunting</v>
      </c>
    </row>
    <row r="177" spans="1:14" ht="15.75" customHeight="1" x14ac:dyDescent="0.25">
      <c r="A177" s="6" t="s">
        <v>239</v>
      </c>
      <c r="B177" s="6" t="s">
        <v>22</v>
      </c>
      <c r="C177" s="6" t="s">
        <v>17</v>
      </c>
      <c r="D177" s="6">
        <v>16.399999999999999</v>
      </c>
      <c r="E177" s="6">
        <v>115</v>
      </c>
      <c r="F177" s="6" t="s">
        <v>23</v>
      </c>
      <c r="G177" s="6" t="s">
        <v>23</v>
      </c>
      <c r="H177" s="6" t="s">
        <v>24</v>
      </c>
      <c r="I177" s="6" t="s">
        <v>25</v>
      </c>
      <c r="J177" s="7" t="s">
        <v>13</v>
      </c>
      <c r="K177" s="6">
        <f t="shared" si="14"/>
        <v>3.042186571598336E-6</v>
      </c>
      <c r="L177" s="6">
        <f t="shared" si="15"/>
        <v>4.2402860664445452E-4</v>
      </c>
      <c r="M177" s="6">
        <f t="shared" si="16"/>
        <v>8.1880922843730039E-2</v>
      </c>
      <c r="N177" s="6" t="str">
        <f t="shared" si="17"/>
        <v>Tidak</v>
      </c>
    </row>
    <row r="178" spans="1:14" ht="15.75" customHeight="1" x14ac:dyDescent="0.25">
      <c r="A178" s="6" t="s">
        <v>240</v>
      </c>
      <c r="B178" s="6" t="s">
        <v>22</v>
      </c>
      <c r="C178" s="6" t="s">
        <v>27</v>
      </c>
      <c r="D178" s="6">
        <v>10.3</v>
      </c>
      <c r="E178" s="6">
        <v>88.6</v>
      </c>
      <c r="F178" s="6" t="s">
        <v>23</v>
      </c>
      <c r="G178" s="6" t="s">
        <v>23</v>
      </c>
      <c r="H178" s="6" t="s">
        <v>33</v>
      </c>
      <c r="I178" s="6" t="s">
        <v>25</v>
      </c>
      <c r="J178" s="7" t="s">
        <v>13</v>
      </c>
      <c r="K178" s="6">
        <f t="shared" si="14"/>
        <v>2.0281243810655577E-6</v>
      </c>
      <c r="L178" s="6">
        <f t="shared" si="15"/>
        <v>7.4241942452556937E-5</v>
      </c>
      <c r="M178" s="6">
        <f t="shared" si="16"/>
        <v>1.9872090668425182E-2</v>
      </c>
      <c r="N178" s="6" t="str">
        <f t="shared" si="17"/>
        <v>Tidak</v>
      </c>
    </row>
    <row r="179" spans="1:14" ht="15.75" customHeight="1" x14ac:dyDescent="0.25">
      <c r="A179" s="6" t="s">
        <v>241</v>
      </c>
      <c r="B179" s="6" t="s">
        <v>16</v>
      </c>
      <c r="C179" s="6" t="s">
        <v>27</v>
      </c>
      <c r="D179" s="6">
        <v>6.4</v>
      </c>
      <c r="E179" s="6">
        <v>93</v>
      </c>
      <c r="F179" s="6" t="s">
        <v>29</v>
      </c>
      <c r="G179" s="6" t="s">
        <v>23</v>
      </c>
      <c r="H179" s="6" t="s">
        <v>33</v>
      </c>
      <c r="I179" s="6" t="s">
        <v>25</v>
      </c>
      <c r="J179" s="7" t="s">
        <v>13</v>
      </c>
      <c r="K179" s="6">
        <f t="shared" si="14"/>
        <v>2.2309368191721133E-5</v>
      </c>
      <c r="L179" s="6">
        <f t="shared" si="15"/>
        <v>3.0160789121351256E-4</v>
      </c>
      <c r="M179" s="6">
        <f t="shared" si="16"/>
        <v>6.4313311617812414E-3</v>
      </c>
      <c r="N179" s="6" t="str">
        <f t="shared" si="17"/>
        <v>Tidak</v>
      </c>
    </row>
    <row r="180" spans="1:14" ht="15.75" customHeight="1" x14ac:dyDescent="0.25">
      <c r="A180" s="6" t="s">
        <v>242</v>
      </c>
      <c r="B180" s="6" t="s">
        <v>22</v>
      </c>
      <c r="C180" s="6" t="s">
        <v>17</v>
      </c>
      <c r="D180" s="6" t="s">
        <v>243</v>
      </c>
      <c r="E180" s="6">
        <v>108</v>
      </c>
      <c r="F180" s="6" t="s">
        <v>23</v>
      </c>
      <c r="G180" s="6" t="s">
        <v>23</v>
      </c>
      <c r="H180" s="6" t="s">
        <v>24</v>
      </c>
      <c r="I180" s="6" t="s">
        <v>25</v>
      </c>
      <c r="J180" s="7" t="s">
        <v>13</v>
      </c>
      <c r="K180" s="6">
        <f t="shared" si="14"/>
        <v>3.042186571598336E-6</v>
      </c>
      <c r="L180" s="6">
        <f t="shared" si="15"/>
        <v>4.2402860664445452E-4</v>
      </c>
      <c r="M180" s="6">
        <f t="shared" si="16"/>
        <v>8.1880922843730039E-2</v>
      </c>
      <c r="N180" s="6" t="str">
        <f t="shared" si="17"/>
        <v>Tidak</v>
      </c>
    </row>
    <row r="181" spans="1:14" ht="15.75" customHeight="1" x14ac:dyDescent="0.25">
      <c r="A181" s="6" t="s">
        <v>244</v>
      </c>
      <c r="B181" s="6" t="s">
        <v>16</v>
      </c>
      <c r="C181" s="6" t="s">
        <v>27</v>
      </c>
      <c r="D181" s="6" t="s">
        <v>245</v>
      </c>
      <c r="E181" s="6">
        <v>82</v>
      </c>
      <c r="F181" s="6" t="s">
        <v>23</v>
      </c>
      <c r="G181" s="6" t="s">
        <v>23</v>
      </c>
      <c r="H181" s="6" t="s">
        <v>24</v>
      </c>
      <c r="I181" s="6" t="s">
        <v>25</v>
      </c>
      <c r="J181" s="7" t="s">
        <v>13</v>
      </c>
      <c r="K181" s="6">
        <f t="shared" si="14"/>
        <v>5.5773420479302833E-6</v>
      </c>
      <c r="L181" s="6">
        <f t="shared" si="15"/>
        <v>6.4961699645987316E-4</v>
      </c>
      <c r="M181" s="6">
        <f t="shared" si="16"/>
        <v>9.9239012788041134E-2</v>
      </c>
      <c r="N181" s="6" t="str">
        <f t="shared" si="17"/>
        <v>Tidak</v>
      </c>
    </row>
    <row r="182" spans="1:14" ht="15.75" customHeight="1" x14ac:dyDescent="0.25">
      <c r="A182" s="6" t="s">
        <v>246</v>
      </c>
      <c r="B182" s="6" t="s">
        <v>22</v>
      </c>
      <c r="C182" s="6" t="s">
        <v>17</v>
      </c>
      <c r="D182" s="6">
        <v>14</v>
      </c>
      <c r="E182" s="6">
        <v>105</v>
      </c>
      <c r="F182" s="6" t="s">
        <v>23</v>
      </c>
      <c r="G182" s="6" t="s">
        <v>23</v>
      </c>
      <c r="H182" s="6" t="s">
        <v>33</v>
      </c>
      <c r="I182" s="6" t="s">
        <v>25</v>
      </c>
      <c r="J182" s="7" t="s">
        <v>13</v>
      </c>
      <c r="K182" s="6">
        <f t="shared" si="14"/>
        <v>3.042186571598336E-6</v>
      </c>
      <c r="L182" s="6">
        <f t="shared" si="15"/>
        <v>9.0863272852383117E-5</v>
      </c>
      <c r="M182" s="6">
        <f t="shared" si="16"/>
        <v>2.4321066191206941E-2</v>
      </c>
      <c r="N182" s="6" t="str">
        <f t="shared" si="17"/>
        <v>Tidak</v>
      </c>
    </row>
    <row r="183" spans="1:14" ht="15.75" customHeight="1" x14ac:dyDescent="0.25">
      <c r="A183" s="6" t="s">
        <v>247</v>
      </c>
      <c r="B183" s="6" t="s">
        <v>22</v>
      </c>
      <c r="C183" s="6" t="s">
        <v>27</v>
      </c>
      <c r="D183" s="6">
        <v>6.4</v>
      </c>
      <c r="E183" s="6">
        <v>92</v>
      </c>
      <c r="F183" s="6" t="s">
        <v>29</v>
      </c>
      <c r="G183" s="6" t="s">
        <v>23</v>
      </c>
      <c r="H183" s="6" t="s">
        <v>33</v>
      </c>
      <c r="I183" s="6" t="s">
        <v>25</v>
      </c>
      <c r="J183" s="7" t="s">
        <v>13</v>
      </c>
      <c r="K183" s="6">
        <f t="shared" si="14"/>
        <v>8.112497524262231E-6</v>
      </c>
      <c r="L183" s="6">
        <f t="shared" si="15"/>
        <v>1.6085754198054002E-4</v>
      </c>
      <c r="M183" s="6">
        <f t="shared" si="16"/>
        <v>4.3357288731109486E-3</v>
      </c>
      <c r="N183" s="6" t="str">
        <f t="shared" si="17"/>
        <v>Tidak</v>
      </c>
    </row>
    <row r="184" spans="1:14" ht="15.75" customHeight="1" x14ac:dyDescent="0.25">
      <c r="A184" s="6" t="s">
        <v>248</v>
      </c>
      <c r="B184" s="6" t="s">
        <v>16</v>
      </c>
      <c r="C184" s="6" t="s">
        <v>17</v>
      </c>
      <c r="D184" s="6" t="s">
        <v>249</v>
      </c>
      <c r="E184" s="6">
        <v>100</v>
      </c>
      <c r="F184" s="6" t="s">
        <v>23</v>
      </c>
      <c r="G184" s="6" t="s">
        <v>23</v>
      </c>
      <c r="H184" s="6" t="s">
        <v>24</v>
      </c>
      <c r="I184" s="6" t="s">
        <v>25</v>
      </c>
      <c r="J184" s="7" t="s">
        <v>13</v>
      </c>
      <c r="K184" s="6">
        <f t="shared" si="14"/>
        <v>8.3660130718954245E-6</v>
      </c>
      <c r="L184" s="6">
        <f t="shared" si="15"/>
        <v>7.9505363745835237E-4</v>
      </c>
      <c r="M184" s="6">
        <f t="shared" si="16"/>
        <v>0.12145670221819958</v>
      </c>
      <c r="N184" s="6" t="str">
        <f t="shared" si="17"/>
        <v>Tidak</v>
      </c>
    </row>
    <row r="185" spans="1:14" ht="15.75" customHeight="1" x14ac:dyDescent="0.25">
      <c r="A185" s="6" t="s">
        <v>250</v>
      </c>
      <c r="B185" s="6" t="s">
        <v>22</v>
      </c>
      <c r="C185" s="6" t="s">
        <v>17</v>
      </c>
      <c r="D185" s="6">
        <v>10.4</v>
      </c>
      <c r="E185" s="6">
        <v>113</v>
      </c>
      <c r="F185" s="6" t="s">
        <v>23</v>
      </c>
      <c r="G185" s="6" t="s">
        <v>23</v>
      </c>
      <c r="H185" s="6" t="s">
        <v>24</v>
      </c>
      <c r="I185" s="6" t="s">
        <v>25</v>
      </c>
      <c r="J185" s="7" t="s">
        <v>13</v>
      </c>
      <c r="K185" s="6">
        <f t="shared" si="14"/>
        <v>3.042186571598336E-6</v>
      </c>
      <c r="L185" s="6">
        <f t="shared" si="15"/>
        <v>4.2402860664445452E-4</v>
      </c>
      <c r="M185" s="6">
        <f t="shared" si="16"/>
        <v>8.1880922843730039E-2</v>
      </c>
      <c r="N185" s="6" t="str">
        <f t="shared" si="17"/>
        <v>Tidak</v>
      </c>
    </row>
    <row r="186" spans="1:14" ht="15.75" customHeight="1" x14ac:dyDescent="0.25">
      <c r="A186" s="6" t="s">
        <v>251</v>
      </c>
      <c r="B186" s="6" t="s">
        <v>16</v>
      </c>
      <c r="C186" s="6" t="s">
        <v>27</v>
      </c>
      <c r="D186" s="6" t="s">
        <v>252</v>
      </c>
      <c r="E186" s="6">
        <v>61</v>
      </c>
      <c r="F186" s="6" t="s">
        <v>48</v>
      </c>
      <c r="G186" s="6" t="s">
        <v>35</v>
      </c>
      <c r="H186" s="6" t="s">
        <v>41</v>
      </c>
      <c r="I186" s="6" t="s">
        <v>13</v>
      </c>
      <c r="J186" s="7" t="s">
        <v>11</v>
      </c>
      <c r="K186" s="6">
        <f t="shared" si="14"/>
        <v>6.6928104575163409E-5</v>
      </c>
      <c r="L186" s="6">
        <f t="shared" si="15"/>
        <v>3.7120971226278468E-5</v>
      </c>
      <c r="M186" s="6">
        <f t="shared" si="16"/>
        <v>2.7094207370262539E-7</v>
      </c>
      <c r="N186" s="6" t="str">
        <f t="shared" si="17"/>
        <v>Stunting</v>
      </c>
    </row>
    <row r="187" spans="1:14" ht="15.75" customHeight="1" x14ac:dyDescent="0.25">
      <c r="A187" s="6" t="s">
        <v>253</v>
      </c>
      <c r="B187" s="6" t="s">
        <v>16</v>
      </c>
      <c r="C187" s="6" t="s">
        <v>27</v>
      </c>
      <c r="D187" s="6">
        <v>13.9</v>
      </c>
      <c r="E187" s="6">
        <v>89</v>
      </c>
      <c r="F187" s="6" t="s">
        <v>23</v>
      </c>
      <c r="G187" s="6" t="s">
        <v>23</v>
      </c>
      <c r="H187" s="6" t="s">
        <v>24</v>
      </c>
      <c r="I187" s="6" t="s">
        <v>25</v>
      </c>
      <c r="J187" s="7" t="s">
        <v>13</v>
      </c>
      <c r="K187" s="6">
        <f t="shared" si="14"/>
        <v>5.5773420479302833E-6</v>
      </c>
      <c r="L187" s="6">
        <f t="shared" si="15"/>
        <v>6.4961699645987316E-4</v>
      </c>
      <c r="M187" s="6">
        <f t="shared" si="16"/>
        <v>9.9239012788041134E-2</v>
      </c>
      <c r="N187" s="6" t="str">
        <f t="shared" si="17"/>
        <v>Tidak</v>
      </c>
    </row>
    <row r="188" spans="1:14" ht="15.75" customHeight="1" x14ac:dyDescent="0.25">
      <c r="A188" s="6" t="s">
        <v>254</v>
      </c>
      <c r="B188" s="6" t="s">
        <v>16</v>
      </c>
      <c r="C188" s="6" t="s">
        <v>27</v>
      </c>
      <c r="D188" s="6" t="s">
        <v>113</v>
      </c>
      <c r="E188" s="6">
        <v>82</v>
      </c>
      <c r="F188" s="6" t="s">
        <v>29</v>
      </c>
      <c r="G188" s="6" t="s">
        <v>35</v>
      </c>
      <c r="H188" s="6" t="s">
        <v>33</v>
      </c>
      <c r="I188" s="6" t="s">
        <v>25</v>
      </c>
      <c r="J188" s="7" t="s">
        <v>12</v>
      </c>
      <c r="K188" s="6">
        <f t="shared" si="14"/>
        <v>1.3385620915032682E-4</v>
      </c>
      <c r="L188" s="6">
        <f t="shared" si="15"/>
        <v>1.6085754198054002E-3</v>
      </c>
      <c r="M188" s="6">
        <f t="shared" si="16"/>
        <v>3.7014855607374049E-4</v>
      </c>
      <c r="N188" s="6" t="str">
        <f t="shared" si="17"/>
        <v>Potensi Stunting</v>
      </c>
    </row>
    <row r="189" spans="1:14" ht="15.75" customHeight="1" x14ac:dyDescent="0.25">
      <c r="A189" s="6" t="s">
        <v>255</v>
      </c>
      <c r="B189" s="6" t="s">
        <v>16</v>
      </c>
      <c r="C189" s="6" t="s">
        <v>27</v>
      </c>
      <c r="D189" s="6">
        <v>12</v>
      </c>
      <c r="E189" s="6">
        <v>100</v>
      </c>
      <c r="F189" s="6" t="s">
        <v>23</v>
      </c>
      <c r="G189" s="6" t="s">
        <v>23</v>
      </c>
      <c r="H189" s="6" t="s">
        <v>24</v>
      </c>
      <c r="I189" s="6" t="s">
        <v>25</v>
      </c>
      <c r="J189" s="7" t="s">
        <v>13</v>
      </c>
      <c r="K189" s="6">
        <f t="shared" si="14"/>
        <v>5.5773420479302833E-6</v>
      </c>
      <c r="L189" s="6">
        <f t="shared" si="15"/>
        <v>6.4961699645987316E-4</v>
      </c>
      <c r="M189" s="6">
        <f t="shared" si="16"/>
        <v>9.9239012788041134E-2</v>
      </c>
      <c r="N189" s="6" t="str">
        <f t="shared" si="17"/>
        <v>Tidak</v>
      </c>
    </row>
    <row r="190" spans="1:14" s="25" customFormat="1" ht="15" customHeight="1" x14ac:dyDescent="0.25">
      <c r="K190" s="26"/>
      <c r="L190" s="26"/>
      <c r="M190" s="26"/>
      <c r="N190" s="26"/>
    </row>
  </sheetData>
  <mergeCells count="15">
    <mergeCell ref="Z55:AB55"/>
    <mergeCell ref="AC55:AD56"/>
    <mergeCell ref="P33:R33"/>
    <mergeCell ref="T33:V33"/>
    <mergeCell ref="P40:R40"/>
    <mergeCell ref="T40:V40"/>
    <mergeCell ref="P49:R49"/>
    <mergeCell ref="T49:V49"/>
    <mergeCell ref="K1:M1"/>
    <mergeCell ref="P13:R13"/>
    <mergeCell ref="T13:V13"/>
    <mergeCell ref="P19:R19"/>
    <mergeCell ref="T19:V19"/>
    <mergeCell ref="P25:R25"/>
    <mergeCell ref="T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Sinaga Welzeen</dc:creator>
  <cp:lastModifiedBy>Sinaga Welzeen</cp:lastModifiedBy>
  <dcterms:created xsi:type="dcterms:W3CDTF">2026-03-13T17:20:41Z</dcterms:created>
  <dcterms:modified xsi:type="dcterms:W3CDTF">2026-03-13T17:21:53Z</dcterms:modified>
</cp:coreProperties>
</file>