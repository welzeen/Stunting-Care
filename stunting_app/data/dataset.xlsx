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Preprocessing" sheetId="2" state="visible" r:id="rId2"/>
    <sheet xmlns:r="http://schemas.openxmlformats.org/officeDocument/2006/relationships" name="Data Training" sheetId="3" state="visible" r:id="rId3"/>
    <sheet xmlns:r="http://schemas.openxmlformats.org/officeDocument/2006/relationships" name="Data Test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Confusion Matrix" sheetId="6" state="visible" r:id="rId6"/>
  </sheets>
  <definedNames>
    <definedName name="_xlnm._FilterDatabase" localSheetId="2" hidden="1">'Data Training'!$A$1:$J$747</definedName>
    <definedName name="_xlnm._FilterDatabase" localSheetId="3" hidden="1">'Data Test'!$B$2:$J$189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2"/>
    </font>
    <font>
      <name val="Times New Roman"/>
      <charset val="1"/>
      <family val="1"/>
      <color theme="1" tint="0.0499"/>
      <sz val="12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00000"/>
      <sz val="13"/>
    </font>
    <font>
      <name val="Arial"/>
      <charset val="1"/>
      <family val="0"/>
      <color rgb="FF000000"/>
      <sz val="13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00"/>
      <sz val="10"/>
    </font>
    <font>
      <name val="Arial"/>
      <charset val="1"/>
      <family val="0"/>
      <color rgb="FF000000"/>
      <sz val="11"/>
    </font>
    <font>
      <name val="Arial"/>
      <charset val="1"/>
      <family val="0"/>
      <sz val="11"/>
    </font>
    <font>
      <name val="Arial"/>
      <charset val="1"/>
      <family val="0"/>
      <color rgb="FFFFFFFF"/>
      <sz val="11"/>
    </font>
    <font>
      <name val="Arial"/>
      <charset val="1"/>
      <family val="0"/>
      <b val="1"/>
      <color rgb="FFFFFFFF"/>
      <sz val="3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1F3864"/>
      <sz val="11"/>
    </font>
    <font>
      <name val="Arial"/>
      <charset val="1"/>
      <family val="0"/>
      <b val="1"/>
      <color rgb="FF1E7D22"/>
      <sz val="12"/>
    </font>
    <font>
      <name val="Arial"/>
      <charset val="1"/>
      <family val="0"/>
      <b val="1"/>
      <color rgb="FF1E7D22"/>
      <sz val="16"/>
    </font>
    <font>
      <name val="Arial"/>
      <charset val="1"/>
      <family val="0"/>
      <color rgb="FF1E7D22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555555"/>
      <sz val="10"/>
    </font>
    <font>
      <name val="Arial"/>
      <charset val="1"/>
      <family val="0"/>
      <color rgb="FF333333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7B6000"/>
      <sz val="10"/>
    </font>
    <font>
      <name val="Arial"/>
      <sz val="11"/>
    </font>
  </fonts>
  <fills count="19">
    <fill>
      <patternFill/>
    </fill>
    <fill>
      <patternFill patternType="gray125"/>
    </fill>
    <fill>
      <patternFill patternType="solid">
        <fgColor rgb="FFFFFF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theme="5" tint="0.3999"/>
        <bgColor rgb="FFF8CBAD"/>
      </patternFill>
    </fill>
    <fill>
      <patternFill patternType="solid">
        <fgColor theme="4" tint="0.5999"/>
        <bgColor rgb="FFBDD7EE"/>
      </patternFill>
    </fill>
    <fill>
      <patternFill patternType="solid">
        <fgColor theme="5" tint="0.5999"/>
        <bgColor rgb="FFFCE4D6"/>
      </patternFill>
    </fill>
    <fill>
      <patternFill patternType="solid">
        <fgColor theme="9" tint="0.3999"/>
        <bgColor rgb="FFB4C7E7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070C0"/>
      </patternFill>
    </fill>
    <fill>
      <patternFill patternType="solid">
        <fgColor rgb="FFBDD7EE"/>
        <bgColor rgb="FFB4C7E7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FFACD"/>
      </patternFill>
    </fill>
    <fill>
      <patternFill patternType="solid">
        <fgColor rgb="FFE2EFDA"/>
        <bgColor rgb="FFDEEAF1"/>
      </patternFill>
    </fill>
    <fill>
      <patternFill patternType="solid">
        <fgColor rgb="FFFFFACD"/>
        <bgColor rgb="FFFFF2CC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>
        <color theme="4" tint="0.3999"/>
      </left>
      <right style="thin">
        <color theme="4" tint="0.3999"/>
      </right>
      <top style="thin">
        <color theme="4" tint="0.3999"/>
      </top>
      <bottom/>
      <diagonal/>
    </border>
    <border>
      <left style="thin"/>
      <right style="thin"/>
      <top style="thin"/>
      <bottom/>
      <diagonal/>
    </border>
    <border>
      <left style="thin">
        <color theme="4" tint="0.3999"/>
      </left>
      <right style="thin">
        <color theme="4" tint="0.3999"/>
      </right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5" fillId="4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4" fillId="4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10" fontId="17" fillId="13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10" fontId="17" fillId="1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center" vertical="center"/>
    </xf>
    <xf numFmtId="10" fontId="8" fillId="9" borderId="1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/>
    </xf>
    <xf numFmtId="0" fontId="19" fillId="9" borderId="8" applyAlignment="1" pivotButton="0" quotePrefix="0" xfId="0">
      <alignment horizontal="center" vertical="center"/>
    </xf>
    <xf numFmtId="0" fontId="15" fillId="13" borderId="8" applyAlignment="1" pivotButton="0" quotePrefix="0" xfId="0">
      <alignment horizontal="left" vertical="center" wrapText="1"/>
    </xf>
    <xf numFmtId="0" fontId="9" fillId="8" borderId="6" applyAlignment="1" pivotButton="0" quotePrefix="0" xfId="0">
      <alignment horizontal="center" vertical="center"/>
    </xf>
    <xf numFmtId="0" fontId="20" fillId="11" borderId="6" applyAlignment="1" pivotButton="0" quotePrefix="0" xfId="0">
      <alignment horizontal="left" vertical="center" wrapText="1"/>
    </xf>
    <xf numFmtId="0" fontId="20" fillId="12" borderId="6" applyAlignment="1" pivotButton="0" quotePrefix="0" xfId="0">
      <alignment horizontal="left" vertical="center" wrapText="1"/>
    </xf>
    <xf numFmtId="0" fontId="21" fillId="8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22" fillId="15" borderId="6" applyAlignment="1" pivotButton="0" quotePrefix="0" xfId="0">
      <alignment horizontal="left" vertical="center" wrapText="1"/>
    </xf>
    <xf numFmtId="0" fontId="23" fillId="11" borderId="6" applyAlignment="1" pivotButton="0" quotePrefix="0" xfId="0">
      <alignment horizontal="center" vertical="center"/>
    </xf>
    <xf numFmtId="10" fontId="24" fillId="11" borderId="6" applyAlignment="1" pivotButton="0" quotePrefix="0" xfId="0">
      <alignment horizontal="center" vertical="center"/>
    </xf>
    <xf numFmtId="0" fontId="25" fillId="11" borderId="6" applyAlignment="1" pivotButton="0" quotePrefix="0" xfId="0">
      <alignment horizontal="left" vertical="center"/>
    </xf>
    <xf numFmtId="0" fontId="10" fillId="10" borderId="6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26" fillId="16" borderId="6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10" fontId="27" fillId="16" borderId="1" applyAlignment="1" pivotButton="0" quotePrefix="0" xfId="0">
      <alignment horizontal="center" vertical="center"/>
    </xf>
    <xf numFmtId="0" fontId="28" fillId="16" borderId="6" applyAlignment="1" pivotButton="0" quotePrefix="0" xfId="0">
      <alignment horizontal="center" vertical="center"/>
    </xf>
    <xf numFmtId="0" fontId="29" fillId="16" borderId="6" applyAlignment="1" pivotButton="0" quotePrefix="0" xfId="0">
      <alignment horizontal="left" vertical="center"/>
    </xf>
    <xf numFmtId="0" fontId="26" fillId="12" borderId="6" applyAlignment="1" pivotButton="0" quotePrefix="0" xfId="0">
      <alignment horizontal="left" vertical="center"/>
    </xf>
    <xf numFmtId="10" fontId="27" fillId="12" borderId="1" applyAlignment="1" pivotButton="0" quotePrefix="0" xfId="0">
      <alignment horizontal="center" vertical="center"/>
    </xf>
    <xf numFmtId="0" fontId="28" fillId="12" borderId="6" applyAlignment="1" pivotButton="0" quotePrefix="0" xfId="0">
      <alignment horizontal="center" vertical="center"/>
    </xf>
    <xf numFmtId="0" fontId="29" fillId="12" borderId="6" applyAlignment="1" pivotButton="0" quotePrefix="0" xfId="0">
      <alignment horizontal="left" vertical="center"/>
    </xf>
    <xf numFmtId="0" fontId="26" fillId="17" borderId="6" applyAlignment="1" pivotButton="0" quotePrefix="0" xfId="0">
      <alignment horizontal="left" vertical="center"/>
    </xf>
    <xf numFmtId="0" fontId="16" fillId="17" borderId="1" applyAlignment="1" pivotButton="0" quotePrefix="0" xfId="0">
      <alignment horizontal="center" vertical="center"/>
    </xf>
    <xf numFmtId="10" fontId="27" fillId="17" borderId="1" applyAlignment="1" pivotButton="0" quotePrefix="0" xfId="0">
      <alignment horizontal="center" vertical="center"/>
    </xf>
    <xf numFmtId="0" fontId="28" fillId="17" borderId="6" applyAlignment="1" pivotButton="0" quotePrefix="0" xfId="0">
      <alignment horizontal="center" vertical="center"/>
    </xf>
    <xf numFmtId="0" fontId="29" fillId="17" borderId="6" applyAlignment="1" pivotButton="0" quotePrefix="0" xfId="0">
      <alignment horizontal="left" vertical="center"/>
    </xf>
    <xf numFmtId="0" fontId="8" fillId="9" borderId="6" applyAlignment="1" pivotButton="0" quotePrefix="0" xfId="0">
      <alignment horizontal="center" vertical="center"/>
    </xf>
    <xf numFmtId="10" fontId="21" fillId="9" borderId="1" applyAlignment="1" pivotButton="0" quotePrefix="0" xfId="0">
      <alignment horizontal="center" vertical="center"/>
    </xf>
    <xf numFmtId="0" fontId="30" fillId="9" borderId="6" applyAlignment="1" pivotButton="0" quotePrefix="0" xfId="0">
      <alignment horizontal="left" vertical="center"/>
    </xf>
    <xf numFmtId="0" fontId="13" fillId="13" borderId="6" applyAlignment="1" pivotButton="0" quotePrefix="0" xfId="0">
      <alignment horizontal="left" vertical="center"/>
    </xf>
    <xf numFmtId="10" fontId="11" fillId="13" borderId="6" applyAlignment="1" pivotButton="0" quotePrefix="0" xfId="0">
      <alignment horizontal="center" vertical="center"/>
    </xf>
    <xf numFmtId="0" fontId="29" fillId="13" borderId="6" applyAlignment="1" pivotButton="0" quotePrefix="0" xfId="0">
      <alignment horizontal="left" vertical="center"/>
    </xf>
    <xf numFmtId="0" fontId="13" fillId="14" borderId="6" applyAlignment="1" pivotButton="0" quotePrefix="0" xfId="0">
      <alignment horizontal="left" vertical="center"/>
    </xf>
    <xf numFmtId="10" fontId="11" fillId="14" borderId="6" applyAlignment="1" pivotButton="0" quotePrefix="0" xfId="0">
      <alignment horizontal="center" vertical="center"/>
    </xf>
    <xf numFmtId="0" fontId="29" fillId="14" borderId="6" applyAlignment="1" pivotButton="0" quotePrefix="0" xfId="0">
      <alignment horizontal="left" vertical="center"/>
    </xf>
    <xf numFmtId="0" fontId="31" fillId="18" borderId="6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5" fillId="4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7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7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2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4" fillId="4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10" fillId="1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10" fontId="17" fillId="13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10" fontId="17" fillId="1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center" vertical="center"/>
    </xf>
    <xf numFmtId="10" fontId="8" fillId="9" borderId="1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/>
    </xf>
    <xf numFmtId="0" fontId="19" fillId="9" borderId="8" applyAlignment="1" pivotButton="0" quotePrefix="0" xfId="0">
      <alignment horizontal="center" vertical="center"/>
    </xf>
    <xf numFmtId="0" fontId="0" fillId="0" borderId="9" pivotButton="0" quotePrefix="0" xfId="0"/>
    <xf numFmtId="0" fontId="15" fillId="13" borderId="8" applyAlignment="1" pivotButton="0" quotePrefix="0" xfId="0">
      <alignment horizontal="left" vertical="center" wrapText="1"/>
    </xf>
    <xf numFmtId="0" fontId="0" fillId="0" borderId="2" pivotButton="0" quotePrefix="0" xfId="0"/>
    <xf numFmtId="0" fontId="9" fillId="8" borderId="6" applyAlignment="1" pivotButton="0" quotePrefix="0" xfId="0">
      <alignment horizontal="center" vertical="center"/>
    </xf>
    <xf numFmtId="0" fontId="20" fillId="11" borderId="6" applyAlignment="1" pivotButton="0" quotePrefix="0" xfId="0">
      <alignment horizontal="left" vertical="center" wrapText="1"/>
    </xf>
    <xf numFmtId="0" fontId="20" fillId="12" borderId="6" applyAlignment="1" pivotButton="0" quotePrefix="0" xfId="0">
      <alignment horizontal="left" vertical="center" wrapText="1"/>
    </xf>
    <xf numFmtId="0" fontId="21" fillId="8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22" fillId="15" borderId="6" applyAlignment="1" pivotButton="0" quotePrefix="0" xfId="0">
      <alignment horizontal="left" vertical="center" wrapText="1"/>
    </xf>
    <xf numFmtId="0" fontId="23" fillId="11" borderId="6" applyAlignment="1" pivotButton="0" quotePrefix="0" xfId="0">
      <alignment horizontal="center" vertical="center"/>
    </xf>
    <xf numFmtId="10" fontId="24" fillId="11" borderId="6" applyAlignment="1" pivotButton="0" quotePrefix="0" xfId="0">
      <alignment horizontal="center" vertical="center"/>
    </xf>
    <xf numFmtId="10" fontId="32" fillId="11" borderId="16" applyAlignment="1" pivotButton="0" quotePrefix="0" xfId="0">
      <alignment horizontal="center" vertical="center"/>
    </xf>
    <xf numFmtId="0" fontId="10" fillId="10" borderId="6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26" fillId="16" borderId="6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10" fontId="27" fillId="16" borderId="1" applyAlignment="1" pivotButton="0" quotePrefix="0" xfId="0">
      <alignment horizontal="center" vertical="center"/>
    </xf>
    <xf numFmtId="0" fontId="28" fillId="16" borderId="6" applyAlignment="1" pivotButton="0" quotePrefix="0" xfId="0">
      <alignment horizontal="center" vertical="center"/>
    </xf>
    <xf numFmtId="0" fontId="29" fillId="16" borderId="6" applyAlignment="1" pivotButton="0" quotePrefix="0" xfId="0">
      <alignment horizontal="left" vertical="center"/>
    </xf>
    <xf numFmtId="0" fontId="26" fillId="12" borderId="6" applyAlignment="1" pivotButton="0" quotePrefix="0" xfId="0">
      <alignment horizontal="left" vertical="center"/>
    </xf>
    <xf numFmtId="10" fontId="27" fillId="12" borderId="1" applyAlignment="1" pivotButton="0" quotePrefix="0" xfId="0">
      <alignment horizontal="center" vertical="center"/>
    </xf>
    <xf numFmtId="0" fontId="28" fillId="12" borderId="6" applyAlignment="1" pivotButton="0" quotePrefix="0" xfId="0">
      <alignment horizontal="center" vertical="center"/>
    </xf>
    <xf numFmtId="0" fontId="29" fillId="12" borderId="6" applyAlignment="1" pivotButton="0" quotePrefix="0" xfId="0">
      <alignment horizontal="left" vertical="center"/>
    </xf>
    <xf numFmtId="0" fontId="26" fillId="17" borderId="6" applyAlignment="1" pivotButton="0" quotePrefix="0" xfId="0">
      <alignment horizontal="left" vertical="center"/>
    </xf>
    <xf numFmtId="0" fontId="16" fillId="17" borderId="1" applyAlignment="1" pivotButton="0" quotePrefix="0" xfId="0">
      <alignment horizontal="center" vertical="center"/>
    </xf>
    <xf numFmtId="10" fontId="27" fillId="17" borderId="1" applyAlignment="1" pivotButton="0" quotePrefix="0" xfId="0">
      <alignment horizontal="center" vertical="center"/>
    </xf>
    <xf numFmtId="0" fontId="28" fillId="17" borderId="6" applyAlignment="1" pivotButton="0" quotePrefix="0" xfId="0">
      <alignment horizontal="center" vertical="center"/>
    </xf>
    <xf numFmtId="0" fontId="29" fillId="17" borderId="6" applyAlignment="1" pivotButton="0" quotePrefix="0" xfId="0">
      <alignment horizontal="left" vertical="center"/>
    </xf>
    <xf numFmtId="0" fontId="8" fillId="9" borderId="6" applyAlignment="1" pivotButton="0" quotePrefix="0" xfId="0">
      <alignment horizontal="center" vertical="center"/>
    </xf>
    <xf numFmtId="10" fontId="21" fillId="9" borderId="1" applyAlignment="1" pivotButton="0" quotePrefix="0" xfId="0">
      <alignment horizontal="center" vertical="center"/>
    </xf>
    <xf numFmtId="0" fontId="30" fillId="9" borderId="6" applyAlignment="1" pivotButton="0" quotePrefix="0" xfId="0">
      <alignment horizontal="left" vertical="center"/>
    </xf>
    <xf numFmtId="0" fontId="13" fillId="13" borderId="6" applyAlignment="1" pivotButton="0" quotePrefix="0" xfId="0">
      <alignment horizontal="left" vertical="center"/>
    </xf>
    <xf numFmtId="10" fontId="11" fillId="13" borderId="6" applyAlignment="1" pivotButton="0" quotePrefix="0" xfId="0">
      <alignment horizontal="center" vertical="center"/>
    </xf>
    <xf numFmtId="0" fontId="29" fillId="13" borderId="6" applyAlignment="1" pivotButton="0" quotePrefix="0" xfId="0">
      <alignment horizontal="left" vertical="center"/>
    </xf>
    <xf numFmtId="0" fontId="13" fillId="14" borderId="6" applyAlignment="1" pivotButton="0" quotePrefix="0" xfId="0">
      <alignment horizontal="left" vertical="center"/>
    </xf>
    <xf numFmtId="10" fontId="11" fillId="14" borderId="6" applyAlignment="1" pivotButton="0" quotePrefix="0" xfId="0">
      <alignment horizontal="center" vertical="center"/>
    </xf>
    <xf numFmtId="0" fontId="29" fillId="14" borderId="6" applyAlignment="1" pivotButton="0" quotePrefix="0" xfId="0">
      <alignment horizontal="left" vertical="center"/>
    </xf>
    <xf numFmtId="0" fontId="31" fillId="18" borderId="6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F4B18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D0D0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D22"/>
      <rgbColor rgb="FF000080"/>
      <rgbColor rgb="FF7B6000"/>
      <rgbColor rgb="FF800080"/>
      <rgbColor rgb="FF008080"/>
      <rgbColor rgb="FFB4C7E7"/>
      <rgbColor rgb="FF808080"/>
      <rgbColor rgb="FF8FAADC"/>
      <rgbColor rgb="FF993366"/>
      <rgbColor rgb="FFFFFACD"/>
      <rgbColor rgb="FFDEEAF1"/>
      <rgbColor rgb="FF660066"/>
      <rgbColor rgb="FFFF8080"/>
      <rgbColor rgb="FF0070C0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A9D18E"/>
      <rgbColor rgb="FFF4B183"/>
      <rgbColor rgb="FFFCE4D6"/>
      <rgbColor rgb="FFF8CBAD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00B050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M953"/>
  <sheetViews>
    <sheetView showFormulas="0" showGridLines="1" showRowColHeaders="1" showZeros="1" rightToLeft="0" tabSelected="0" showOutlineSymbols="1" defaultGridColor="1" view="normal" topLeftCell="A1" colorId="64" zoomScale="74" zoomScaleNormal="74" zoomScalePageLayoutView="100" workbookViewId="0">
      <pane xSplit="0" ySplit="1" topLeftCell="A326" activePane="bottomLeft" state="frozen"/>
      <selection pane="topLeft" activeCell="A1" activeCellId="0" sqref="A1"/>
      <selection pane="bottomLeft" activeCell="N939" activeCellId="0" sqref="N939"/>
    </sheetView>
  </sheetViews>
  <sheetFormatPr baseColWidth="8" defaultColWidth="8.6796875" defaultRowHeight="15" zeroHeight="0" outlineLevelRow="0"/>
  <cols>
    <col width="18.57" customWidth="1" style="94" min="1" max="1"/>
    <col width="7.42" customWidth="1" style="94" min="2" max="2"/>
    <col width="15.14" customWidth="1" style="94" min="3" max="3"/>
    <col width="13.57" customWidth="1" style="94" min="4" max="4"/>
    <col width="12.29" customWidth="1" style="94" min="5" max="5"/>
    <col width="22" customWidth="1" style="94" min="6" max="6"/>
    <col width="16.29" customWidth="1" style="94" min="7" max="7"/>
    <col width="18.86" customWidth="1" style="94" min="8" max="8"/>
    <col width="22.57" customWidth="1" style="94" min="9" max="9"/>
    <col width="22" customWidth="1" style="94" min="10" max="10"/>
  </cols>
  <sheetData>
    <row r="1" ht="15.75" customHeight="1" s="95">
      <c r="A1" s="96" t="inlineStr">
        <is>
          <t>Nama/Kode balita</t>
        </is>
      </c>
      <c r="B1" s="96" t="inlineStr">
        <is>
          <t>JK</t>
        </is>
      </c>
      <c r="C1" s="96" t="inlineStr">
        <is>
          <t xml:space="preserve">Umur </t>
        </is>
      </c>
      <c r="D1" s="96" t="inlineStr">
        <is>
          <t xml:space="preserve">Berat </t>
        </is>
      </c>
      <c r="E1" s="96" t="inlineStr">
        <is>
          <t>Tinggi</t>
        </is>
      </c>
      <c r="F1" s="96" t="inlineStr">
        <is>
          <t>BB/U</t>
        </is>
      </c>
      <c r="G1" s="96" t="inlineStr">
        <is>
          <t>TB/U</t>
        </is>
      </c>
      <c r="H1" s="96" t="inlineStr">
        <is>
          <t>Status Gizi</t>
        </is>
      </c>
      <c r="I1" s="96" t="inlineStr">
        <is>
          <t>Status ASI Ekslusif</t>
        </is>
      </c>
      <c r="J1" s="96" t="inlineStr">
        <is>
          <t>Status Stunting</t>
        </is>
      </c>
    </row>
    <row r="2" ht="15.75" customHeight="1" s="95">
      <c r="A2" s="97" t="inlineStr">
        <is>
          <t>anonymus0001</t>
        </is>
      </c>
      <c r="B2" s="97" t="inlineStr">
        <is>
          <t>L</t>
        </is>
      </c>
      <c r="C2" s="97" t="inlineStr">
        <is>
          <t>35-69 Bulan</t>
        </is>
      </c>
      <c r="D2" s="97" t="n">
        <v>17.6</v>
      </c>
      <c r="E2" s="97" t="n">
        <v>107</v>
      </c>
      <c r="F2" s="97" t="inlineStr">
        <is>
          <t>Risiko Lebih</t>
        </is>
      </c>
      <c r="G2" s="97" t="inlineStr">
        <is>
          <t>Normal</t>
        </is>
      </c>
      <c r="H2" s="97" t="inlineStr">
        <is>
          <t>Gizi Lebih</t>
        </is>
      </c>
      <c r="I2" s="98" t="inlineStr">
        <is>
          <t>Ya</t>
        </is>
      </c>
      <c r="J2" s="98">
        <f>IF(G2="Normal","Tidak",IF(G2="Pendek","Potensi Stunting",IF(G2="Sangat Pendek","Stunting","")))</f>
        <v/>
      </c>
    </row>
    <row r="3" ht="15.75" customHeight="1" s="95">
      <c r="A3" s="97" t="inlineStr">
        <is>
          <t>anonymus0002</t>
        </is>
      </c>
      <c r="B3" s="97" t="inlineStr">
        <is>
          <t xml:space="preserve">P </t>
        </is>
      </c>
      <c r="C3" s="97" t="inlineStr">
        <is>
          <t>1-34 Bulan</t>
        </is>
      </c>
      <c r="D3" s="97" t="inlineStr">
        <is>
          <t>11.5</t>
        </is>
      </c>
      <c r="E3" s="97" t="n">
        <v>89</v>
      </c>
      <c r="F3" s="97" t="inlineStr">
        <is>
          <t>Berat Badan Normal</t>
        </is>
      </c>
      <c r="G3" s="97" t="inlineStr">
        <is>
          <t>Normal</t>
        </is>
      </c>
      <c r="H3" s="97" t="inlineStr">
        <is>
          <t>Gizi Baik</t>
        </is>
      </c>
      <c r="I3" s="98" t="inlineStr">
        <is>
          <t>Ya</t>
        </is>
      </c>
      <c r="J3" s="98">
        <f>IF(G3="Normal","Tidak",IF(G3="Pendek","Potensi Stunting",IF(G3="Sangat Pendek","Stunting","")))</f>
        <v/>
      </c>
    </row>
    <row r="4" ht="15.75" customHeight="1" s="95">
      <c r="A4" s="97" t="inlineStr">
        <is>
          <t>anonymus0003</t>
        </is>
      </c>
      <c r="B4" s="97" t="inlineStr">
        <is>
          <t>L</t>
        </is>
      </c>
      <c r="C4" s="97" t="inlineStr">
        <is>
          <t>35-69 Bulan</t>
        </is>
      </c>
      <c r="D4" s="97" t="n">
        <v>10.1</v>
      </c>
      <c r="E4" s="97" t="n">
        <v>85</v>
      </c>
      <c r="F4" s="97" t="inlineStr">
        <is>
          <t>Kurang</t>
        </is>
      </c>
      <c r="G4" s="97" t="inlineStr">
        <is>
          <t>Sangat Pendek</t>
        </is>
      </c>
      <c r="H4" s="97" t="inlineStr">
        <is>
          <t>Gizi Baik</t>
        </is>
      </c>
      <c r="I4" s="98" t="inlineStr">
        <is>
          <t>Ya</t>
        </is>
      </c>
      <c r="J4" s="98">
        <f>IF(G4="Normal","Tidak",IF(G4="Pendek","Potensi Stunting",IF(G4="Sangat Pendek","Stunting","")))</f>
        <v/>
      </c>
    </row>
    <row r="5" ht="15.75" customHeight="1" s="95">
      <c r="A5" s="97" t="inlineStr">
        <is>
          <t>anonymus0004</t>
        </is>
      </c>
      <c r="B5" s="97" t="inlineStr">
        <is>
          <t>L</t>
        </is>
      </c>
      <c r="C5" s="97" t="inlineStr">
        <is>
          <t>35-69 Bulan</t>
        </is>
      </c>
      <c r="D5" s="97" t="n">
        <v>11.4</v>
      </c>
      <c r="E5" s="97" t="n">
        <v>87</v>
      </c>
      <c r="F5" s="97" t="inlineStr">
        <is>
          <t>Normal</t>
        </is>
      </c>
      <c r="G5" s="97" t="inlineStr">
        <is>
          <t>Pendek</t>
        </is>
      </c>
      <c r="H5" s="97" t="inlineStr">
        <is>
          <t>Gizi Baik</t>
        </is>
      </c>
      <c r="I5" s="98" t="inlineStr">
        <is>
          <t>Ya</t>
        </is>
      </c>
      <c r="J5" s="98">
        <f>IF(G5="Normal","Tidak",IF(G5="Pendek","Potensi Stunting",IF(G5="Sangat Pendek","Stunting","")))</f>
        <v/>
      </c>
    </row>
    <row r="6" ht="15.75" customHeight="1" s="95">
      <c r="A6" s="97" t="inlineStr">
        <is>
          <t>anonymus0005</t>
        </is>
      </c>
      <c r="B6" s="97" t="inlineStr">
        <is>
          <t>L</t>
        </is>
      </c>
      <c r="C6" s="97" t="inlineStr">
        <is>
          <t>35-69 Bulan</t>
        </is>
      </c>
      <c r="D6" s="97" t="n">
        <v>11.3</v>
      </c>
      <c r="E6" s="97" t="n">
        <v>94</v>
      </c>
      <c r="F6" s="97" t="inlineStr">
        <is>
          <t>Kurang</t>
        </is>
      </c>
      <c r="G6" s="97" t="inlineStr">
        <is>
          <t>Normal</t>
        </is>
      </c>
      <c r="H6" s="97" t="inlineStr">
        <is>
          <t>Gizi Kurang</t>
        </is>
      </c>
      <c r="I6" s="98" t="inlineStr">
        <is>
          <t>Ya</t>
        </is>
      </c>
      <c r="J6" s="98">
        <f>IF(G6="Normal","Tidak",IF(G6="Pendek","Potensi Stunting",IF(G6="Sangat Pendek","Stunting","")))</f>
        <v/>
      </c>
    </row>
    <row r="7" ht="15.75" customHeight="1" s="95">
      <c r="A7" s="97" t="inlineStr">
        <is>
          <t>anonymus0006</t>
        </is>
      </c>
      <c r="B7" s="97" t="inlineStr">
        <is>
          <t xml:space="preserve">L </t>
        </is>
      </c>
      <c r="C7" s="97" t="inlineStr">
        <is>
          <t>35-69 Bulan</t>
        </is>
      </c>
      <c r="D7" s="97" t="inlineStr">
        <is>
          <t>14.3</t>
        </is>
      </c>
      <c r="E7" s="97" t="n">
        <v>100</v>
      </c>
      <c r="F7" s="97" t="inlineStr">
        <is>
          <t>Berat Badan Normal</t>
        </is>
      </c>
      <c r="G7" s="97" t="inlineStr">
        <is>
          <t>Normal</t>
        </is>
      </c>
      <c r="H7" s="97" t="inlineStr">
        <is>
          <t>Gizi Baik</t>
        </is>
      </c>
      <c r="I7" s="98" t="inlineStr">
        <is>
          <t>Ya</t>
        </is>
      </c>
      <c r="J7" s="98">
        <f>IF(G7="Normal","Tidak",IF(G7="Pendek","Potensi Stunting",IF(G7="Sangat Pendek","Stunting","")))</f>
        <v/>
      </c>
    </row>
    <row r="8" ht="15.75" customHeight="1" s="95">
      <c r="A8" s="97" t="inlineStr">
        <is>
          <t>anonymus0007</t>
        </is>
      </c>
      <c r="B8" s="97" t="inlineStr">
        <is>
          <t>P</t>
        </is>
      </c>
      <c r="C8" s="97" t="inlineStr">
        <is>
          <t>1-34 Bulan</t>
        </is>
      </c>
      <c r="D8" s="97" t="n">
        <v>13.8</v>
      </c>
      <c r="E8" s="97" t="n">
        <v>91</v>
      </c>
      <c r="F8" s="97" t="inlineStr">
        <is>
          <t>Berat Badan Normal</t>
        </is>
      </c>
      <c r="G8" s="97" t="inlineStr">
        <is>
          <t>Normal</t>
        </is>
      </c>
      <c r="H8" s="97" t="inlineStr">
        <is>
          <t>Gizi Baik</t>
        </is>
      </c>
      <c r="I8" s="98" t="inlineStr">
        <is>
          <t>Ya</t>
        </is>
      </c>
      <c r="J8" s="98">
        <f>IF(G8="Normal","Tidak",IF(G8="Pendek","Potensi Stunting",IF(G8="Sangat Pendek","Stunting","")))</f>
        <v/>
      </c>
    </row>
    <row r="9" ht="15.75" customHeight="1" s="95">
      <c r="A9" s="97" t="inlineStr">
        <is>
          <t>anonymus0008</t>
        </is>
      </c>
      <c r="B9" s="97" t="inlineStr">
        <is>
          <t>P</t>
        </is>
      </c>
      <c r="C9" s="97" t="inlineStr">
        <is>
          <t>35-69 Bulan</t>
        </is>
      </c>
      <c r="D9" s="97" t="n">
        <v>11.2</v>
      </c>
      <c r="E9" s="97" t="n">
        <v>97</v>
      </c>
      <c r="F9" s="97" t="inlineStr">
        <is>
          <t>Kurang</t>
        </is>
      </c>
      <c r="G9" s="97" t="inlineStr">
        <is>
          <t>Normal</t>
        </is>
      </c>
      <c r="H9" s="97" t="inlineStr">
        <is>
          <t>Gizi Kurang</t>
        </is>
      </c>
      <c r="I9" s="98" t="inlineStr">
        <is>
          <t>Ya</t>
        </is>
      </c>
      <c r="J9" s="98">
        <f>IF(G9="Normal","Tidak",IF(G9="Pendek","Potensi Stunting",IF(G9="Sangat Pendek","Stunting","")))</f>
        <v/>
      </c>
    </row>
    <row r="10" ht="15.75" customHeight="1" s="95">
      <c r="A10" s="97" t="inlineStr">
        <is>
          <t>anonymus0009</t>
        </is>
      </c>
      <c r="B10" s="97" t="inlineStr">
        <is>
          <t>L</t>
        </is>
      </c>
      <c r="C10" s="97" t="inlineStr">
        <is>
          <t>35-69 Bulan</t>
        </is>
      </c>
      <c r="D10" s="97" t="n">
        <v>10.6</v>
      </c>
      <c r="E10" s="97" t="n">
        <v>93</v>
      </c>
      <c r="F10" s="97" t="inlineStr">
        <is>
          <t>Berat Badan Normal</t>
        </is>
      </c>
      <c r="G10" s="97" t="inlineStr">
        <is>
          <t>Normal</t>
        </is>
      </c>
      <c r="H10" s="97" t="inlineStr">
        <is>
          <t>Gizi Baik</t>
        </is>
      </c>
      <c r="I10" s="98" t="inlineStr">
        <is>
          <t>Ya</t>
        </is>
      </c>
      <c r="J10" s="98">
        <f>IF(G10="Normal","Tidak",IF(G10="Pendek","Potensi Stunting",IF(G10="Sangat Pendek","Stunting","")))</f>
        <v/>
      </c>
    </row>
    <row r="11" ht="15.75" customHeight="1" s="95">
      <c r="A11" s="97" t="inlineStr">
        <is>
          <t>anonymus0010</t>
        </is>
      </c>
      <c r="B11" s="97" t="inlineStr">
        <is>
          <t xml:space="preserve">L </t>
        </is>
      </c>
      <c r="C11" s="97" t="inlineStr">
        <is>
          <t>1-34 Bulan</t>
        </is>
      </c>
      <c r="D11" s="97" t="inlineStr">
        <is>
          <t>15.8</t>
        </is>
      </c>
      <c r="E11" s="97" t="n">
        <v>93</v>
      </c>
      <c r="F11" s="97" t="inlineStr">
        <is>
          <t>Risiko Lebih</t>
        </is>
      </c>
      <c r="G11" s="97" t="inlineStr">
        <is>
          <t>Normal</t>
        </is>
      </c>
      <c r="H11" s="97" t="inlineStr">
        <is>
          <t>Risiko Gizi Lebih</t>
        </is>
      </c>
      <c r="I11" s="98" t="inlineStr">
        <is>
          <t>Ya</t>
        </is>
      </c>
      <c r="J11" s="98">
        <f>IF(G11="Normal","Tidak",IF(G11="Pendek","Potensi Stunting",IF(G11="Sangat Pendek","Stunting","")))</f>
        <v/>
      </c>
    </row>
    <row r="12" ht="15.75" customHeight="1" s="95">
      <c r="A12" s="97" t="inlineStr">
        <is>
          <t>anonymus0011</t>
        </is>
      </c>
      <c r="B12" s="97" t="inlineStr">
        <is>
          <t>L</t>
        </is>
      </c>
      <c r="C12" s="97" t="inlineStr">
        <is>
          <t>1-34 Bulan</t>
        </is>
      </c>
      <c r="D12" s="97" t="n">
        <v>9.699999999999999</v>
      </c>
      <c r="E12" s="97" t="n">
        <v>80</v>
      </c>
      <c r="F12" s="97" t="inlineStr">
        <is>
          <t>Berat Badan Normal</t>
        </is>
      </c>
      <c r="G12" s="97" t="inlineStr">
        <is>
          <t>Normal</t>
        </is>
      </c>
      <c r="H12" s="97" t="inlineStr">
        <is>
          <t>Gizi Baik</t>
        </is>
      </c>
      <c r="I12" s="98" t="inlineStr">
        <is>
          <t>Ya</t>
        </is>
      </c>
      <c r="J12" s="98">
        <f>IF(G12="Normal","Tidak",IF(G12="Pendek","Potensi Stunting",IF(G12="Sangat Pendek","Stunting","")))</f>
        <v/>
      </c>
    </row>
    <row r="13" ht="15.75" customHeight="1" s="95">
      <c r="A13" s="97" t="inlineStr">
        <is>
          <t>anonymus0012</t>
        </is>
      </c>
      <c r="B13" s="97" t="inlineStr">
        <is>
          <t>L</t>
        </is>
      </c>
      <c r="C13" s="97" t="inlineStr">
        <is>
          <t>35-69 Bulan</t>
        </is>
      </c>
      <c r="D13" s="97" t="n">
        <v>12.7</v>
      </c>
      <c r="E13" s="97" t="n">
        <v>95</v>
      </c>
      <c r="F13" s="97" t="inlineStr">
        <is>
          <t>Kurang</t>
        </is>
      </c>
      <c r="G13" s="97" t="inlineStr">
        <is>
          <t>Pendek</t>
        </is>
      </c>
      <c r="H13" s="97" t="inlineStr">
        <is>
          <t>Gizi Baik</t>
        </is>
      </c>
      <c r="I13" s="98" t="inlineStr">
        <is>
          <t>Ya</t>
        </is>
      </c>
      <c r="J13" s="98">
        <f>IF(G13="Normal","Tidak",IF(G13="Pendek","Potensi Stunting",IF(G13="Sangat Pendek","Stunting","")))</f>
        <v/>
      </c>
    </row>
    <row r="14" ht="15.75" customHeight="1" s="95">
      <c r="A14" s="97" t="inlineStr">
        <is>
          <t>anonymus0013</t>
        </is>
      </c>
      <c r="B14" s="97" t="inlineStr">
        <is>
          <t>L</t>
        </is>
      </c>
      <c r="C14" s="97" t="inlineStr">
        <is>
          <t>1-34 Bulan</t>
        </is>
      </c>
      <c r="D14" s="97" t="n">
        <v>12.2</v>
      </c>
      <c r="E14" s="97" t="n">
        <v>86</v>
      </c>
      <c r="F14" s="97" t="inlineStr">
        <is>
          <t>Berat Badan Normal</t>
        </is>
      </c>
      <c r="G14" s="97" t="inlineStr">
        <is>
          <t>Normal</t>
        </is>
      </c>
      <c r="H14" s="97" t="inlineStr">
        <is>
          <t>Gizi Baik</t>
        </is>
      </c>
      <c r="I14" s="98" t="inlineStr">
        <is>
          <t>Ya</t>
        </is>
      </c>
      <c r="J14" s="98">
        <f>IF(G14="Normal","Tidak",IF(G14="Pendek","Potensi Stunting",IF(G14="Sangat Pendek","Stunting","")))</f>
        <v/>
      </c>
    </row>
    <row r="15" ht="15.75" customHeight="1" s="95">
      <c r="A15" s="97" t="inlineStr">
        <is>
          <t>anonymus0014</t>
        </is>
      </c>
      <c r="B15" s="97" t="inlineStr">
        <is>
          <t xml:space="preserve">L </t>
        </is>
      </c>
      <c r="C15" s="97" t="inlineStr">
        <is>
          <t>1-34 Bulan</t>
        </is>
      </c>
      <c r="D15" s="97" t="inlineStr">
        <is>
          <t>14.5</t>
        </is>
      </c>
      <c r="E15" s="97" t="n">
        <v>97</v>
      </c>
      <c r="F15" s="97" t="inlineStr">
        <is>
          <t>Berat Badan Normal</t>
        </is>
      </c>
      <c r="G15" s="97" t="inlineStr">
        <is>
          <t>Normal</t>
        </is>
      </c>
      <c r="H15" s="97" t="inlineStr">
        <is>
          <t>Gizi Baik</t>
        </is>
      </c>
      <c r="I15" s="98" t="inlineStr">
        <is>
          <t>Ya</t>
        </is>
      </c>
      <c r="J15" s="98">
        <f>IF(G15="Normal","Tidak",IF(G15="Pendek","Potensi Stunting",IF(G15="Sangat Pendek","Stunting","")))</f>
        <v/>
      </c>
    </row>
    <row r="16" ht="15.75" customHeight="1" s="95">
      <c r="A16" s="97" t="inlineStr">
        <is>
          <t>anonymus0015</t>
        </is>
      </c>
      <c r="B16" s="97" t="inlineStr">
        <is>
          <t>L</t>
        </is>
      </c>
      <c r="C16" s="97" t="inlineStr">
        <is>
          <t>35-69 Bulan</t>
        </is>
      </c>
      <c r="D16" s="97" t="n">
        <v>13.9</v>
      </c>
      <c r="E16" s="97" t="n">
        <v>96</v>
      </c>
      <c r="F16" s="97" t="inlineStr">
        <is>
          <t>Berat Badan Normal</t>
        </is>
      </c>
      <c r="G16" s="97" t="inlineStr">
        <is>
          <t>Normal</t>
        </is>
      </c>
      <c r="H16" s="97" t="inlineStr">
        <is>
          <t>Gizi Baik</t>
        </is>
      </c>
      <c r="I16" s="98" t="inlineStr">
        <is>
          <t>Ya</t>
        </is>
      </c>
      <c r="J16" s="98">
        <f>IF(G16="Normal","Tidak",IF(G16="Pendek","Potensi Stunting",IF(G16="Sangat Pendek","Stunting","")))</f>
        <v/>
      </c>
    </row>
    <row r="17" ht="15.75" customHeight="1" s="95">
      <c r="A17" s="97" t="inlineStr">
        <is>
          <t>anonymus0016</t>
        </is>
      </c>
      <c r="B17" s="97" t="inlineStr">
        <is>
          <t>L</t>
        </is>
      </c>
      <c r="C17" s="97" t="inlineStr">
        <is>
          <t>35-69 Bulan</t>
        </is>
      </c>
      <c r="D17" s="97" t="n">
        <v>12.6</v>
      </c>
      <c r="E17" s="97" t="n">
        <v>100</v>
      </c>
      <c r="F17" s="97" t="inlineStr">
        <is>
          <t>Normal</t>
        </is>
      </c>
      <c r="G17" s="97" t="inlineStr">
        <is>
          <t>Normal</t>
        </is>
      </c>
      <c r="H17" s="97" t="inlineStr">
        <is>
          <t>Gizi Kurang</t>
        </is>
      </c>
      <c r="I17" s="98" t="inlineStr">
        <is>
          <t>Ya</t>
        </is>
      </c>
      <c r="J17" s="98">
        <f>IF(G17="Normal","Tidak",IF(G17="Pendek","Potensi Stunting",IF(G17="Sangat Pendek","Stunting","")))</f>
        <v/>
      </c>
    </row>
    <row r="18" ht="15.75" customHeight="1" s="95">
      <c r="A18" s="97" t="inlineStr">
        <is>
          <t>anonymus0017</t>
        </is>
      </c>
      <c r="B18" s="97" t="inlineStr">
        <is>
          <t xml:space="preserve">L </t>
        </is>
      </c>
      <c r="C18" s="97" t="inlineStr">
        <is>
          <t>35-69 Bulan</t>
        </is>
      </c>
      <c r="D18" s="97" t="inlineStr">
        <is>
          <t>14.8</t>
        </is>
      </c>
      <c r="E18" s="97" t="n">
        <v>104</v>
      </c>
      <c r="F18" s="97" t="inlineStr">
        <is>
          <t>Berat Badan Normal</t>
        </is>
      </c>
      <c r="G18" s="97" t="inlineStr">
        <is>
          <t>Normal</t>
        </is>
      </c>
      <c r="H18" s="97" t="inlineStr">
        <is>
          <t>Gizi Baik</t>
        </is>
      </c>
      <c r="I18" s="98" t="inlineStr">
        <is>
          <t>Ya</t>
        </is>
      </c>
      <c r="J18" s="98">
        <f>IF(G18="Normal","Tidak",IF(G18="Pendek","Potensi Stunting",IF(G18="Sangat Pendek","Stunting","")))</f>
        <v/>
      </c>
    </row>
    <row r="19" ht="15.75" customHeight="1" s="95">
      <c r="A19" s="97" t="inlineStr">
        <is>
          <t>anonymus0018</t>
        </is>
      </c>
      <c r="B19" s="97" t="inlineStr">
        <is>
          <t xml:space="preserve">P </t>
        </is>
      </c>
      <c r="C19" s="97" t="inlineStr">
        <is>
          <t>1-34 Bulan</t>
        </is>
      </c>
      <c r="D19" s="97" t="inlineStr">
        <is>
          <t>10.2</t>
        </is>
      </c>
      <c r="E19" s="97" t="n">
        <v>75</v>
      </c>
      <c r="F19" s="97" t="inlineStr">
        <is>
          <t>Berat Badan Normal</t>
        </is>
      </c>
      <c r="G19" s="97" t="inlineStr">
        <is>
          <t>Normal</t>
        </is>
      </c>
      <c r="H19" s="97" t="inlineStr">
        <is>
          <t>Risiko Gizi Lebih</t>
        </is>
      </c>
      <c r="I19" s="98" t="inlineStr">
        <is>
          <t>Ya</t>
        </is>
      </c>
      <c r="J19" s="98">
        <f>IF(G19="Normal","Tidak",IF(G19="Pendek","Potensi Stunting",IF(G19="Sangat Pendek","Stunting","")))</f>
        <v/>
      </c>
    </row>
    <row r="20" ht="15.75" customHeight="1" s="95">
      <c r="A20" s="97" t="inlineStr">
        <is>
          <t>anonymus0019</t>
        </is>
      </c>
      <c r="B20" s="97" t="inlineStr">
        <is>
          <t>P</t>
        </is>
      </c>
      <c r="C20" s="97" t="inlineStr">
        <is>
          <t>35-69 Bulan</t>
        </is>
      </c>
      <c r="D20" s="97" t="n">
        <v>12.4</v>
      </c>
      <c r="E20" s="97" t="n">
        <v>91</v>
      </c>
      <c r="F20" s="97" t="inlineStr">
        <is>
          <t>Kurang</t>
        </is>
      </c>
      <c r="G20" s="97" t="inlineStr">
        <is>
          <t>Sangat Pendek</t>
        </is>
      </c>
      <c r="H20" s="97" t="inlineStr">
        <is>
          <t>Gizi Baik</t>
        </is>
      </c>
      <c r="I20" s="98" t="inlineStr">
        <is>
          <t>Ya</t>
        </is>
      </c>
      <c r="J20" s="98">
        <f>IF(G20="Normal","Tidak",IF(G20="Pendek","Potensi Stunting",IF(G20="Sangat Pendek","Stunting","")))</f>
        <v/>
      </c>
    </row>
    <row r="21" ht="15.75" customHeight="1" s="95">
      <c r="A21" s="99" t="inlineStr">
        <is>
          <t>anonymus0020</t>
        </is>
      </c>
      <c r="B21" s="97" t="inlineStr">
        <is>
          <t>L</t>
        </is>
      </c>
      <c r="C21" s="97" t="n">
        <v>72</v>
      </c>
      <c r="D21" s="97" t="n">
        <v>12.8</v>
      </c>
      <c r="E21" s="97" t="n">
        <v>83</v>
      </c>
      <c r="F21" s="97" t="inlineStr">
        <is>
          <t>Kurang</t>
        </is>
      </c>
      <c r="G21" s="97" t="inlineStr">
        <is>
          <t>Sangat Pendek</t>
        </is>
      </c>
      <c r="H21" s="97" t="inlineStr">
        <is>
          <t>Risiko Gizi Lebih</t>
        </is>
      </c>
      <c r="I21" s="98" t="inlineStr">
        <is>
          <t>Ya</t>
        </is>
      </c>
      <c r="J21" s="98">
        <f>IF(G21="Normal","Tidak",IF(G21="Pendek","Potensi Stunting",IF(G21="Sangat Pendek","Stunting","")))</f>
        <v/>
      </c>
    </row>
    <row r="22" ht="15.75" customHeight="1" s="95">
      <c r="A22" s="97" t="inlineStr">
        <is>
          <t>anonymus0021</t>
        </is>
      </c>
      <c r="B22" s="97" t="inlineStr">
        <is>
          <t>P</t>
        </is>
      </c>
      <c r="C22" s="97" t="inlineStr">
        <is>
          <t>35-69 Bulan</t>
        </is>
      </c>
      <c r="D22" s="97" t="n">
        <v>11.6</v>
      </c>
      <c r="E22" s="97" t="n">
        <v>98</v>
      </c>
      <c r="F22" s="97" t="inlineStr">
        <is>
          <t>Kurang</t>
        </is>
      </c>
      <c r="G22" s="97" t="inlineStr">
        <is>
          <t>Normal</t>
        </is>
      </c>
      <c r="H22" s="97" t="inlineStr">
        <is>
          <t>Gizi Kurang</t>
        </is>
      </c>
      <c r="I22" s="98" t="inlineStr">
        <is>
          <t>Ya</t>
        </is>
      </c>
      <c r="J22" s="98">
        <f>IF(G22="Normal","Tidak",IF(G22="Pendek","Potensi Stunting",IF(G22="Sangat Pendek","Stunting","")))</f>
        <v/>
      </c>
    </row>
    <row r="23" ht="15.75" customHeight="1" s="95">
      <c r="A23" s="97" t="inlineStr">
        <is>
          <t>anonymus0022</t>
        </is>
      </c>
      <c r="B23" s="97" t="inlineStr">
        <is>
          <t xml:space="preserve">L </t>
        </is>
      </c>
      <c r="C23" s="97" t="inlineStr">
        <is>
          <t>35-69 Bulan</t>
        </is>
      </c>
      <c r="D23" s="97" t="n">
        <v>15</v>
      </c>
      <c r="E23" s="97" t="n">
        <v>107</v>
      </c>
      <c r="F23" s="97" t="inlineStr">
        <is>
          <t>Berat Badan Normal</t>
        </is>
      </c>
      <c r="G23" s="97" t="inlineStr">
        <is>
          <t>Normal</t>
        </is>
      </c>
      <c r="H23" s="97" t="inlineStr">
        <is>
          <t>Gizi Baik</t>
        </is>
      </c>
      <c r="I23" s="98" t="inlineStr">
        <is>
          <t>Ya</t>
        </is>
      </c>
      <c r="J23" s="98">
        <f>IF(G23="Normal","Tidak",IF(G23="Pendek","Potensi Stunting",IF(G23="Sangat Pendek","Stunting","")))</f>
        <v/>
      </c>
    </row>
    <row r="24" ht="15.75" customHeight="1" s="95">
      <c r="A24" s="97" t="inlineStr">
        <is>
          <t>anonymus0023</t>
        </is>
      </c>
      <c r="B24" s="97" t="inlineStr">
        <is>
          <t>P</t>
        </is>
      </c>
      <c r="C24" s="97" t="inlineStr">
        <is>
          <t>1-34 Bulan</t>
        </is>
      </c>
      <c r="D24" s="97" t="n">
        <v>8.1</v>
      </c>
      <c r="E24" s="97" t="n">
        <v>90</v>
      </c>
      <c r="F24" s="97" t="inlineStr">
        <is>
          <t>Kurang</t>
        </is>
      </c>
      <c r="G24" s="97" t="inlineStr">
        <is>
          <t>Normal</t>
        </is>
      </c>
      <c r="H24" s="97" t="inlineStr">
        <is>
          <t>Gizi Kurang</t>
        </is>
      </c>
      <c r="I24" s="98" t="inlineStr">
        <is>
          <t>Ya</t>
        </is>
      </c>
      <c r="J24" s="98">
        <f>IF(G24="Normal","Tidak",IF(G24="Pendek","Potensi Stunting",IF(G24="Sangat Pendek","Stunting","")))</f>
        <v/>
      </c>
    </row>
    <row r="25" ht="15.75" customHeight="1" s="95">
      <c r="A25" s="97" t="inlineStr">
        <is>
          <t>anonymus0024</t>
        </is>
      </c>
      <c r="B25" s="97" t="inlineStr">
        <is>
          <t>P</t>
        </is>
      </c>
      <c r="C25" s="97" t="inlineStr">
        <is>
          <t>35-69 Bulan</t>
        </is>
      </c>
      <c r="D25" s="97" t="n">
        <v>17.8</v>
      </c>
      <c r="E25" s="97" t="n">
        <v>101</v>
      </c>
      <c r="F25" s="97" t="inlineStr">
        <is>
          <t>Risiko Lebih</t>
        </is>
      </c>
      <c r="G25" s="97" t="inlineStr">
        <is>
          <t>Normal</t>
        </is>
      </c>
      <c r="H25" s="97" t="inlineStr">
        <is>
          <t>Gizi Lebih</t>
        </is>
      </c>
      <c r="I25" s="98" t="inlineStr">
        <is>
          <t>Ya</t>
        </is>
      </c>
      <c r="J25" s="98">
        <f>IF(G25="Normal","Tidak",IF(G25="Pendek","Potensi Stunting",IF(G25="Sangat Pendek","Stunting","")))</f>
        <v/>
      </c>
    </row>
    <row r="26" ht="15.75" customHeight="1" s="95">
      <c r="A26" s="97" t="inlineStr">
        <is>
          <t>anonymus0025</t>
        </is>
      </c>
      <c r="B26" s="97" t="inlineStr">
        <is>
          <t>L</t>
        </is>
      </c>
      <c r="C26" s="97" t="inlineStr">
        <is>
          <t>35-69 Bulan</t>
        </is>
      </c>
      <c r="D26" s="97" t="n">
        <v>19.9</v>
      </c>
      <c r="E26" s="97" t="n">
        <v>95</v>
      </c>
      <c r="F26" s="97" t="inlineStr">
        <is>
          <t>Risiko Lebih</t>
        </is>
      </c>
      <c r="G26" s="97" t="inlineStr">
        <is>
          <t>Normal</t>
        </is>
      </c>
      <c r="H26" s="97" t="inlineStr">
        <is>
          <t>Gizi Lebih</t>
        </is>
      </c>
      <c r="I26" s="98" t="inlineStr">
        <is>
          <t>Ya</t>
        </is>
      </c>
      <c r="J26" s="98">
        <f>IF(G26="Normal","Tidak",IF(G26="Pendek","Potensi Stunting",IF(G26="Sangat Pendek","Stunting","")))</f>
        <v/>
      </c>
    </row>
    <row r="27" ht="15.75" customHeight="1" s="95">
      <c r="A27" s="97" t="inlineStr">
        <is>
          <t>anonymus0026</t>
        </is>
      </c>
      <c r="B27" s="97" t="inlineStr">
        <is>
          <t>P</t>
        </is>
      </c>
      <c r="C27" s="97" t="inlineStr">
        <is>
          <t>35-69 Bulan</t>
        </is>
      </c>
      <c r="D27" s="97" t="n">
        <v>13.5</v>
      </c>
      <c r="E27" s="97" t="n">
        <v>103</v>
      </c>
      <c r="F27" s="97" t="inlineStr">
        <is>
          <t>Normal</t>
        </is>
      </c>
      <c r="G27" s="97" t="inlineStr">
        <is>
          <t>Normal</t>
        </is>
      </c>
      <c r="H27" s="97" t="inlineStr">
        <is>
          <t>Gizi Kurang</t>
        </is>
      </c>
      <c r="I27" s="98" t="inlineStr">
        <is>
          <t>Ya</t>
        </is>
      </c>
      <c r="J27" s="98">
        <f>IF(G27="Normal","Tidak",IF(G27="Pendek","Potensi Stunting",IF(G27="Sangat Pendek","Stunting","")))</f>
        <v/>
      </c>
    </row>
    <row r="28" ht="15.75" customHeight="1" s="95">
      <c r="A28" s="97" t="inlineStr">
        <is>
          <t>anonymus0027</t>
        </is>
      </c>
      <c r="B28" s="97" t="inlineStr">
        <is>
          <t xml:space="preserve">L </t>
        </is>
      </c>
      <c r="C28" s="97" t="inlineStr">
        <is>
          <t>35-69 Bulan</t>
        </is>
      </c>
      <c r="D28" s="97" t="inlineStr">
        <is>
          <t>12.8</t>
        </is>
      </c>
      <c r="E28" s="97" t="n">
        <v>92</v>
      </c>
      <c r="F28" s="97" t="inlineStr">
        <is>
          <t>Berat Badan Normal</t>
        </is>
      </c>
      <c r="G28" s="97" t="inlineStr">
        <is>
          <t>Normal</t>
        </is>
      </c>
      <c r="H28" s="97" t="inlineStr">
        <is>
          <t>Gizi Baik</t>
        </is>
      </c>
      <c r="I28" s="98" t="inlineStr">
        <is>
          <t>Ya</t>
        </is>
      </c>
      <c r="J28" s="98">
        <f>IF(G28="Normal","Tidak",IF(G28="Pendek","Potensi Stunting",IF(G28="Sangat Pendek","Stunting","")))</f>
        <v/>
      </c>
    </row>
    <row r="29" ht="15.75" customHeight="1" s="95">
      <c r="A29" s="97" t="inlineStr">
        <is>
          <t>anonymus0028</t>
        </is>
      </c>
      <c r="B29" s="97" t="inlineStr">
        <is>
          <t>L</t>
        </is>
      </c>
      <c r="C29" s="97" t="inlineStr">
        <is>
          <t>35-69 Bulan</t>
        </is>
      </c>
      <c r="D29" s="97" t="n">
        <v>11.6</v>
      </c>
      <c r="E29" s="97" t="n">
        <v>94</v>
      </c>
      <c r="F29" s="97" t="inlineStr">
        <is>
          <t>Kurang</t>
        </is>
      </c>
      <c r="G29" s="97" t="inlineStr">
        <is>
          <t>Normal</t>
        </is>
      </c>
      <c r="H29" s="97" t="inlineStr">
        <is>
          <t>Gizi Kurang</t>
        </is>
      </c>
      <c r="I29" s="98" t="inlineStr">
        <is>
          <t>Ya</t>
        </is>
      </c>
      <c r="J29" s="98">
        <f>IF(G29="Normal","Tidak",IF(G29="Pendek","Potensi Stunting",IF(G29="Sangat Pendek","Stunting","")))</f>
        <v/>
      </c>
    </row>
    <row r="30" ht="15.75" customHeight="1" s="95">
      <c r="A30" s="97" t="inlineStr">
        <is>
          <t>anonymus0029</t>
        </is>
      </c>
      <c r="B30" s="97" t="inlineStr">
        <is>
          <t>P</t>
        </is>
      </c>
      <c r="C30" s="97" t="inlineStr">
        <is>
          <t>1-34 Bulan</t>
        </is>
      </c>
      <c r="D30" s="97" t="n">
        <v>10.5</v>
      </c>
      <c r="E30" s="97" t="n">
        <v>97</v>
      </c>
      <c r="F30" s="97" t="inlineStr">
        <is>
          <t>Berat Badan Normal</t>
        </is>
      </c>
      <c r="G30" s="97" t="inlineStr">
        <is>
          <t>Normal</t>
        </is>
      </c>
      <c r="H30" s="97" t="inlineStr">
        <is>
          <t>Gizi Baik</t>
        </is>
      </c>
      <c r="I30" s="98" t="inlineStr">
        <is>
          <t>Ya</t>
        </is>
      </c>
      <c r="J30" s="98">
        <f>IF(G30="Normal","Tidak",IF(G30="Pendek","Potensi Stunting",IF(G30="Sangat Pendek","Stunting","")))</f>
        <v/>
      </c>
    </row>
    <row r="31" ht="15.75" customHeight="1" s="95">
      <c r="A31" s="97" t="inlineStr">
        <is>
          <t>anonymus0030</t>
        </is>
      </c>
      <c r="B31" s="97" t="inlineStr">
        <is>
          <t xml:space="preserve">L </t>
        </is>
      </c>
      <c r="C31" s="97" t="inlineStr">
        <is>
          <t>35-69 Bulan</t>
        </is>
      </c>
      <c r="D31" s="97" t="inlineStr">
        <is>
          <t>15.2</t>
        </is>
      </c>
      <c r="E31" s="97" t="n">
        <v>104</v>
      </c>
      <c r="F31" s="97" t="inlineStr">
        <is>
          <t>Berat Badan Normal</t>
        </is>
      </c>
      <c r="G31" s="97" t="inlineStr">
        <is>
          <t>Normal</t>
        </is>
      </c>
      <c r="H31" s="97" t="inlineStr">
        <is>
          <t>Gizi Baik</t>
        </is>
      </c>
      <c r="I31" s="98" t="inlineStr">
        <is>
          <t>Ya</t>
        </is>
      </c>
      <c r="J31" s="98">
        <f>IF(G31="Normal","Tidak",IF(G31="Pendek","Potensi Stunting",IF(G31="Sangat Pendek","Stunting","")))</f>
        <v/>
      </c>
    </row>
    <row r="32" ht="15.75" customHeight="1" s="95">
      <c r="A32" s="97" t="inlineStr">
        <is>
          <t>anonymus0031</t>
        </is>
      </c>
      <c r="B32" s="97" t="inlineStr">
        <is>
          <t>L</t>
        </is>
      </c>
      <c r="C32" s="97" t="inlineStr">
        <is>
          <t>1-34 Bulan</t>
        </is>
      </c>
      <c r="D32" s="97" t="n">
        <v>10.8</v>
      </c>
      <c r="E32" s="97" t="n">
        <v>89.5</v>
      </c>
      <c r="F32" s="97" t="inlineStr">
        <is>
          <t>Kurang</t>
        </is>
      </c>
      <c r="G32" s="97" t="inlineStr">
        <is>
          <t>Normal</t>
        </is>
      </c>
      <c r="H32" s="97" t="inlineStr">
        <is>
          <t>Gizi Kurang</t>
        </is>
      </c>
      <c r="I32" s="98" t="inlineStr">
        <is>
          <t>Ya</t>
        </is>
      </c>
      <c r="J32" s="98">
        <f>IF(G32="Normal","Tidak",IF(G32="Pendek","Potensi Stunting",IF(G32="Sangat Pendek","Stunting","")))</f>
        <v/>
      </c>
    </row>
    <row r="33" ht="15.75" customHeight="1" s="95">
      <c r="A33" s="97" t="inlineStr">
        <is>
          <t>anonymus0032</t>
        </is>
      </c>
      <c r="B33" s="97" t="inlineStr">
        <is>
          <t>P</t>
        </is>
      </c>
      <c r="C33" s="97" t="inlineStr">
        <is>
          <t>35-69 Bulan</t>
        </is>
      </c>
      <c r="D33" s="97" t="n">
        <v>9.1</v>
      </c>
      <c r="E33" s="97" t="n">
        <v>79</v>
      </c>
      <c r="F33" s="97" t="inlineStr">
        <is>
          <t>Kurang</t>
        </is>
      </c>
      <c r="G33" s="97" t="inlineStr">
        <is>
          <t>Pendek</t>
        </is>
      </c>
      <c r="H33" s="97" t="inlineStr">
        <is>
          <t>Gizi Baik</t>
        </is>
      </c>
      <c r="I33" s="98" t="inlineStr">
        <is>
          <t>Ya</t>
        </is>
      </c>
      <c r="J33" s="98">
        <f>IF(G33="Normal","Tidak",IF(G33="Pendek","Potensi Stunting",IF(G33="Sangat Pendek","Stunting","")))</f>
        <v/>
      </c>
    </row>
    <row r="34" ht="15.75" customHeight="1" s="95">
      <c r="A34" s="97" t="inlineStr">
        <is>
          <t>anonymus0033</t>
        </is>
      </c>
      <c r="B34" s="97" t="inlineStr">
        <is>
          <t>P</t>
        </is>
      </c>
      <c r="C34" s="97" t="inlineStr">
        <is>
          <t>35-69 Bulan</t>
        </is>
      </c>
      <c r="D34" s="97" t="n">
        <v>16.9</v>
      </c>
      <c r="E34" s="97" t="n">
        <v>110</v>
      </c>
      <c r="F34" s="97" t="inlineStr">
        <is>
          <t>Berat Badan Normal</t>
        </is>
      </c>
      <c r="G34" s="97" t="inlineStr">
        <is>
          <t>Normal</t>
        </is>
      </c>
      <c r="H34" s="97" t="inlineStr">
        <is>
          <t>Gizi Baik</t>
        </is>
      </c>
      <c r="I34" s="98" t="inlineStr">
        <is>
          <t>Ya</t>
        </is>
      </c>
      <c r="J34" s="98">
        <f>IF(G34="Normal","Tidak",IF(G34="Pendek","Potensi Stunting",IF(G34="Sangat Pendek","Stunting","")))</f>
        <v/>
      </c>
    </row>
    <row r="35" ht="15.75" customHeight="1" s="95">
      <c r="A35" s="97" t="inlineStr">
        <is>
          <t>anonymus0034</t>
        </is>
      </c>
      <c r="B35" s="97" t="inlineStr">
        <is>
          <t>P</t>
        </is>
      </c>
      <c r="C35" s="97" t="inlineStr">
        <is>
          <t>35-69 Bulan</t>
        </is>
      </c>
      <c r="D35" s="97" t="n">
        <v>13.4</v>
      </c>
      <c r="E35" s="97" t="n">
        <v>76</v>
      </c>
      <c r="F35" s="97" t="inlineStr">
        <is>
          <t>Risiko Lebih</t>
        </is>
      </c>
      <c r="G35" s="97" t="inlineStr">
        <is>
          <t>Sangat Pendek</t>
        </is>
      </c>
      <c r="H35" s="97" t="inlineStr">
        <is>
          <t>Obesitas</t>
        </is>
      </c>
      <c r="I35" s="98" t="inlineStr">
        <is>
          <t>Ya</t>
        </is>
      </c>
      <c r="J35" s="98">
        <f>IF(G35="Normal","Tidak",IF(G35="Pendek","Potensi Stunting",IF(G35="Sangat Pendek","Stunting","")))</f>
        <v/>
      </c>
    </row>
    <row r="36" ht="15.75" customHeight="1" s="95">
      <c r="A36" s="97" t="inlineStr">
        <is>
          <t>anonymus0035</t>
        </is>
      </c>
      <c r="B36" s="97" t="inlineStr">
        <is>
          <t xml:space="preserve">L </t>
        </is>
      </c>
      <c r="C36" s="97" t="inlineStr">
        <is>
          <t>1-34 Bulan</t>
        </is>
      </c>
      <c r="D36" s="97" t="inlineStr">
        <is>
          <t>12.5</t>
        </is>
      </c>
      <c r="E36" s="97" t="n">
        <v>89</v>
      </c>
      <c r="F36" s="97" t="inlineStr">
        <is>
          <t>Berat Badan Normal</t>
        </is>
      </c>
      <c r="G36" s="97" t="inlineStr">
        <is>
          <t>Normal</t>
        </is>
      </c>
      <c r="H36" s="97" t="inlineStr">
        <is>
          <t>Gizi Baik</t>
        </is>
      </c>
      <c r="I36" s="98" t="inlineStr">
        <is>
          <t>Ya</t>
        </is>
      </c>
      <c r="J36" s="98">
        <f>IF(G36="Normal","Tidak",IF(G36="Pendek","Potensi Stunting",IF(G36="Sangat Pendek","Stunting","")))</f>
        <v/>
      </c>
    </row>
    <row r="37" ht="15.75" customHeight="1" s="95">
      <c r="A37" s="97" t="inlineStr">
        <is>
          <t>anonymus0036</t>
        </is>
      </c>
      <c r="B37" s="97" t="inlineStr">
        <is>
          <t xml:space="preserve">L </t>
        </is>
      </c>
      <c r="C37" s="97" t="inlineStr">
        <is>
          <t>1-34 Bulan</t>
        </is>
      </c>
      <c r="D37" s="97" t="inlineStr">
        <is>
          <t>13.3</t>
        </is>
      </c>
      <c r="E37" s="97" t="n">
        <v>95</v>
      </c>
      <c r="F37" s="97" t="inlineStr">
        <is>
          <t>Berat Badan Normal</t>
        </is>
      </c>
      <c r="G37" s="97" t="inlineStr">
        <is>
          <t>Normal</t>
        </is>
      </c>
      <c r="H37" s="97" t="inlineStr">
        <is>
          <t>Gizi Baik</t>
        </is>
      </c>
      <c r="I37" s="98" t="inlineStr">
        <is>
          <t>Ya</t>
        </is>
      </c>
      <c r="J37" s="98">
        <f>IF(G37="Normal","Tidak",IF(G37="Pendek","Potensi Stunting",IF(G37="Sangat Pendek","Stunting","")))</f>
        <v/>
      </c>
    </row>
    <row r="38" ht="15.75" customHeight="1" s="95">
      <c r="A38" s="97" t="inlineStr">
        <is>
          <t>anonymus0037</t>
        </is>
      </c>
      <c r="B38" s="97" t="inlineStr">
        <is>
          <t xml:space="preserve">P </t>
        </is>
      </c>
      <c r="C38" s="97" t="inlineStr">
        <is>
          <t>35-69 Bulan</t>
        </is>
      </c>
      <c r="D38" s="97" t="inlineStr">
        <is>
          <t>23.8</t>
        </is>
      </c>
      <c r="E38" s="97" t="n">
        <v>105</v>
      </c>
      <c r="F38" s="97" t="inlineStr">
        <is>
          <t>Risiko Lebih</t>
        </is>
      </c>
      <c r="G38" s="97" t="inlineStr">
        <is>
          <t>Normal</t>
        </is>
      </c>
      <c r="H38" s="97" t="inlineStr">
        <is>
          <t>Obesitas</t>
        </is>
      </c>
      <c r="I38" s="98" t="inlineStr">
        <is>
          <t>Ya</t>
        </is>
      </c>
      <c r="J38" s="98">
        <f>IF(G38="Normal","Tidak",IF(G38="Pendek","Potensi Stunting",IF(G38="Sangat Pendek","Stunting","")))</f>
        <v/>
      </c>
    </row>
    <row r="39" ht="15.75" customHeight="1" s="95">
      <c r="A39" s="97" t="inlineStr">
        <is>
          <t>anonymus0038</t>
        </is>
      </c>
      <c r="B39" s="97" t="inlineStr">
        <is>
          <t xml:space="preserve">P </t>
        </is>
      </c>
      <c r="C39" s="97" t="inlineStr">
        <is>
          <t>1-34 Bulan</t>
        </is>
      </c>
      <c r="D39" s="97" t="inlineStr">
        <is>
          <t>12.5</t>
        </is>
      </c>
      <c r="E39" s="97" t="n">
        <v>91</v>
      </c>
      <c r="F39" s="97" t="inlineStr">
        <is>
          <t>Berat Badan Normal</t>
        </is>
      </c>
      <c r="G39" s="97" t="inlineStr">
        <is>
          <t>Normal</t>
        </is>
      </c>
      <c r="H39" s="97" t="inlineStr">
        <is>
          <t>Gizi Baik</t>
        </is>
      </c>
      <c r="I39" s="98" t="inlineStr">
        <is>
          <t>Ya</t>
        </is>
      </c>
      <c r="J39" s="98">
        <f>IF(G39="Normal","Tidak",IF(G39="Pendek","Potensi Stunting",IF(G39="Sangat Pendek","Stunting","")))</f>
        <v/>
      </c>
    </row>
    <row r="40" ht="15.75" customHeight="1" s="95">
      <c r="A40" s="97" t="inlineStr">
        <is>
          <t>anonymus0039</t>
        </is>
      </c>
      <c r="B40" s="97" t="inlineStr">
        <is>
          <t>P</t>
        </is>
      </c>
      <c r="C40" s="97" t="inlineStr">
        <is>
          <t>1-34 Bulan</t>
        </is>
      </c>
      <c r="D40" s="97" t="n">
        <v>6.6</v>
      </c>
      <c r="E40" s="97" t="n">
        <v>71</v>
      </c>
      <c r="F40" s="97" t="inlineStr">
        <is>
          <t>Kurang</t>
        </is>
      </c>
      <c r="G40" s="97" t="inlineStr">
        <is>
          <t>Normal</t>
        </is>
      </c>
      <c r="H40" s="97" t="inlineStr">
        <is>
          <t>Gizi Kurang</t>
        </is>
      </c>
      <c r="I40" s="98" t="inlineStr">
        <is>
          <t>Ya</t>
        </is>
      </c>
      <c r="J40" s="98">
        <f>IF(G40="Normal","Tidak",IF(G40="Pendek","Potensi Stunting",IF(G40="Sangat Pendek","Stunting","")))</f>
        <v/>
      </c>
    </row>
    <row r="41" ht="15.75" customHeight="1" s="95">
      <c r="A41" s="97" t="inlineStr">
        <is>
          <t>anonymus0040</t>
        </is>
      </c>
      <c r="B41" s="97" t="inlineStr">
        <is>
          <t>P</t>
        </is>
      </c>
      <c r="C41" s="97" t="inlineStr">
        <is>
          <t>35-69 Bulan</t>
        </is>
      </c>
      <c r="D41" s="97" t="n">
        <v>12.8</v>
      </c>
      <c r="E41" s="97" t="n">
        <v>111</v>
      </c>
      <c r="F41" s="97" t="inlineStr">
        <is>
          <t>Berat Badan Normal</t>
        </is>
      </c>
      <c r="G41" s="97" t="inlineStr">
        <is>
          <t>Normal</t>
        </is>
      </c>
      <c r="H41" s="97" t="inlineStr">
        <is>
          <t>Gizi Baik</t>
        </is>
      </c>
      <c r="I41" s="98" t="inlineStr">
        <is>
          <t>Ya</t>
        </is>
      </c>
      <c r="J41" s="98">
        <f>IF(G41="Normal","Tidak",IF(G41="Pendek","Potensi Stunting",IF(G41="Sangat Pendek","Stunting","")))</f>
        <v/>
      </c>
    </row>
    <row r="42" ht="15.75" customHeight="1" s="95">
      <c r="A42" s="97" t="inlineStr">
        <is>
          <t>anonymus0041</t>
        </is>
      </c>
      <c r="B42" s="97" t="inlineStr">
        <is>
          <t xml:space="preserve">L </t>
        </is>
      </c>
      <c r="C42" s="97" t="inlineStr">
        <is>
          <t>35-69 Bulan</t>
        </is>
      </c>
      <c r="D42" s="97" t="inlineStr">
        <is>
          <t>18.3</t>
        </is>
      </c>
      <c r="E42" s="97" t="n">
        <v>110</v>
      </c>
      <c r="F42" s="97" t="inlineStr">
        <is>
          <t>Berat Badan Normal</t>
        </is>
      </c>
      <c r="G42" s="97" t="inlineStr">
        <is>
          <t>Normal</t>
        </is>
      </c>
      <c r="H42" s="97" t="inlineStr">
        <is>
          <t>Gizi Baik</t>
        </is>
      </c>
      <c r="I42" s="98" t="inlineStr">
        <is>
          <t>Ya</t>
        </is>
      </c>
      <c r="J42" s="98">
        <f>IF(G42="Normal","Tidak",IF(G42="Pendek","Potensi Stunting",IF(G42="Sangat Pendek","Stunting","")))</f>
        <v/>
      </c>
    </row>
    <row r="43" ht="15.75" customHeight="1" s="95">
      <c r="A43" s="97" t="inlineStr">
        <is>
          <t>anonymus0042</t>
        </is>
      </c>
      <c r="B43" s="97" t="inlineStr">
        <is>
          <t xml:space="preserve">L </t>
        </is>
      </c>
      <c r="C43" s="97" t="inlineStr">
        <is>
          <t>35-69 Bulan</t>
        </is>
      </c>
      <c r="D43" s="97" t="inlineStr">
        <is>
          <t>16.5</t>
        </is>
      </c>
      <c r="E43" s="97" t="n">
        <v>100</v>
      </c>
      <c r="F43" s="97" t="inlineStr">
        <is>
          <t>Berat Badan Normal</t>
        </is>
      </c>
      <c r="G43" s="97" t="inlineStr">
        <is>
          <t>Normal</t>
        </is>
      </c>
      <c r="H43" s="97" t="inlineStr">
        <is>
          <t>Gizi Baik</t>
        </is>
      </c>
      <c r="I43" s="98" t="inlineStr">
        <is>
          <t>Ya</t>
        </is>
      </c>
      <c r="J43" s="98">
        <f>IF(G43="Normal","Tidak",IF(G43="Pendek","Potensi Stunting",IF(G43="Sangat Pendek","Stunting","")))</f>
        <v/>
      </c>
    </row>
    <row r="44" ht="15.75" customHeight="1" s="95">
      <c r="A44" s="97" t="inlineStr">
        <is>
          <t>anonymus0043</t>
        </is>
      </c>
      <c r="B44" s="97" t="inlineStr">
        <is>
          <t>L</t>
        </is>
      </c>
      <c r="C44" s="97" t="inlineStr">
        <is>
          <t>1-34 Bulan</t>
        </is>
      </c>
      <c r="D44" s="97" t="n">
        <v>10.2</v>
      </c>
      <c r="E44" s="97" t="n">
        <v>87</v>
      </c>
      <c r="F44" s="97" t="inlineStr">
        <is>
          <t>Normal</t>
        </is>
      </c>
      <c r="G44" s="97" t="inlineStr">
        <is>
          <t>Normal</t>
        </is>
      </c>
      <c r="H44" s="97" t="inlineStr">
        <is>
          <t>Gizi Kurang</t>
        </is>
      </c>
      <c r="I44" s="98" t="inlineStr">
        <is>
          <t>Ya</t>
        </is>
      </c>
      <c r="J44" s="98">
        <f>IF(G44="Normal","Tidak",IF(G44="Pendek","Potensi Stunting",IF(G44="Sangat Pendek","Stunting","")))</f>
        <v/>
      </c>
    </row>
    <row r="45" ht="15.75" customHeight="1" s="95">
      <c r="A45" s="97" t="inlineStr">
        <is>
          <t>anonymus0044</t>
        </is>
      </c>
      <c r="B45" s="97" t="inlineStr">
        <is>
          <t xml:space="preserve">L </t>
        </is>
      </c>
      <c r="C45" s="97" t="inlineStr">
        <is>
          <t>35-69 Bulan</t>
        </is>
      </c>
      <c r="D45" s="97" t="n">
        <v>13</v>
      </c>
      <c r="E45" s="97" t="n">
        <v>96</v>
      </c>
      <c r="F45" s="97" t="inlineStr">
        <is>
          <t>Berat Badan Normal</t>
        </is>
      </c>
      <c r="G45" s="97" t="inlineStr">
        <is>
          <t>Normal</t>
        </is>
      </c>
      <c r="H45" s="97" t="inlineStr">
        <is>
          <t>Gizi Baik</t>
        </is>
      </c>
      <c r="I45" s="98" t="inlineStr">
        <is>
          <t>Ya</t>
        </is>
      </c>
      <c r="J45" s="98">
        <f>IF(G45="Normal","Tidak",IF(G45="Pendek","Potensi Stunting",IF(G45="Sangat Pendek","Stunting","")))</f>
        <v/>
      </c>
    </row>
    <row r="46" ht="15.75" customHeight="1" s="95">
      <c r="A46" s="97" t="inlineStr">
        <is>
          <t>anonymus0045</t>
        </is>
      </c>
      <c r="B46" s="97" t="inlineStr">
        <is>
          <t>P</t>
        </is>
      </c>
      <c r="C46" s="97" t="inlineStr">
        <is>
          <t>1-34 Bulan</t>
        </is>
      </c>
      <c r="D46" s="97" t="n">
        <v>11.5</v>
      </c>
      <c r="E46" s="97" t="n">
        <v>100</v>
      </c>
      <c r="F46" s="97" t="inlineStr">
        <is>
          <t>Berat Badan Normal</t>
        </is>
      </c>
      <c r="G46" s="97" t="inlineStr">
        <is>
          <t>Normal</t>
        </is>
      </c>
      <c r="H46" s="97" t="inlineStr">
        <is>
          <t>Gizi Baik</t>
        </is>
      </c>
      <c r="I46" s="98" t="inlineStr">
        <is>
          <t>Ya</t>
        </is>
      </c>
      <c r="J46" s="98">
        <f>IF(G46="Normal","Tidak",IF(G46="Pendek","Potensi Stunting",IF(G46="Sangat Pendek","Stunting","")))</f>
        <v/>
      </c>
    </row>
    <row r="47" ht="15.75" customHeight="1" s="95">
      <c r="A47" s="97" t="inlineStr">
        <is>
          <t>anonymus0046</t>
        </is>
      </c>
      <c r="B47" s="97" t="inlineStr">
        <is>
          <t>P</t>
        </is>
      </c>
      <c r="C47" s="97" t="inlineStr">
        <is>
          <t>1-34 Bulan</t>
        </is>
      </c>
      <c r="D47" s="97" t="n">
        <v>8.199999999999999</v>
      </c>
      <c r="E47" s="97" t="n">
        <v>70</v>
      </c>
      <c r="F47" s="97" t="inlineStr">
        <is>
          <t>Kurang</t>
        </is>
      </c>
      <c r="G47" s="97" t="inlineStr">
        <is>
          <t>Normal</t>
        </is>
      </c>
      <c r="H47" s="97" t="inlineStr">
        <is>
          <t>Gizi Kurang</t>
        </is>
      </c>
      <c r="I47" s="98" t="inlineStr">
        <is>
          <t>Ya</t>
        </is>
      </c>
      <c r="J47" s="98">
        <f>IF(G47="Normal","Tidak",IF(G47="Pendek","Potensi Stunting",IF(G47="Sangat Pendek","Stunting","")))</f>
        <v/>
      </c>
    </row>
    <row r="48" ht="15.75" customHeight="1" s="95">
      <c r="A48" s="97" t="inlineStr">
        <is>
          <t>anonymus0047</t>
        </is>
      </c>
      <c r="B48" s="97" t="inlineStr">
        <is>
          <t>P</t>
        </is>
      </c>
      <c r="C48" s="97" t="inlineStr">
        <is>
          <t>35-69 Bulan</t>
        </is>
      </c>
      <c r="D48" s="97" t="n">
        <v>18.1</v>
      </c>
      <c r="E48" s="97" t="n">
        <v>91</v>
      </c>
      <c r="F48" s="97" t="inlineStr">
        <is>
          <t>Risiko Lebih</t>
        </is>
      </c>
      <c r="G48" s="97" t="inlineStr">
        <is>
          <t>Normal</t>
        </is>
      </c>
      <c r="H48" s="97" t="inlineStr">
        <is>
          <t>Gizi Lebih</t>
        </is>
      </c>
      <c r="I48" s="98" t="inlineStr">
        <is>
          <t>Ya</t>
        </is>
      </c>
      <c r="J48" s="98">
        <f>IF(G48="Normal","Tidak",IF(G48="Pendek","Potensi Stunting",IF(G48="Sangat Pendek","Stunting","")))</f>
        <v/>
      </c>
    </row>
    <row r="49" ht="15.75" customHeight="1" s="95">
      <c r="A49" s="97" t="inlineStr">
        <is>
          <t>anonymus0048</t>
        </is>
      </c>
      <c r="B49" s="97" t="inlineStr">
        <is>
          <t xml:space="preserve">P </t>
        </is>
      </c>
      <c r="C49" s="97" t="inlineStr">
        <is>
          <t>35-69 Bulan</t>
        </is>
      </c>
      <c r="D49" s="97" t="n">
        <v>10</v>
      </c>
      <c r="E49" s="97" t="n">
        <v>87</v>
      </c>
      <c r="F49" s="97" t="inlineStr">
        <is>
          <t>Sangat Kurang</t>
        </is>
      </c>
      <c r="G49" s="97" t="inlineStr">
        <is>
          <t>Pendek</t>
        </is>
      </c>
      <c r="H49" s="97" t="inlineStr">
        <is>
          <t>Gizi Kurang</t>
        </is>
      </c>
      <c r="I49" s="98" t="inlineStr">
        <is>
          <t>Ya</t>
        </is>
      </c>
      <c r="J49" s="98">
        <f>IF(G49="Normal","Tidak",IF(G49="Pendek","Potensi Stunting",IF(G49="Sangat Pendek","Stunting","")))</f>
        <v/>
      </c>
    </row>
    <row r="50" ht="15.75" customHeight="1" s="95">
      <c r="A50" s="97" t="inlineStr">
        <is>
          <t>anonymus0049</t>
        </is>
      </c>
      <c r="B50" s="97" t="inlineStr">
        <is>
          <t>P</t>
        </is>
      </c>
      <c r="C50" s="97" t="inlineStr">
        <is>
          <t>1-34 Bulan</t>
        </is>
      </c>
      <c r="D50" s="97" t="n">
        <v>7</v>
      </c>
      <c r="E50" s="97" t="n">
        <v>78</v>
      </c>
      <c r="F50" s="97" t="inlineStr">
        <is>
          <t>Kurang</t>
        </is>
      </c>
      <c r="G50" s="97" t="inlineStr">
        <is>
          <t>Normal</t>
        </is>
      </c>
      <c r="H50" s="97" t="inlineStr">
        <is>
          <t>Gizi Kurang</t>
        </is>
      </c>
      <c r="I50" s="98" t="inlineStr">
        <is>
          <t>Ya</t>
        </is>
      </c>
      <c r="J50" s="98">
        <f>IF(G50="Normal","Tidak",IF(G50="Pendek","Potensi Stunting",IF(G50="Sangat Pendek","Stunting","")))</f>
        <v/>
      </c>
    </row>
    <row r="51" ht="15.75" customHeight="1" s="95">
      <c r="A51" s="97" t="inlineStr">
        <is>
          <t>anonymus0050</t>
        </is>
      </c>
      <c r="B51" s="97" t="inlineStr">
        <is>
          <t>L</t>
        </is>
      </c>
      <c r="C51" s="97" t="inlineStr">
        <is>
          <t>1-34 Bulan</t>
        </is>
      </c>
      <c r="D51" s="97" t="n">
        <v>8.300000000000001</v>
      </c>
      <c r="E51" s="97" t="n">
        <v>77</v>
      </c>
      <c r="F51" s="97" t="inlineStr">
        <is>
          <t>Kurang</t>
        </is>
      </c>
      <c r="G51" s="97" t="inlineStr">
        <is>
          <t>Pendek</t>
        </is>
      </c>
      <c r="H51" s="97" t="inlineStr">
        <is>
          <t>Gizi Kurang</t>
        </is>
      </c>
      <c r="I51" s="98" t="inlineStr">
        <is>
          <t>Ya</t>
        </is>
      </c>
      <c r="J51" s="98">
        <f>IF(G51="Normal","Tidak",IF(G51="Pendek","Potensi Stunting",IF(G51="Sangat Pendek","Stunting","")))</f>
        <v/>
      </c>
    </row>
    <row r="52" ht="15.75" customHeight="1" s="95">
      <c r="A52" s="97" t="inlineStr">
        <is>
          <t>anonymus0051</t>
        </is>
      </c>
      <c r="B52" s="97" t="inlineStr">
        <is>
          <t>L</t>
        </is>
      </c>
      <c r="C52" s="97" t="inlineStr">
        <is>
          <t>1-34 Bulan</t>
        </is>
      </c>
      <c r="D52" s="97" t="n">
        <v>6.1</v>
      </c>
      <c r="E52" s="97" t="n">
        <v>96</v>
      </c>
      <c r="F52" s="97" t="inlineStr">
        <is>
          <t>Kurang</t>
        </is>
      </c>
      <c r="G52" s="97" t="inlineStr">
        <is>
          <t>Normal</t>
        </is>
      </c>
      <c r="H52" s="97" t="inlineStr">
        <is>
          <t>Gizi Kurang</t>
        </is>
      </c>
      <c r="I52" s="98" t="inlineStr">
        <is>
          <t>Ya</t>
        </is>
      </c>
      <c r="J52" s="98">
        <f>IF(G52="Normal","Tidak",IF(G52="Pendek","Potensi Stunting",IF(G52="Sangat Pendek","Stunting","")))</f>
        <v/>
      </c>
    </row>
    <row r="53" ht="15.75" customHeight="1" s="95">
      <c r="A53" s="97" t="inlineStr">
        <is>
          <t>anonymus0052</t>
        </is>
      </c>
      <c r="B53" s="97" t="inlineStr">
        <is>
          <t>L</t>
        </is>
      </c>
      <c r="C53" s="97" t="inlineStr">
        <is>
          <t>35-69 Bulan</t>
        </is>
      </c>
      <c r="D53" s="97" t="n">
        <v>6.7</v>
      </c>
      <c r="E53" s="97" t="n">
        <v>65</v>
      </c>
      <c r="F53" s="97" t="inlineStr">
        <is>
          <t>Sangat Kurang</t>
        </is>
      </c>
      <c r="G53" s="97" t="inlineStr">
        <is>
          <t>Sangat Pendek</t>
        </is>
      </c>
      <c r="H53" s="97" t="inlineStr">
        <is>
          <t>Gizi Baik</t>
        </is>
      </c>
      <c r="I53" s="98" t="inlineStr">
        <is>
          <t>Ya</t>
        </is>
      </c>
      <c r="J53" s="98">
        <f>IF(G53="Normal","Tidak",IF(G53="Pendek","Potensi Stunting",IF(G53="Sangat Pendek","Stunting","")))</f>
        <v/>
      </c>
    </row>
    <row r="54" ht="15.75" customHeight="1" s="95">
      <c r="A54" s="97" t="inlineStr">
        <is>
          <t>anonymus0053</t>
        </is>
      </c>
      <c r="B54" s="97" t="inlineStr">
        <is>
          <t xml:space="preserve">P </t>
        </is>
      </c>
      <c r="C54" s="97" t="inlineStr">
        <is>
          <t>1-34 Bulan</t>
        </is>
      </c>
      <c r="D54" s="97" t="inlineStr">
        <is>
          <t>7.6</t>
        </is>
      </c>
      <c r="E54" s="97" t="n">
        <v>72</v>
      </c>
      <c r="F54" s="97" t="inlineStr">
        <is>
          <t>Kurang</t>
        </is>
      </c>
      <c r="G54" s="97" t="inlineStr">
        <is>
          <t>Pendek</t>
        </is>
      </c>
      <c r="H54" s="97" t="inlineStr">
        <is>
          <t>Gizi Baik</t>
        </is>
      </c>
      <c r="I54" s="98" t="inlineStr">
        <is>
          <t>Ya</t>
        </is>
      </c>
      <c r="J54" s="98">
        <f>IF(G54="Normal","Tidak",IF(G54="Pendek","Potensi Stunting",IF(G54="Sangat Pendek","Stunting","")))</f>
        <v/>
      </c>
    </row>
    <row r="55" ht="15.75" customHeight="1" s="95">
      <c r="A55" s="97" t="inlineStr">
        <is>
          <t>anonymus0054</t>
        </is>
      </c>
      <c r="B55" s="97" t="inlineStr">
        <is>
          <t xml:space="preserve">P </t>
        </is>
      </c>
      <c r="C55" s="97" t="inlineStr">
        <is>
          <t>1-34 Bulan</t>
        </is>
      </c>
      <c r="D55" s="97" t="inlineStr">
        <is>
          <t>8.6</t>
        </is>
      </c>
      <c r="E55" s="97" t="n">
        <v>73</v>
      </c>
      <c r="F55" s="97" t="inlineStr">
        <is>
          <t>Berat Badan Normal</t>
        </is>
      </c>
      <c r="G55" s="97" t="inlineStr">
        <is>
          <t>Normal</t>
        </is>
      </c>
      <c r="H55" s="97" t="inlineStr">
        <is>
          <t>Gizi Baik</t>
        </is>
      </c>
      <c r="I55" s="98" t="inlineStr">
        <is>
          <t>Ya</t>
        </is>
      </c>
      <c r="J55" s="98">
        <f>IF(G55="Normal","Tidak",IF(G55="Pendek","Potensi Stunting",IF(G55="Sangat Pendek","Stunting","")))</f>
        <v/>
      </c>
    </row>
    <row r="56" ht="15.75" customHeight="1" s="95">
      <c r="A56" s="97" t="inlineStr">
        <is>
          <t>anonymus0055</t>
        </is>
      </c>
      <c r="B56" s="97" t="inlineStr">
        <is>
          <t>P</t>
        </is>
      </c>
      <c r="C56" s="97" t="inlineStr">
        <is>
          <t>35-69 Bulan</t>
        </is>
      </c>
      <c r="D56" s="97" t="n">
        <v>7.7</v>
      </c>
      <c r="E56" s="97" t="n">
        <v>76</v>
      </c>
      <c r="F56" s="97" t="inlineStr">
        <is>
          <t>Sangat Kurang</t>
        </is>
      </c>
      <c r="G56" s="97" t="inlineStr">
        <is>
          <t>Sangat Pendek</t>
        </is>
      </c>
      <c r="H56" s="97" t="inlineStr">
        <is>
          <t>Gizi Kurang</t>
        </is>
      </c>
      <c r="I56" s="98" t="inlineStr">
        <is>
          <t>Ya</t>
        </is>
      </c>
      <c r="J56" s="98">
        <f>IF(G56="Normal","Tidak",IF(G56="Pendek","Potensi Stunting",IF(G56="Sangat Pendek","Stunting","")))</f>
        <v/>
      </c>
    </row>
    <row r="57" ht="15.75" customHeight="1" s="95">
      <c r="A57" s="97" t="inlineStr">
        <is>
          <t>anonymus0056</t>
        </is>
      </c>
      <c r="B57" s="97" t="inlineStr">
        <is>
          <t>L</t>
        </is>
      </c>
      <c r="C57" s="97" t="inlineStr">
        <is>
          <t>1-34 Bulan</t>
        </is>
      </c>
      <c r="D57" s="97" t="n">
        <v>7.6</v>
      </c>
      <c r="E57" s="97" t="n">
        <v>76</v>
      </c>
      <c r="F57" s="97" t="inlineStr">
        <is>
          <t>Kurang</t>
        </is>
      </c>
      <c r="G57" s="97" t="inlineStr">
        <is>
          <t>Normal</t>
        </is>
      </c>
      <c r="H57" s="97" t="inlineStr">
        <is>
          <t>Gizi Kurang</t>
        </is>
      </c>
      <c r="I57" s="98" t="inlineStr">
        <is>
          <t>Ya</t>
        </is>
      </c>
      <c r="J57" s="98">
        <f>IF(G57="Normal","Tidak",IF(G57="Pendek","Potensi Stunting",IF(G57="Sangat Pendek","Stunting","")))</f>
        <v/>
      </c>
    </row>
    <row r="58" ht="15.75" customHeight="1" s="95">
      <c r="A58" s="97" t="inlineStr">
        <is>
          <t>anonymus0057</t>
        </is>
      </c>
      <c r="B58" s="97" t="inlineStr">
        <is>
          <t>L</t>
        </is>
      </c>
      <c r="C58" s="97" t="inlineStr">
        <is>
          <t>1-34 Bulan</t>
        </is>
      </c>
      <c r="D58" s="97" t="n">
        <v>11.1</v>
      </c>
      <c r="E58" s="97" t="n">
        <v>91</v>
      </c>
      <c r="F58" s="97" t="inlineStr">
        <is>
          <t>Normal</t>
        </is>
      </c>
      <c r="G58" s="97" t="inlineStr">
        <is>
          <t>Normal</t>
        </is>
      </c>
      <c r="H58" s="97" t="inlineStr">
        <is>
          <t>Gizi Kurang</t>
        </is>
      </c>
      <c r="I58" s="98" t="inlineStr">
        <is>
          <t>Ya</t>
        </is>
      </c>
      <c r="J58" s="98">
        <f>IF(G58="Normal","Tidak",IF(G58="Pendek","Potensi Stunting",IF(G58="Sangat Pendek","Stunting","")))</f>
        <v/>
      </c>
    </row>
    <row r="59" ht="15.75" customHeight="1" s="95">
      <c r="A59" s="97" t="inlineStr">
        <is>
          <t>anonymus0058</t>
        </is>
      </c>
      <c r="B59" s="97" t="inlineStr">
        <is>
          <t>P</t>
        </is>
      </c>
      <c r="C59" s="97" t="inlineStr">
        <is>
          <t>35-69 Bulan</t>
        </is>
      </c>
      <c r="D59" s="97" t="n">
        <v>16.3</v>
      </c>
      <c r="E59" s="97" t="n">
        <v>105</v>
      </c>
      <c r="F59" s="97" t="inlineStr">
        <is>
          <t>Berat Badan Normal</t>
        </is>
      </c>
      <c r="G59" s="97" t="inlineStr">
        <is>
          <t>Normal</t>
        </is>
      </c>
      <c r="H59" s="97" t="inlineStr">
        <is>
          <t>Gizi Baik</t>
        </is>
      </c>
      <c r="I59" s="98" t="inlineStr">
        <is>
          <t>Ya</t>
        </is>
      </c>
      <c r="J59" s="98">
        <f>IF(G59="Normal","Tidak",IF(G59="Pendek","Potensi Stunting",IF(G59="Sangat Pendek","Stunting","")))</f>
        <v/>
      </c>
    </row>
    <row r="60" ht="15.75" customHeight="1" s="95">
      <c r="A60" s="97" t="inlineStr">
        <is>
          <t>anonymus0059</t>
        </is>
      </c>
      <c r="B60" s="97" t="inlineStr">
        <is>
          <t xml:space="preserve">L </t>
        </is>
      </c>
      <c r="C60" s="97" t="inlineStr">
        <is>
          <t>1-34 Bulan</t>
        </is>
      </c>
      <c r="D60" s="97" t="inlineStr">
        <is>
          <t>9.6</t>
        </is>
      </c>
      <c r="E60" s="97" t="n">
        <v>75</v>
      </c>
      <c r="F60" s="97" t="inlineStr">
        <is>
          <t>Kurang</t>
        </is>
      </c>
      <c r="G60" s="97" t="inlineStr">
        <is>
          <t>Sangat Pendek</t>
        </is>
      </c>
      <c r="H60" s="97" t="inlineStr">
        <is>
          <t>Gizi Baik</t>
        </is>
      </c>
      <c r="I60" s="98" t="inlineStr">
        <is>
          <t>Ya</t>
        </is>
      </c>
      <c r="J60" s="98">
        <f>IF(G60="Normal","Tidak",IF(G60="Pendek","Potensi Stunting",IF(G60="Sangat Pendek","Stunting","")))</f>
        <v/>
      </c>
    </row>
    <row r="61" ht="15.75" customHeight="1" s="95">
      <c r="A61" s="97" t="inlineStr">
        <is>
          <t>anonymus0060</t>
        </is>
      </c>
      <c r="B61" s="97" t="inlineStr">
        <is>
          <t>L</t>
        </is>
      </c>
      <c r="C61" s="97" t="inlineStr">
        <is>
          <t>1-34 Bulan</t>
        </is>
      </c>
      <c r="D61" s="97" t="n">
        <v>9.5</v>
      </c>
      <c r="E61" s="97" t="n">
        <v>72</v>
      </c>
      <c r="F61" s="97" t="inlineStr">
        <is>
          <t>Berat Badan Normal</t>
        </is>
      </c>
      <c r="G61" s="97" t="inlineStr">
        <is>
          <t>Normal</t>
        </is>
      </c>
      <c r="H61" s="97" t="inlineStr">
        <is>
          <t>Gizi Baik</t>
        </is>
      </c>
      <c r="I61" s="98" t="inlineStr">
        <is>
          <t>Ya</t>
        </is>
      </c>
      <c r="J61" s="98">
        <f>IF(G61="Normal","Tidak",IF(G61="Pendek","Potensi Stunting",IF(G61="Sangat Pendek","Stunting","")))</f>
        <v/>
      </c>
    </row>
    <row r="62" ht="15.75" customHeight="1" s="95">
      <c r="A62" s="97" t="inlineStr">
        <is>
          <t>anonymus0061</t>
        </is>
      </c>
      <c r="B62" s="97" t="inlineStr">
        <is>
          <t>L</t>
        </is>
      </c>
      <c r="C62" s="97" t="inlineStr">
        <is>
          <t>1-34 Bulan</t>
        </is>
      </c>
      <c r="D62" s="97" t="n">
        <v>6.2</v>
      </c>
      <c r="E62" s="97" t="n">
        <v>97</v>
      </c>
      <c r="F62" s="97" t="inlineStr">
        <is>
          <t>Kurang</t>
        </is>
      </c>
      <c r="G62" s="97" t="inlineStr">
        <is>
          <t>Normal</t>
        </is>
      </c>
      <c r="H62" s="97" t="inlineStr">
        <is>
          <t>Gizi Kurang</t>
        </is>
      </c>
      <c r="I62" s="98" t="inlineStr">
        <is>
          <t>Ya</t>
        </is>
      </c>
      <c r="J62" s="98">
        <f>IF(G62="Normal","Tidak",IF(G62="Pendek","Potensi Stunting",IF(G62="Sangat Pendek","Stunting","")))</f>
        <v/>
      </c>
    </row>
    <row r="63" ht="15.75" customHeight="1" s="95">
      <c r="A63" s="97" t="inlineStr">
        <is>
          <t>anonymus0062</t>
        </is>
      </c>
      <c r="B63" s="97" t="inlineStr">
        <is>
          <t>L</t>
        </is>
      </c>
      <c r="C63" s="97" t="inlineStr">
        <is>
          <t>35-69 Bulan</t>
        </is>
      </c>
      <c r="D63" s="97" t="n">
        <v>14.4</v>
      </c>
      <c r="E63" s="97" t="n">
        <v>100</v>
      </c>
      <c r="F63" s="97" t="inlineStr">
        <is>
          <t>Berat Badan Normal</t>
        </is>
      </c>
      <c r="G63" s="97" t="inlineStr">
        <is>
          <t>Normal</t>
        </is>
      </c>
      <c r="H63" s="97" t="inlineStr">
        <is>
          <t>Gizi Baik</t>
        </is>
      </c>
      <c r="I63" s="98" t="inlineStr">
        <is>
          <t>Ya</t>
        </is>
      </c>
      <c r="J63" s="98">
        <f>IF(G63="Normal","Tidak",IF(G63="Pendek","Potensi Stunting",IF(G63="Sangat Pendek","Stunting","")))</f>
        <v/>
      </c>
    </row>
    <row r="64" ht="15.75" customHeight="1" s="95">
      <c r="A64" s="97" t="inlineStr">
        <is>
          <t>anonymus0063</t>
        </is>
      </c>
      <c r="B64" s="97" t="inlineStr">
        <is>
          <t xml:space="preserve">P </t>
        </is>
      </c>
      <c r="C64" s="97" t="inlineStr">
        <is>
          <t>1-34 Bulan</t>
        </is>
      </c>
      <c r="D64" s="97" t="inlineStr">
        <is>
          <t>7.1</t>
        </is>
      </c>
      <c r="E64" s="97" t="n">
        <v>76</v>
      </c>
      <c r="F64" s="97" t="inlineStr">
        <is>
          <t>Sangat Kurang</t>
        </is>
      </c>
      <c r="G64" s="97" t="inlineStr">
        <is>
          <t>Pendek</t>
        </is>
      </c>
      <c r="H64" s="97" t="inlineStr">
        <is>
          <t>Gizi Kurang</t>
        </is>
      </c>
      <c r="I64" s="98" t="inlineStr">
        <is>
          <t>Ya</t>
        </is>
      </c>
      <c r="J64" s="98">
        <f>IF(G64="Normal","Tidak",IF(G64="Pendek","Potensi Stunting",IF(G64="Sangat Pendek","Stunting","")))</f>
        <v/>
      </c>
    </row>
    <row r="65" ht="15.75" customHeight="1" s="95">
      <c r="A65" s="97" t="inlineStr">
        <is>
          <t>anonymus0064</t>
        </is>
      </c>
      <c r="B65" s="97" t="inlineStr">
        <is>
          <t>L</t>
        </is>
      </c>
      <c r="C65" s="97" t="inlineStr">
        <is>
          <t>1-34 Bulan</t>
        </is>
      </c>
      <c r="D65" s="97" t="n">
        <v>14.7</v>
      </c>
      <c r="E65" s="97" t="n">
        <v>90</v>
      </c>
      <c r="F65" s="97" t="inlineStr">
        <is>
          <t>Berat Badan Normal</t>
        </is>
      </c>
      <c r="G65" s="97" t="inlineStr">
        <is>
          <t>Normal</t>
        </is>
      </c>
      <c r="H65" s="97" t="inlineStr">
        <is>
          <t>Gizi Baik</t>
        </is>
      </c>
      <c r="I65" s="98" t="inlineStr">
        <is>
          <t>Ya</t>
        </is>
      </c>
      <c r="J65" s="98">
        <f>IF(G65="Normal","Tidak",IF(G65="Pendek","Potensi Stunting",IF(G65="Sangat Pendek","Stunting","")))</f>
        <v/>
      </c>
    </row>
    <row r="66" ht="15.75" customHeight="1" s="95">
      <c r="A66" s="97" t="inlineStr">
        <is>
          <t>anonymus0065</t>
        </is>
      </c>
      <c r="B66" s="97" t="inlineStr">
        <is>
          <t xml:space="preserve">L </t>
        </is>
      </c>
      <c r="C66" s="97" t="inlineStr">
        <is>
          <t>35-69 Bulan</t>
        </is>
      </c>
      <c r="D66" s="97" t="inlineStr">
        <is>
          <t>14.5</t>
        </is>
      </c>
      <c r="E66" s="97" t="n">
        <v>96</v>
      </c>
      <c r="F66" s="97" t="inlineStr">
        <is>
          <t>Berat Badan Normal</t>
        </is>
      </c>
      <c r="G66" s="97" t="inlineStr">
        <is>
          <t>Normal</t>
        </is>
      </c>
      <c r="H66" s="97" t="inlineStr">
        <is>
          <t>Gizi Baik</t>
        </is>
      </c>
      <c r="I66" s="98" t="inlineStr">
        <is>
          <t>Ya</t>
        </is>
      </c>
      <c r="J66" s="98">
        <f>IF(G66="Normal","Tidak",IF(G66="Pendek","Potensi Stunting",IF(G66="Sangat Pendek","Stunting","")))</f>
        <v/>
      </c>
    </row>
    <row r="67" ht="15.75" customHeight="1" s="95">
      <c r="A67" s="97" t="inlineStr">
        <is>
          <t>anonymus0066</t>
        </is>
      </c>
      <c r="B67" s="97" t="inlineStr">
        <is>
          <t xml:space="preserve">P </t>
        </is>
      </c>
      <c r="C67" s="97" t="inlineStr">
        <is>
          <t>35-69 Bulan</t>
        </is>
      </c>
      <c r="D67" s="97" t="inlineStr">
        <is>
          <t>15.3</t>
        </is>
      </c>
      <c r="E67" s="97" t="n">
        <v>98</v>
      </c>
      <c r="F67" s="97" t="inlineStr">
        <is>
          <t>Berat Badan Normal</t>
        </is>
      </c>
      <c r="G67" s="97" t="inlineStr">
        <is>
          <t>Normal</t>
        </is>
      </c>
      <c r="H67" s="97" t="inlineStr">
        <is>
          <t>Gizi Baik</t>
        </is>
      </c>
      <c r="I67" s="98" t="inlineStr">
        <is>
          <t>Ya</t>
        </is>
      </c>
      <c r="J67" s="98">
        <f>IF(G67="Normal","Tidak",IF(G67="Pendek","Potensi Stunting",IF(G67="Sangat Pendek","Stunting","")))</f>
        <v/>
      </c>
    </row>
    <row r="68" ht="15.75" customHeight="1" s="95">
      <c r="A68" s="97" t="inlineStr">
        <is>
          <t>anonymus0067</t>
        </is>
      </c>
      <c r="B68" s="97" t="inlineStr">
        <is>
          <t>L</t>
        </is>
      </c>
      <c r="C68" s="97" t="inlineStr">
        <is>
          <t>35-69 Bulan</t>
        </is>
      </c>
      <c r="D68" s="97" t="n">
        <v>8.6</v>
      </c>
      <c r="E68" s="97" t="n">
        <v>76.09999999999999</v>
      </c>
      <c r="F68" s="97" t="inlineStr">
        <is>
          <t>Kurang</t>
        </is>
      </c>
      <c r="G68" s="97" t="inlineStr">
        <is>
          <t>Sangat Pendek</t>
        </is>
      </c>
      <c r="H68" s="97" t="inlineStr">
        <is>
          <t>Gizi Baik</t>
        </is>
      </c>
      <c r="I68" s="98" t="inlineStr">
        <is>
          <t>Ya</t>
        </is>
      </c>
      <c r="J68" s="98">
        <f>IF(G68="Normal","Tidak",IF(G68="Pendek","Potensi Stunting",IF(G68="Sangat Pendek","Stunting","")))</f>
        <v/>
      </c>
    </row>
    <row r="69" ht="15.75" customHeight="1" s="95">
      <c r="A69" s="97" t="inlineStr">
        <is>
          <t>anonymus0068</t>
        </is>
      </c>
      <c r="B69" s="97" t="inlineStr">
        <is>
          <t xml:space="preserve">P </t>
        </is>
      </c>
      <c r="C69" s="97" t="inlineStr">
        <is>
          <t>35-69 Bulan</t>
        </is>
      </c>
      <c r="D69" s="97" t="inlineStr">
        <is>
          <t>15.6</t>
        </is>
      </c>
      <c r="E69" s="97" t="n">
        <v>99</v>
      </c>
      <c r="F69" s="97" t="inlineStr">
        <is>
          <t>Berat Badan Normal</t>
        </is>
      </c>
      <c r="G69" s="97" t="inlineStr">
        <is>
          <t>Normal</t>
        </is>
      </c>
      <c r="H69" s="97" t="inlineStr">
        <is>
          <t>Gizi Baik</t>
        </is>
      </c>
      <c r="I69" s="98" t="inlineStr">
        <is>
          <t>Ya</t>
        </is>
      </c>
      <c r="J69" s="98">
        <f>IF(G69="Normal","Tidak",IF(G69="Pendek","Potensi Stunting",IF(G69="Sangat Pendek","Stunting","")))</f>
        <v/>
      </c>
    </row>
    <row r="70" ht="15.75" customHeight="1" s="95">
      <c r="A70" s="97" t="inlineStr">
        <is>
          <t>anonymus0069</t>
        </is>
      </c>
      <c r="B70" s="97" t="inlineStr">
        <is>
          <t>L</t>
        </is>
      </c>
      <c r="C70" s="97" t="inlineStr">
        <is>
          <t>1-34 Bulan</t>
        </is>
      </c>
      <c r="D70" s="97" t="n">
        <v>11.3</v>
      </c>
      <c r="E70" s="97" t="n">
        <v>82</v>
      </c>
      <c r="F70" s="97" t="inlineStr">
        <is>
          <t>Berat Badan Normal</t>
        </is>
      </c>
      <c r="G70" s="97" t="inlineStr">
        <is>
          <t>Normal</t>
        </is>
      </c>
      <c r="H70" s="97" t="inlineStr">
        <is>
          <t>Gizi Baik</t>
        </is>
      </c>
      <c r="I70" s="98" t="inlineStr">
        <is>
          <t>Ya</t>
        </is>
      </c>
      <c r="J70" s="98">
        <f>IF(G70="Normal","Tidak",IF(G70="Pendek","Potensi Stunting",IF(G70="Sangat Pendek","Stunting","")))</f>
        <v/>
      </c>
    </row>
    <row r="71" ht="15.75" customHeight="1" s="95">
      <c r="A71" s="97" t="inlineStr">
        <is>
          <t>anonymus0070</t>
        </is>
      </c>
      <c r="B71" s="97" t="inlineStr">
        <is>
          <t>L</t>
        </is>
      </c>
      <c r="C71" s="97" t="inlineStr">
        <is>
          <t>1-34 Bulan</t>
        </is>
      </c>
      <c r="D71" s="97" t="n">
        <v>14.3</v>
      </c>
      <c r="E71" s="97" t="n">
        <v>89</v>
      </c>
      <c r="F71" s="97" t="inlineStr">
        <is>
          <t>Berat Badan Normal</t>
        </is>
      </c>
      <c r="G71" s="97" t="inlineStr">
        <is>
          <t>Normal</t>
        </is>
      </c>
      <c r="H71" s="97" t="inlineStr">
        <is>
          <t>Gizi Baik</t>
        </is>
      </c>
      <c r="I71" s="98" t="inlineStr">
        <is>
          <t>Ya</t>
        </is>
      </c>
      <c r="J71" s="98">
        <f>IF(G71="Normal","Tidak",IF(G71="Pendek","Potensi Stunting",IF(G71="Sangat Pendek","Stunting","")))</f>
        <v/>
      </c>
    </row>
    <row r="72" ht="15.75" customHeight="1" s="95">
      <c r="A72" s="97" t="inlineStr">
        <is>
          <t>anonymus0071</t>
        </is>
      </c>
      <c r="B72" s="97" t="inlineStr">
        <is>
          <t>L</t>
        </is>
      </c>
      <c r="C72" s="97" t="inlineStr">
        <is>
          <t>35-69 Bulan</t>
        </is>
      </c>
      <c r="D72" s="97" t="n">
        <v>11.8</v>
      </c>
      <c r="E72" s="97" t="n">
        <v>92.5</v>
      </c>
      <c r="F72" s="97" t="inlineStr">
        <is>
          <t>Kurang</t>
        </is>
      </c>
      <c r="G72" s="97" t="inlineStr">
        <is>
          <t>Pendek</t>
        </is>
      </c>
      <c r="H72" s="97" t="inlineStr">
        <is>
          <t>Gizi Baik</t>
        </is>
      </c>
      <c r="I72" s="98" t="inlineStr">
        <is>
          <t>Ya</t>
        </is>
      </c>
      <c r="J72" s="98">
        <f>IF(G72="Normal","Tidak",IF(G72="Pendek","Potensi Stunting",IF(G72="Sangat Pendek","Stunting","")))</f>
        <v/>
      </c>
    </row>
    <row r="73" ht="15.75" customHeight="1" s="95">
      <c r="A73" s="97" t="inlineStr">
        <is>
          <t>anonymus0072</t>
        </is>
      </c>
      <c r="B73" s="97" t="inlineStr">
        <is>
          <t xml:space="preserve">L </t>
        </is>
      </c>
      <c r="C73" s="97" t="inlineStr">
        <is>
          <t>35-69 Bulan</t>
        </is>
      </c>
      <c r="D73" s="97" t="inlineStr">
        <is>
          <t>16.1</t>
        </is>
      </c>
      <c r="E73" s="97" t="n">
        <v>100</v>
      </c>
      <c r="F73" s="97" t="inlineStr">
        <is>
          <t>Berat Badan Normal</t>
        </is>
      </c>
      <c r="G73" s="97" t="inlineStr">
        <is>
          <t>Normal</t>
        </is>
      </c>
      <c r="H73" s="97" t="inlineStr">
        <is>
          <t>Gizi Baik</t>
        </is>
      </c>
      <c r="I73" s="98" t="inlineStr">
        <is>
          <t>Ya</t>
        </is>
      </c>
      <c r="J73" s="98">
        <f>IF(G73="Normal","Tidak",IF(G73="Pendek","Potensi Stunting",IF(G73="Sangat Pendek","Stunting","")))</f>
        <v/>
      </c>
    </row>
    <row r="74" ht="15.75" customHeight="1" s="95">
      <c r="A74" s="97" t="inlineStr">
        <is>
          <t>anonymus0073</t>
        </is>
      </c>
      <c r="B74" s="97" t="inlineStr">
        <is>
          <t>L</t>
        </is>
      </c>
      <c r="C74" s="97" t="inlineStr">
        <is>
          <t>1-34 Bulan</t>
        </is>
      </c>
      <c r="D74" s="97" t="n">
        <v>12.4</v>
      </c>
      <c r="E74" s="97" t="n">
        <v>88</v>
      </c>
      <c r="F74" s="97" t="inlineStr">
        <is>
          <t>Berat Badan Normal</t>
        </is>
      </c>
      <c r="G74" s="97" t="inlineStr">
        <is>
          <t>Normal</t>
        </is>
      </c>
      <c r="H74" s="97" t="inlineStr">
        <is>
          <t>Gizi Baik</t>
        </is>
      </c>
      <c r="I74" s="98" t="inlineStr">
        <is>
          <t>Ya</t>
        </is>
      </c>
      <c r="J74" s="98">
        <f>IF(G74="Normal","Tidak",IF(G74="Pendek","Potensi Stunting",IF(G74="Sangat Pendek","Stunting","")))</f>
        <v/>
      </c>
    </row>
    <row r="75" ht="15.75" customHeight="1" s="95">
      <c r="A75" s="97" t="inlineStr">
        <is>
          <t>anonymus0074</t>
        </is>
      </c>
      <c r="B75" s="97" t="inlineStr">
        <is>
          <t>P</t>
        </is>
      </c>
      <c r="C75" s="97" t="inlineStr">
        <is>
          <t>35-69 Bulan</t>
        </is>
      </c>
      <c r="D75" s="97" t="n">
        <v>13.5</v>
      </c>
      <c r="E75" s="97" t="n">
        <v>120</v>
      </c>
      <c r="F75" s="97" t="inlineStr">
        <is>
          <t>Berat Badan Normal</t>
        </is>
      </c>
      <c r="G75" s="97" t="inlineStr">
        <is>
          <t>Normal</t>
        </is>
      </c>
      <c r="H75" s="97" t="inlineStr">
        <is>
          <t>Gizi Baik</t>
        </is>
      </c>
      <c r="I75" s="98" t="inlineStr">
        <is>
          <t>Ya</t>
        </is>
      </c>
      <c r="J75" s="98">
        <f>IF(G75="Normal","Tidak",IF(G75="Pendek","Potensi Stunting",IF(G75="Sangat Pendek","Stunting","")))</f>
        <v/>
      </c>
    </row>
    <row r="76" ht="15.75" customHeight="1" s="95">
      <c r="A76" s="97" t="inlineStr">
        <is>
          <t>anonymus0075</t>
        </is>
      </c>
      <c r="B76" s="97" t="inlineStr">
        <is>
          <t>P</t>
        </is>
      </c>
      <c r="C76" s="97" t="inlineStr">
        <is>
          <t>35-69 Bulan</t>
        </is>
      </c>
      <c r="D76" s="97" t="n">
        <v>9.300000000000001</v>
      </c>
      <c r="E76" s="97" t="n">
        <v>69.2</v>
      </c>
      <c r="F76" s="97" t="inlineStr">
        <is>
          <t>Normal</t>
        </is>
      </c>
      <c r="G76" s="97" t="inlineStr">
        <is>
          <t>Pendek</t>
        </is>
      </c>
      <c r="H76" s="97" t="inlineStr">
        <is>
          <t>Risiko Gizi Lebih</t>
        </is>
      </c>
      <c r="I76" s="98" t="inlineStr">
        <is>
          <t>Ya</t>
        </is>
      </c>
      <c r="J76" s="98">
        <f>IF(G76="Normal","Tidak",IF(G76="Pendek","Potensi Stunting",IF(G76="Sangat Pendek","Stunting","")))</f>
        <v/>
      </c>
    </row>
    <row r="77" ht="15.75" customHeight="1" s="95">
      <c r="A77" s="97" t="inlineStr">
        <is>
          <t>anonymus0076</t>
        </is>
      </c>
      <c r="B77" s="97" t="inlineStr">
        <is>
          <t>P</t>
        </is>
      </c>
      <c r="C77" s="97" t="inlineStr">
        <is>
          <t>35-69 Bulan</t>
        </is>
      </c>
      <c r="D77" s="97" t="n">
        <v>9.199999999999999</v>
      </c>
      <c r="E77" s="97" t="n">
        <v>79</v>
      </c>
      <c r="F77" s="97" t="inlineStr">
        <is>
          <t>Sangat Kurang</t>
        </is>
      </c>
      <c r="G77" s="97" t="inlineStr">
        <is>
          <t>Sangat Pendek</t>
        </is>
      </c>
      <c r="H77" s="97" t="inlineStr">
        <is>
          <t>Gizi Baik</t>
        </is>
      </c>
      <c r="I77" s="98" t="inlineStr">
        <is>
          <t>Ya</t>
        </is>
      </c>
      <c r="J77" s="98">
        <f>IF(G77="Normal","Tidak",IF(G77="Pendek","Potensi Stunting",IF(G77="Sangat Pendek","Stunting","")))</f>
        <v/>
      </c>
    </row>
    <row r="78" ht="15.75" customHeight="1" s="95">
      <c r="A78" s="97" t="inlineStr">
        <is>
          <t>anonymus0077</t>
        </is>
      </c>
      <c r="B78" s="97" t="inlineStr">
        <is>
          <t>P</t>
        </is>
      </c>
      <c r="C78" s="97" t="inlineStr">
        <is>
          <t>1-34 Bulan</t>
        </is>
      </c>
      <c r="D78" s="97" t="n">
        <v>13.7</v>
      </c>
      <c r="E78" s="97" t="n">
        <v>89</v>
      </c>
      <c r="F78" s="97" t="inlineStr">
        <is>
          <t>Berat Badan Normal</t>
        </is>
      </c>
      <c r="G78" s="97" t="inlineStr">
        <is>
          <t>Normal</t>
        </is>
      </c>
      <c r="H78" s="97" t="inlineStr">
        <is>
          <t>Gizi Baik</t>
        </is>
      </c>
      <c r="I78" s="98" t="inlineStr">
        <is>
          <t>Ya</t>
        </is>
      </c>
      <c r="J78" s="98">
        <f>IF(G78="Normal","Tidak",IF(G78="Pendek","Potensi Stunting",IF(G78="Sangat Pendek","Stunting","")))</f>
        <v/>
      </c>
    </row>
    <row r="79" ht="15.75" customHeight="1" s="95">
      <c r="A79" s="97" t="inlineStr">
        <is>
          <t>anonymus0078</t>
        </is>
      </c>
      <c r="B79" s="97" t="inlineStr">
        <is>
          <t>L</t>
        </is>
      </c>
      <c r="C79" s="97" t="inlineStr">
        <is>
          <t>1-34 Bulan</t>
        </is>
      </c>
      <c r="D79" s="97" t="n">
        <v>9.6</v>
      </c>
      <c r="E79" s="97" t="n">
        <v>75</v>
      </c>
      <c r="F79" s="97" t="inlineStr">
        <is>
          <t>Normal</t>
        </is>
      </c>
      <c r="G79" s="97" t="inlineStr">
        <is>
          <t>Pendek</t>
        </is>
      </c>
      <c r="H79" s="97" t="inlineStr">
        <is>
          <t>Gizi Baik</t>
        </is>
      </c>
      <c r="I79" s="98" t="inlineStr">
        <is>
          <t>Ya</t>
        </is>
      </c>
      <c r="J79" s="98">
        <f>IF(G79="Normal","Tidak",IF(G79="Pendek","Potensi Stunting",IF(G79="Sangat Pendek","Stunting","")))</f>
        <v/>
      </c>
    </row>
    <row r="80" ht="15.75" customHeight="1" s="95">
      <c r="A80" s="97" t="inlineStr">
        <is>
          <t>anonymus0079</t>
        </is>
      </c>
      <c r="B80" s="97" t="inlineStr">
        <is>
          <t xml:space="preserve">P </t>
        </is>
      </c>
      <c r="C80" s="97" t="inlineStr">
        <is>
          <t>35-69 Bulan</t>
        </is>
      </c>
      <c r="D80" s="97" t="inlineStr">
        <is>
          <t>15.6</t>
        </is>
      </c>
      <c r="E80" s="97" t="n">
        <v>99</v>
      </c>
      <c r="F80" s="97" t="inlineStr">
        <is>
          <t>Berat Badan Normal</t>
        </is>
      </c>
      <c r="G80" s="97" t="inlineStr">
        <is>
          <t>Normal</t>
        </is>
      </c>
      <c r="H80" s="97" t="inlineStr">
        <is>
          <t>Gizi Baik</t>
        </is>
      </c>
      <c r="I80" s="98" t="inlineStr">
        <is>
          <t>Ya</t>
        </is>
      </c>
      <c r="J80" s="98">
        <f>IF(G80="Normal","Tidak",IF(G80="Pendek","Potensi Stunting",IF(G80="Sangat Pendek","Stunting","")))</f>
        <v/>
      </c>
    </row>
    <row r="81" ht="15.75" customHeight="1" s="95">
      <c r="A81" s="97" t="inlineStr">
        <is>
          <t>anonymus0080</t>
        </is>
      </c>
      <c r="B81" s="97" t="inlineStr">
        <is>
          <t xml:space="preserve">L </t>
        </is>
      </c>
      <c r="C81" s="97" t="inlineStr">
        <is>
          <t>1-34 Bulan</t>
        </is>
      </c>
      <c r="D81" s="97" t="inlineStr">
        <is>
          <t>12.9</t>
        </is>
      </c>
      <c r="E81" s="97" t="n">
        <v>91</v>
      </c>
      <c r="F81" s="97" t="inlineStr">
        <is>
          <t>Berat Badan Normal</t>
        </is>
      </c>
      <c r="G81" s="97" t="inlineStr">
        <is>
          <t>Normal</t>
        </is>
      </c>
      <c r="H81" s="97" t="inlineStr">
        <is>
          <t>Gizi Baik</t>
        </is>
      </c>
      <c r="I81" s="98" t="inlineStr">
        <is>
          <t>Ya</t>
        </is>
      </c>
      <c r="J81" s="98">
        <f>IF(G81="Normal","Tidak",IF(G81="Pendek","Potensi Stunting",IF(G81="Sangat Pendek","Stunting","")))</f>
        <v/>
      </c>
    </row>
    <row r="82" ht="15.75" customHeight="1" s="95">
      <c r="A82" s="97" t="inlineStr">
        <is>
          <t>anonymus0081</t>
        </is>
      </c>
      <c r="B82" s="97" t="inlineStr">
        <is>
          <t xml:space="preserve">P </t>
        </is>
      </c>
      <c r="C82" s="97" t="inlineStr">
        <is>
          <t>1-34 Bulan</t>
        </is>
      </c>
      <c r="D82" s="97" t="inlineStr">
        <is>
          <t>7.8</t>
        </is>
      </c>
      <c r="E82" s="97" t="n">
        <v>71</v>
      </c>
      <c r="F82" s="97" t="inlineStr">
        <is>
          <t>Berat Badan Normal</t>
        </is>
      </c>
      <c r="G82" s="97" t="inlineStr">
        <is>
          <t>Normal</t>
        </is>
      </c>
      <c r="H82" s="97" t="inlineStr">
        <is>
          <t>Gizi Baik</t>
        </is>
      </c>
      <c r="I82" s="98" t="inlineStr">
        <is>
          <t>Ya</t>
        </is>
      </c>
      <c r="J82" s="98">
        <f>IF(G82="Normal","Tidak",IF(G82="Pendek","Potensi Stunting",IF(G82="Sangat Pendek","Stunting","")))</f>
        <v/>
      </c>
    </row>
    <row r="83" ht="15.75" customHeight="1" s="95">
      <c r="A83" s="97" t="inlineStr">
        <is>
          <t>anonymus0082</t>
        </is>
      </c>
      <c r="B83" s="97" t="inlineStr">
        <is>
          <t>P</t>
        </is>
      </c>
      <c r="C83" s="97" t="inlineStr">
        <is>
          <t>35-69 Bulan</t>
        </is>
      </c>
      <c r="D83" s="97" t="n">
        <v>15.5</v>
      </c>
      <c r="E83" s="97" t="n">
        <v>93</v>
      </c>
      <c r="F83" s="97" t="inlineStr">
        <is>
          <t>Berat Badan Normal</t>
        </is>
      </c>
      <c r="G83" s="97" t="inlineStr">
        <is>
          <t>Normal</t>
        </is>
      </c>
      <c r="H83" s="97" t="inlineStr">
        <is>
          <t>Gizi Baik</t>
        </is>
      </c>
      <c r="I83" s="98" t="inlineStr">
        <is>
          <t>Ya</t>
        </is>
      </c>
      <c r="J83" s="98">
        <f>IF(G83="Normal","Tidak",IF(G83="Pendek","Potensi Stunting",IF(G83="Sangat Pendek","Stunting","")))</f>
        <v/>
      </c>
    </row>
    <row r="84" ht="15.75" customHeight="1" s="95">
      <c r="A84" s="97" t="inlineStr">
        <is>
          <t>anonymus0083</t>
        </is>
      </c>
      <c r="B84" s="97" t="inlineStr">
        <is>
          <t>P</t>
        </is>
      </c>
      <c r="C84" s="97" t="inlineStr">
        <is>
          <t>35-69 Bulan</t>
        </is>
      </c>
      <c r="D84" s="97" t="n">
        <v>15.9</v>
      </c>
      <c r="E84" s="97" t="n">
        <v>114</v>
      </c>
      <c r="F84" s="97" t="inlineStr">
        <is>
          <t>Berat Badan Normal</t>
        </is>
      </c>
      <c r="G84" s="97" t="inlineStr">
        <is>
          <t>Normal</t>
        </is>
      </c>
      <c r="H84" s="97" t="inlineStr">
        <is>
          <t>Gizi Baik</t>
        </is>
      </c>
      <c r="I84" s="98" t="inlineStr">
        <is>
          <t>Ya</t>
        </is>
      </c>
      <c r="J84" s="98">
        <f>IF(G84="Normal","Tidak",IF(G84="Pendek","Potensi Stunting",IF(G84="Sangat Pendek","Stunting","")))</f>
        <v/>
      </c>
    </row>
    <row r="85" ht="15.75" customHeight="1" s="95">
      <c r="A85" s="97" t="inlineStr">
        <is>
          <t>anonymus0084</t>
        </is>
      </c>
      <c r="B85" s="97" t="inlineStr">
        <is>
          <t xml:space="preserve">L </t>
        </is>
      </c>
      <c r="C85" s="97" t="inlineStr">
        <is>
          <t>1-34 Bulan</t>
        </is>
      </c>
      <c r="D85" s="97" t="inlineStr">
        <is>
          <t>9.3</t>
        </is>
      </c>
      <c r="E85" s="97" t="n">
        <v>76</v>
      </c>
      <c r="F85" s="97" t="inlineStr">
        <is>
          <t>Berat Badan Normal</t>
        </is>
      </c>
      <c r="G85" s="97" t="inlineStr">
        <is>
          <t>Normal</t>
        </is>
      </c>
      <c r="H85" s="97" t="inlineStr">
        <is>
          <t>Gizi Baik</t>
        </is>
      </c>
      <c r="I85" s="98" t="inlineStr">
        <is>
          <t>Ya</t>
        </is>
      </c>
      <c r="J85" s="98">
        <f>IF(G85="Normal","Tidak",IF(G85="Pendek","Potensi Stunting",IF(G85="Sangat Pendek","Stunting","")))</f>
        <v/>
      </c>
    </row>
    <row r="86" ht="15.75" customHeight="1" s="95">
      <c r="A86" s="97" t="inlineStr">
        <is>
          <t>anonymus0085</t>
        </is>
      </c>
      <c r="B86" s="97" t="inlineStr">
        <is>
          <t>L</t>
        </is>
      </c>
      <c r="C86" s="97" t="inlineStr">
        <is>
          <t>35-69 Bulan</t>
        </is>
      </c>
      <c r="D86" s="97" t="n">
        <v>12.8</v>
      </c>
      <c r="E86" s="97" t="n">
        <v>99</v>
      </c>
      <c r="F86" s="97" t="inlineStr">
        <is>
          <t>Kurang</t>
        </is>
      </c>
      <c r="G86" s="97" t="inlineStr">
        <is>
          <t>Normal</t>
        </is>
      </c>
      <c r="H86" s="97" t="inlineStr">
        <is>
          <t>Gizi Kurang</t>
        </is>
      </c>
      <c r="I86" s="98" t="inlineStr">
        <is>
          <t>Ya</t>
        </is>
      </c>
      <c r="J86" s="98">
        <f>IF(G86="Normal","Tidak",IF(G86="Pendek","Potensi Stunting",IF(G86="Sangat Pendek","Stunting","")))</f>
        <v/>
      </c>
    </row>
    <row r="87" ht="15.75" customHeight="1" s="95">
      <c r="A87" s="97" t="inlineStr">
        <is>
          <t>anonymus0086</t>
        </is>
      </c>
      <c r="B87" s="97" t="inlineStr">
        <is>
          <t>P</t>
        </is>
      </c>
      <c r="C87" s="97" t="inlineStr">
        <is>
          <t>1-34 Bulan</t>
        </is>
      </c>
      <c r="D87" s="97" t="n">
        <v>9.5</v>
      </c>
      <c r="E87" s="97" t="n">
        <v>76</v>
      </c>
      <c r="F87" s="97" t="inlineStr">
        <is>
          <t>Normal</t>
        </is>
      </c>
      <c r="G87" s="97" t="inlineStr">
        <is>
          <t>Pendek</t>
        </is>
      </c>
      <c r="H87" s="97" t="inlineStr">
        <is>
          <t>Gizi Baik</t>
        </is>
      </c>
      <c r="I87" s="98" t="inlineStr">
        <is>
          <t>Ya</t>
        </is>
      </c>
      <c r="J87" s="98">
        <f>IF(G87="Normal","Tidak",IF(G87="Pendek","Potensi Stunting",IF(G87="Sangat Pendek","Stunting","")))</f>
        <v/>
      </c>
    </row>
    <row r="88" ht="15.75" customHeight="1" s="95">
      <c r="A88" s="97" t="inlineStr">
        <is>
          <t>anonymus0087</t>
        </is>
      </c>
      <c r="B88" s="97" t="inlineStr">
        <is>
          <t>L</t>
        </is>
      </c>
      <c r="C88" s="97" t="inlineStr">
        <is>
          <t>35-69 Bulan</t>
        </is>
      </c>
      <c r="D88" s="97" t="n">
        <v>12</v>
      </c>
      <c r="E88" s="97" t="n">
        <v>95</v>
      </c>
      <c r="F88" s="97" t="inlineStr">
        <is>
          <t>Kurang</t>
        </is>
      </c>
      <c r="G88" s="97" t="inlineStr">
        <is>
          <t>Pendek</t>
        </is>
      </c>
      <c r="H88" s="97" t="inlineStr">
        <is>
          <t>Gizi Kurang</t>
        </is>
      </c>
      <c r="I88" s="98" t="inlineStr">
        <is>
          <t>Ya</t>
        </is>
      </c>
      <c r="J88" s="98">
        <f>IF(G88="Normal","Tidak",IF(G88="Pendek","Potensi Stunting",IF(G88="Sangat Pendek","Stunting","")))</f>
        <v/>
      </c>
    </row>
    <row r="89" ht="15.75" customHeight="1" s="95">
      <c r="A89" s="97" t="inlineStr">
        <is>
          <t>anonymus0088</t>
        </is>
      </c>
      <c r="B89" s="97" t="inlineStr">
        <is>
          <t xml:space="preserve">L </t>
        </is>
      </c>
      <c r="C89" s="97" t="inlineStr">
        <is>
          <t>35-69 Bulan</t>
        </is>
      </c>
      <c r="D89" s="97" t="inlineStr">
        <is>
          <t>17.5</t>
        </is>
      </c>
      <c r="E89" s="97" t="n">
        <v>110</v>
      </c>
      <c r="F89" s="97" t="inlineStr">
        <is>
          <t>Berat Badan Normal</t>
        </is>
      </c>
      <c r="G89" s="97" t="inlineStr">
        <is>
          <t>Normal</t>
        </is>
      </c>
      <c r="H89" s="97" t="inlineStr">
        <is>
          <t>Gizi Baik</t>
        </is>
      </c>
      <c r="I89" s="98" t="inlineStr">
        <is>
          <t>Ya</t>
        </is>
      </c>
      <c r="J89" s="98">
        <f>IF(G89="Normal","Tidak",IF(G89="Pendek","Potensi Stunting",IF(G89="Sangat Pendek","Stunting","")))</f>
        <v/>
      </c>
    </row>
    <row r="90" ht="15.75" customHeight="1" s="95">
      <c r="A90" s="97" t="inlineStr">
        <is>
          <t>anonymus0089</t>
        </is>
      </c>
      <c r="B90" s="97" t="inlineStr">
        <is>
          <t>P</t>
        </is>
      </c>
      <c r="C90" s="97" t="inlineStr">
        <is>
          <t>1-34 Bulan</t>
        </is>
      </c>
      <c r="D90" s="97" t="n">
        <v>10.6</v>
      </c>
      <c r="E90" s="97" t="n">
        <v>84</v>
      </c>
      <c r="F90" s="97" t="inlineStr">
        <is>
          <t>Berat Badan Normal</t>
        </is>
      </c>
      <c r="G90" s="97" t="inlineStr">
        <is>
          <t>Normal</t>
        </is>
      </c>
      <c r="H90" s="97" t="inlineStr">
        <is>
          <t>Gizi Baik</t>
        </is>
      </c>
      <c r="I90" s="98" t="inlineStr">
        <is>
          <t>Ya</t>
        </is>
      </c>
      <c r="J90" s="98">
        <f>IF(G90="Normal","Tidak",IF(G90="Pendek","Potensi Stunting",IF(G90="Sangat Pendek","Stunting","")))</f>
        <v/>
      </c>
    </row>
    <row r="91" ht="15.75" customHeight="1" s="95">
      <c r="A91" s="97" t="inlineStr">
        <is>
          <t>anonymus0090</t>
        </is>
      </c>
      <c r="B91" s="97" t="inlineStr">
        <is>
          <t>L</t>
        </is>
      </c>
      <c r="C91" s="97" t="inlineStr">
        <is>
          <t>35-69 Bulan</t>
        </is>
      </c>
      <c r="D91" s="97" t="n">
        <v>10.4</v>
      </c>
      <c r="E91" s="97" t="n">
        <v>102</v>
      </c>
      <c r="F91" s="97" t="inlineStr">
        <is>
          <t>Berat Badan Normal</t>
        </is>
      </c>
      <c r="G91" s="97" t="inlineStr">
        <is>
          <t>Normal</t>
        </is>
      </c>
      <c r="H91" s="97" t="inlineStr">
        <is>
          <t>Gizi Baik</t>
        </is>
      </c>
      <c r="I91" s="98" t="inlineStr">
        <is>
          <t>Ya</t>
        </is>
      </c>
      <c r="J91" s="98">
        <f>IF(G91="Normal","Tidak",IF(G91="Pendek","Potensi Stunting",IF(G91="Sangat Pendek","Stunting","")))</f>
        <v/>
      </c>
    </row>
    <row r="92" ht="15.75" customHeight="1" s="95">
      <c r="A92" s="97" t="inlineStr">
        <is>
          <t>anonymus0091</t>
        </is>
      </c>
      <c r="B92" s="97" t="inlineStr">
        <is>
          <t>L</t>
        </is>
      </c>
      <c r="C92" s="97" t="inlineStr">
        <is>
          <t>1-34 Bulan</t>
        </is>
      </c>
      <c r="D92" s="97" t="n">
        <v>8.1</v>
      </c>
      <c r="E92" s="97" t="n">
        <v>77</v>
      </c>
      <c r="F92" s="97" t="inlineStr">
        <is>
          <t>Normal</t>
        </is>
      </c>
      <c r="G92" s="97" t="inlineStr">
        <is>
          <t>Normal</t>
        </is>
      </c>
      <c r="H92" s="97" t="inlineStr">
        <is>
          <t>Gizi Kurang</t>
        </is>
      </c>
      <c r="I92" s="98" t="inlineStr">
        <is>
          <t>Ya</t>
        </is>
      </c>
      <c r="J92" s="98">
        <f>IF(G92="Normal","Tidak",IF(G92="Pendek","Potensi Stunting",IF(G92="Sangat Pendek","Stunting","")))</f>
        <v/>
      </c>
      <c r="M92" s="94" t="inlineStr">
        <is>
          <t xml:space="preserve"> </t>
        </is>
      </c>
    </row>
    <row r="93" ht="15.75" customHeight="1" s="95">
      <c r="A93" s="97" t="inlineStr">
        <is>
          <t>anonymus0092</t>
        </is>
      </c>
      <c r="B93" s="97" t="inlineStr">
        <is>
          <t>P</t>
        </is>
      </c>
      <c r="C93" s="97" t="inlineStr">
        <is>
          <t>1-34 Bulan</t>
        </is>
      </c>
      <c r="D93" s="97" t="n">
        <v>6.9</v>
      </c>
      <c r="E93" s="97" t="n">
        <v>70</v>
      </c>
      <c r="F93" s="97" t="inlineStr">
        <is>
          <t>Sangat Kurang</t>
        </is>
      </c>
      <c r="G93" s="97" t="inlineStr">
        <is>
          <t>Sangat Pendek</t>
        </is>
      </c>
      <c r="H93" s="97" t="inlineStr">
        <is>
          <t>Gizi Baik</t>
        </is>
      </c>
      <c r="I93" s="98" t="inlineStr">
        <is>
          <t>Ya</t>
        </is>
      </c>
      <c r="J93" s="98">
        <f>IF(G93="Normal","Tidak",IF(G93="Pendek","Potensi Stunting",IF(G93="Sangat Pendek","Stunting","")))</f>
        <v/>
      </c>
    </row>
    <row r="94" ht="15.75" customHeight="1" s="95">
      <c r="A94" s="97" t="inlineStr">
        <is>
          <t>anonymus0093</t>
        </is>
      </c>
      <c r="B94" s="97" t="inlineStr">
        <is>
          <t>L</t>
        </is>
      </c>
      <c r="C94" s="97" t="inlineStr">
        <is>
          <t>1-34 Bulan</t>
        </is>
      </c>
      <c r="D94" s="97" t="n">
        <v>7.4</v>
      </c>
      <c r="E94" s="97" t="n">
        <v>95</v>
      </c>
      <c r="F94" s="97" t="inlineStr">
        <is>
          <t>Kurang</t>
        </is>
      </c>
      <c r="G94" s="97" t="inlineStr">
        <is>
          <t>Normal</t>
        </is>
      </c>
      <c r="H94" s="97" t="inlineStr">
        <is>
          <t>Gizi Kurang</t>
        </is>
      </c>
      <c r="I94" s="98" t="inlineStr">
        <is>
          <t>Ya</t>
        </is>
      </c>
      <c r="J94" s="98">
        <f>IF(G94="Normal","Tidak",IF(G94="Pendek","Potensi Stunting",IF(G94="Sangat Pendek","Stunting","")))</f>
        <v/>
      </c>
    </row>
    <row r="95" ht="15.75" customHeight="1" s="95">
      <c r="A95" s="99" t="inlineStr">
        <is>
          <t>anonymus0094</t>
        </is>
      </c>
      <c r="B95" s="97" t="inlineStr">
        <is>
          <t>L</t>
        </is>
      </c>
      <c r="C95" s="97" t="n">
        <v>94</v>
      </c>
      <c r="D95" s="97" t="n">
        <v>12.4</v>
      </c>
      <c r="E95" s="97" t="n">
        <v>96.09999999999999</v>
      </c>
      <c r="F95" s="97" t="inlineStr">
        <is>
          <t>Kurang</t>
        </is>
      </c>
      <c r="G95" s="97" t="inlineStr">
        <is>
          <t>Pendek</t>
        </is>
      </c>
      <c r="H95" s="97" t="inlineStr">
        <is>
          <t>Gizi Baik</t>
        </is>
      </c>
      <c r="I95" s="98" t="inlineStr">
        <is>
          <t>Ya</t>
        </is>
      </c>
      <c r="J95" s="98">
        <f>IF(G95="Normal","Tidak",IF(G95="Pendek","Potensi Stunting",IF(G95="Sangat Pendek","Stunting","")))</f>
        <v/>
      </c>
      <c r="M95" s="94" t="inlineStr">
        <is>
          <t xml:space="preserve"> </t>
        </is>
      </c>
    </row>
    <row r="96" ht="15.75" customHeight="1" s="95">
      <c r="A96" s="97" t="inlineStr">
        <is>
          <t>anonymus0095</t>
        </is>
      </c>
      <c r="B96" s="97" t="inlineStr">
        <is>
          <t>P</t>
        </is>
      </c>
      <c r="C96" s="97" t="inlineStr">
        <is>
          <t>1-34 Bulan</t>
        </is>
      </c>
      <c r="D96" s="97" t="n">
        <v>11.35</v>
      </c>
      <c r="E96" s="97" t="n">
        <v>94</v>
      </c>
      <c r="F96" s="97" t="inlineStr">
        <is>
          <t>Normal</t>
        </is>
      </c>
      <c r="G96" s="97" t="inlineStr">
        <is>
          <t>Normal</t>
        </is>
      </c>
      <c r="H96" s="97" t="inlineStr">
        <is>
          <t>Gizi Kurang</t>
        </is>
      </c>
      <c r="I96" s="98" t="inlineStr">
        <is>
          <t>Ya</t>
        </is>
      </c>
      <c r="J96" s="98">
        <f>IF(G96="Normal","Tidak",IF(G96="Pendek","Potensi Stunting",IF(G96="Sangat Pendek","Stunting","")))</f>
        <v/>
      </c>
    </row>
    <row r="97" ht="15.75" customHeight="1" s="95">
      <c r="A97" s="97" t="inlineStr">
        <is>
          <t>anonymus0096</t>
        </is>
      </c>
      <c r="B97" s="97" t="inlineStr">
        <is>
          <t xml:space="preserve">L </t>
        </is>
      </c>
      <c r="C97" s="97" t="inlineStr">
        <is>
          <t>1-34 Bulan</t>
        </is>
      </c>
      <c r="D97" s="97" t="n">
        <v>8</v>
      </c>
      <c r="E97" s="97" t="n">
        <v>69</v>
      </c>
      <c r="F97" s="97" t="inlineStr">
        <is>
          <t>Berat Badan Normal</t>
        </is>
      </c>
      <c r="G97" s="97" t="inlineStr">
        <is>
          <t>Pendek</t>
        </is>
      </c>
      <c r="H97" s="97" t="inlineStr">
        <is>
          <t>Gizi Baik</t>
        </is>
      </c>
      <c r="I97" s="98" t="inlineStr">
        <is>
          <t>Ya</t>
        </is>
      </c>
      <c r="J97" s="98">
        <f>IF(G97="Normal","Tidak",IF(G97="Pendek","Potensi Stunting",IF(G97="Sangat Pendek","Stunting","")))</f>
        <v/>
      </c>
    </row>
    <row r="98" ht="15.75" customHeight="1" s="95">
      <c r="A98" s="97" t="inlineStr">
        <is>
          <t>anonymus0097</t>
        </is>
      </c>
      <c r="B98" s="97" t="inlineStr">
        <is>
          <t xml:space="preserve">L </t>
        </is>
      </c>
      <c r="C98" s="97" t="inlineStr">
        <is>
          <t>1-34 Bulan</t>
        </is>
      </c>
      <c r="D98" s="97" t="inlineStr">
        <is>
          <t>11.6</t>
        </is>
      </c>
      <c r="E98" s="97" t="n">
        <v>86</v>
      </c>
      <c r="F98" s="97" t="inlineStr">
        <is>
          <t>Berat Badan Normal</t>
        </is>
      </c>
      <c r="G98" s="97" t="inlineStr">
        <is>
          <t>Normal</t>
        </is>
      </c>
      <c r="H98" s="97" t="inlineStr">
        <is>
          <t>Gizi Baik</t>
        </is>
      </c>
      <c r="I98" s="98" t="inlineStr">
        <is>
          <t>Ya</t>
        </is>
      </c>
      <c r="J98" s="98">
        <f>IF(G98="Normal","Tidak",IF(G98="Pendek","Potensi Stunting",IF(G98="Sangat Pendek","Stunting","")))</f>
        <v/>
      </c>
    </row>
    <row r="99" ht="15.75" customHeight="1" s="95">
      <c r="A99" s="97" t="inlineStr">
        <is>
          <t>anonymus0098</t>
        </is>
      </c>
      <c r="B99" s="97" t="inlineStr">
        <is>
          <t xml:space="preserve">L </t>
        </is>
      </c>
      <c r="C99" s="97" t="inlineStr">
        <is>
          <t>35-69 Bulan</t>
        </is>
      </c>
      <c r="D99" s="97" t="n">
        <v>12</v>
      </c>
      <c r="E99" s="97" t="n">
        <v>88</v>
      </c>
      <c r="F99" s="97" t="inlineStr">
        <is>
          <t>Berat Badan Normal</t>
        </is>
      </c>
      <c r="G99" s="97" t="inlineStr">
        <is>
          <t>Normal</t>
        </is>
      </c>
      <c r="H99" s="97" t="inlineStr">
        <is>
          <t>Gizi Baik</t>
        </is>
      </c>
      <c r="I99" s="98" t="inlineStr">
        <is>
          <t>Ya</t>
        </is>
      </c>
      <c r="J99" s="98">
        <f>IF(G99="Normal","Tidak",IF(G99="Pendek","Potensi Stunting",IF(G99="Sangat Pendek","Stunting","")))</f>
        <v/>
      </c>
    </row>
    <row r="100" ht="15.75" customHeight="1" s="95">
      <c r="A100" s="97" t="inlineStr">
        <is>
          <t>anonymus0099</t>
        </is>
      </c>
      <c r="B100" s="97" t="inlineStr">
        <is>
          <t>L</t>
        </is>
      </c>
      <c r="C100" s="97" t="inlineStr">
        <is>
          <t>35-69 Bulan</t>
        </is>
      </c>
      <c r="D100" s="97" t="n">
        <v>10.5</v>
      </c>
      <c r="E100" s="97" t="n">
        <v>88.8</v>
      </c>
      <c r="F100" s="97" t="inlineStr">
        <is>
          <t>Sangat Kurang</t>
        </is>
      </c>
      <c r="G100" s="97" t="inlineStr">
        <is>
          <t>Sangat Pendek</t>
        </is>
      </c>
      <c r="H100" s="97" t="inlineStr">
        <is>
          <t>Gizi Kurang</t>
        </is>
      </c>
      <c r="I100" s="98" t="inlineStr">
        <is>
          <t>Ya</t>
        </is>
      </c>
      <c r="J100" s="98">
        <f>IF(G100="Normal","Tidak",IF(G100="Pendek","Potensi Stunting",IF(G100="Sangat Pendek","Stunting","")))</f>
        <v/>
      </c>
    </row>
    <row r="101" ht="15.75" customHeight="1" s="95">
      <c r="A101" s="97" t="inlineStr">
        <is>
          <t>anonymus0100</t>
        </is>
      </c>
      <c r="B101" s="97" t="inlineStr">
        <is>
          <t>P</t>
        </is>
      </c>
      <c r="C101" s="97" t="inlineStr">
        <is>
          <t>1-34 Bulan</t>
        </is>
      </c>
      <c r="D101" s="97" t="n">
        <v>9.300000000000001</v>
      </c>
      <c r="E101" s="97" t="n">
        <v>76</v>
      </c>
      <c r="F101" s="97" t="inlineStr">
        <is>
          <t>Berat Badan Normal</t>
        </is>
      </c>
      <c r="G101" s="97" t="inlineStr">
        <is>
          <t>Normal</t>
        </is>
      </c>
      <c r="H101" s="97" t="inlineStr">
        <is>
          <t>Gizi Baik</t>
        </is>
      </c>
      <c r="I101" s="98" t="inlineStr">
        <is>
          <t>Ya</t>
        </is>
      </c>
      <c r="J101" s="98">
        <f>IF(G101="Normal","Tidak",IF(G101="Pendek","Potensi Stunting",IF(G101="Sangat Pendek","Stunting","")))</f>
        <v/>
      </c>
    </row>
    <row r="102" ht="15.75" customHeight="1" s="95">
      <c r="A102" s="97" t="inlineStr">
        <is>
          <t>anonymus0101</t>
        </is>
      </c>
      <c r="B102" s="97" t="inlineStr">
        <is>
          <t>L</t>
        </is>
      </c>
      <c r="C102" s="97" t="inlineStr">
        <is>
          <t>35-69 Bulan</t>
        </is>
      </c>
      <c r="D102" s="97" t="n">
        <v>18.7</v>
      </c>
      <c r="E102" s="97" t="n">
        <v>100</v>
      </c>
      <c r="F102" s="97" t="inlineStr">
        <is>
          <t>Risiko Lebih</t>
        </is>
      </c>
      <c r="G102" s="97" t="inlineStr">
        <is>
          <t>Normal</t>
        </is>
      </c>
      <c r="H102" s="97" t="inlineStr">
        <is>
          <t>Gizi Lebih</t>
        </is>
      </c>
      <c r="I102" s="98" t="inlineStr">
        <is>
          <t>Ya</t>
        </is>
      </c>
      <c r="J102" s="98">
        <f>IF(G102="Normal","Tidak",IF(G102="Pendek","Potensi Stunting",IF(G102="Sangat Pendek","Stunting","")))</f>
        <v/>
      </c>
    </row>
    <row r="103" ht="15.75" customHeight="1" s="95">
      <c r="A103" s="97" t="inlineStr">
        <is>
          <t>anonymus0102</t>
        </is>
      </c>
      <c r="B103" s="97" t="inlineStr">
        <is>
          <t xml:space="preserve">P </t>
        </is>
      </c>
      <c r="C103" s="97" t="inlineStr">
        <is>
          <t>35-69 Bulan</t>
        </is>
      </c>
      <c r="D103" s="97" t="inlineStr">
        <is>
          <t>14.6</t>
        </is>
      </c>
      <c r="E103" s="97" t="n">
        <v>100</v>
      </c>
      <c r="F103" s="97" t="inlineStr">
        <is>
          <t>Berat Badan Normal</t>
        </is>
      </c>
      <c r="G103" s="97" t="inlineStr">
        <is>
          <t>Normal</t>
        </is>
      </c>
      <c r="H103" s="97" t="inlineStr">
        <is>
          <t>Gizi Baik</t>
        </is>
      </c>
      <c r="I103" s="98" t="inlineStr">
        <is>
          <t>Ya</t>
        </is>
      </c>
      <c r="J103" s="98">
        <f>IF(G103="Normal","Tidak",IF(G103="Pendek","Potensi Stunting",IF(G103="Sangat Pendek","Stunting","")))</f>
        <v/>
      </c>
    </row>
    <row r="104" ht="15.75" customHeight="1" s="95">
      <c r="A104" s="99" t="inlineStr">
        <is>
          <t>anonymus0103</t>
        </is>
      </c>
      <c r="B104" s="97" t="inlineStr">
        <is>
          <t>P</t>
        </is>
      </c>
      <c r="C104" s="97" t="n">
        <v>85</v>
      </c>
      <c r="D104" s="97" t="n">
        <v>11.7</v>
      </c>
      <c r="E104" s="97" t="n">
        <v>92</v>
      </c>
      <c r="F104" s="97" t="inlineStr">
        <is>
          <t>Kurang</t>
        </is>
      </c>
      <c r="G104" s="97" t="inlineStr">
        <is>
          <t>Pendek</t>
        </is>
      </c>
      <c r="H104" s="97" t="inlineStr">
        <is>
          <t>Gizi Baik</t>
        </is>
      </c>
      <c r="I104" s="98" t="inlineStr">
        <is>
          <t>Ya</t>
        </is>
      </c>
      <c r="J104" s="98">
        <f>IF(G104="Normal","Tidak",IF(G104="Pendek","Potensi Stunting",IF(G104="Sangat Pendek","Stunting","")))</f>
        <v/>
      </c>
    </row>
    <row r="105" ht="15.75" customHeight="1" s="95">
      <c r="A105" s="97" t="inlineStr">
        <is>
          <t>anonymus0104</t>
        </is>
      </c>
      <c r="B105" s="97" t="inlineStr">
        <is>
          <t>L</t>
        </is>
      </c>
      <c r="C105" s="97" t="inlineStr">
        <is>
          <t>1-34 Bulan</t>
        </is>
      </c>
      <c r="D105" s="97" t="n">
        <v>8.9</v>
      </c>
      <c r="E105" s="97" t="n">
        <v>94</v>
      </c>
      <c r="F105" s="97" t="inlineStr">
        <is>
          <t>Kurang</t>
        </is>
      </c>
      <c r="G105" s="97" t="inlineStr">
        <is>
          <t>Normal</t>
        </is>
      </c>
      <c r="H105" s="97" t="inlineStr">
        <is>
          <t>Gizi Kurang</t>
        </is>
      </c>
      <c r="I105" s="98" t="inlineStr">
        <is>
          <t>Ya</t>
        </is>
      </c>
      <c r="J105" s="98">
        <f>IF(G105="Normal","Tidak",IF(G105="Pendek","Potensi Stunting",IF(G105="Sangat Pendek","Stunting","")))</f>
        <v/>
      </c>
    </row>
    <row r="106" ht="15.75" customHeight="1" s="95">
      <c r="A106" s="97" t="inlineStr">
        <is>
          <t>anonymus0105</t>
        </is>
      </c>
      <c r="B106" s="97" t="inlineStr">
        <is>
          <t>L</t>
        </is>
      </c>
      <c r="C106" s="97" t="inlineStr">
        <is>
          <t>35-69 Bulan</t>
        </is>
      </c>
      <c r="D106" s="97" t="n">
        <v>11.7</v>
      </c>
      <c r="E106" s="97" t="n">
        <v>103</v>
      </c>
      <c r="F106" s="97" t="inlineStr">
        <is>
          <t>Berat Badan Normal</t>
        </is>
      </c>
      <c r="G106" s="97" t="inlineStr">
        <is>
          <t>Normal</t>
        </is>
      </c>
      <c r="H106" s="97" t="inlineStr">
        <is>
          <t>Gizi Baik</t>
        </is>
      </c>
      <c r="I106" s="98" t="inlineStr">
        <is>
          <t>Ya</t>
        </is>
      </c>
      <c r="J106" s="98">
        <f>IF(G106="Normal","Tidak",IF(G106="Pendek","Potensi Stunting",IF(G106="Sangat Pendek","Stunting","")))</f>
        <v/>
      </c>
    </row>
    <row r="107" ht="15.75" customHeight="1" s="95">
      <c r="A107" s="97" t="inlineStr">
        <is>
          <t>anonymus0106</t>
        </is>
      </c>
      <c r="B107" s="97" t="inlineStr">
        <is>
          <t xml:space="preserve">P </t>
        </is>
      </c>
      <c r="C107" s="97" t="inlineStr">
        <is>
          <t>35-69 Bulan</t>
        </is>
      </c>
      <c r="D107" s="97" t="inlineStr">
        <is>
          <t>14.3</t>
        </is>
      </c>
      <c r="E107" s="97" t="n">
        <v>95</v>
      </c>
      <c r="F107" s="97" t="inlineStr">
        <is>
          <t>Berat Badan Normal</t>
        </is>
      </c>
      <c r="G107" s="97" t="inlineStr">
        <is>
          <t>Normal</t>
        </is>
      </c>
      <c r="H107" s="97" t="inlineStr">
        <is>
          <t>Gizi Baik</t>
        </is>
      </c>
      <c r="I107" s="98" t="inlineStr">
        <is>
          <t>Ya</t>
        </is>
      </c>
      <c r="J107" s="98">
        <f>IF(G107="Normal","Tidak",IF(G107="Pendek","Potensi Stunting",IF(G107="Sangat Pendek","Stunting","")))</f>
        <v/>
      </c>
    </row>
    <row r="108" ht="15.75" customHeight="1" s="95">
      <c r="A108" s="97" t="inlineStr">
        <is>
          <t>anonymus0107</t>
        </is>
      </c>
      <c r="B108" s="97" t="inlineStr">
        <is>
          <t xml:space="preserve">P </t>
        </is>
      </c>
      <c r="C108" s="97" t="inlineStr">
        <is>
          <t>1-34 Bulan</t>
        </is>
      </c>
      <c r="D108" s="97" t="inlineStr">
        <is>
          <t>5.5</t>
        </is>
      </c>
      <c r="E108" s="97" t="n">
        <v>55</v>
      </c>
      <c r="F108" s="97" t="inlineStr">
        <is>
          <t>Risiko Lebih</t>
        </is>
      </c>
      <c r="G108" s="97" t="inlineStr">
        <is>
          <t>Normal</t>
        </is>
      </c>
      <c r="H108" s="97" t="inlineStr">
        <is>
          <t>Gizi Lebih</t>
        </is>
      </c>
      <c r="I108" s="98" t="inlineStr">
        <is>
          <t>Ya</t>
        </is>
      </c>
      <c r="J108" s="98">
        <f>IF(G108="Normal","Tidak",IF(G108="Pendek","Potensi Stunting",IF(G108="Sangat Pendek","Stunting","")))</f>
        <v/>
      </c>
    </row>
    <row r="109" ht="15.75" customHeight="1" s="95">
      <c r="A109" s="97" t="inlineStr">
        <is>
          <t>anonymus0108</t>
        </is>
      </c>
      <c r="B109" s="97" t="inlineStr">
        <is>
          <t xml:space="preserve">P </t>
        </is>
      </c>
      <c r="C109" s="97" t="inlineStr">
        <is>
          <t>35-69 Bulan</t>
        </is>
      </c>
      <c r="D109" s="97" t="inlineStr">
        <is>
          <t>13.6</t>
        </is>
      </c>
      <c r="E109" s="97" t="n">
        <v>94</v>
      </c>
      <c r="F109" s="97" t="inlineStr">
        <is>
          <t>Risiko Lebih</t>
        </is>
      </c>
      <c r="G109" s="97" t="inlineStr">
        <is>
          <t>Normal</t>
        </is>
      </c>
      <c r="H109" s="97" t="inlineStr">
        <is>
          <t>Gizi Baik</t>
        </is>
      </c>
      <c r="I109" s="98" t="inlineStr">
        <is>
          <t>Ya</t>
        </is>
      </c>
      <c r="J109" s="98">
        <f>IF(G109="Normal","Tidak",IF(G109="Pendek","Potensi Stunting",IF(G109="Sangat Pendek","Stunting","")))</f>
        <v/>
      </c>
    </row>
    <row r="110" ht="15.75" customHeight="1" s="95">
      <c r="A110" s="97" t="inlineStr">
        <is>
          <t>anonymus0109</t>
        </is>
      </c>
      <c r="B110" s="97" t="inlineStr">
        <is>
          <t>L</t>
        </is>
      </c>
      <c r="C110" s="97" t="inlineStr">
        <is>
          <t>1-34 Bulan</t>
        </is>
      </c>
      <c r="D110" s="97" t="n">
        <v>7.9</v>
      </c>
      <c r="E110" s="97" t="n">
        <v>76.40000000000001</v>
      </c>
      <c r="F110" s="97" t="inlineStr">
        <is>
          <t>Kurang</t>
        </is>
      </c>
      <c r="G110" s="97" t="inlineStr">
        <is>
          <t>Normal</t>
        </is>
      </c>
      <c r="H110" s="97" t="inlineStr">
        <is>
          <t>Gizi Kurang</t>
        </is>
      </c>
      <c r="I110" s="98" t="inlineStr">
        <is>
          <t>Ya</t>
        </is>
      </c>
      <c r="J110" s="98">
        <f>IF(G110="Normal","Tidak",IF(G110="Pendek","Potensi Stunting",IF(G110="Sangat Pendek","Stunting","")))</f>
        <v/>
      </c>
    </row>
    <row r="111" ht="15.75" customHeight="1" s="95">
      <c r="A111" s="97" t="inlineStr">
        <is>
          <t>anonymus0110</t>
        </is>
      </c>
      <c r="B111" s="97" t="inlineStr">
        <is>
          <t xml:space="preserve">P </t>
        </is>
      </c>
      <c r="C111" s="97" t="inlineStr">
        <is>
          <t>1-34 Bulan</t>
        </is>
      </c>
      <c r="D111" s="97" t="inlineStr">
        <is>
          <t>10.3</t>
        </is>
      </c>
      <c r="E111" s="97" t="n">
        <v>84</v>
      </c>
      <c r="F111" s="97" t="inlineStr">
        <is>
          <t>Berat Badan Normal</t>
        </is>
      </c>
      <c r="G111" s="97" t="inlineStr">
        <is>
          <t>Pendek</t>
        </is>
      </c>
      <c r="H111" s="97" t="inlineStr">
        <is>
          <t>Gizi Baik</t>
        </is>
      </c>
      <c r="I111" s="98" t="inlineStr">
        <is>
          <t>Ya</t>
        </is>
      </c>
      <c r="J111" s="98">
        <f>IF(G111="Normal","Tidak",IF(G111="Pendek","Potensi Stunting",IF(G111="Sangat Pendek","Stunting","")))</f>
        <v/>
      </c>
    </row>
    <row r="112" ht="15.75" customHeight="1" s="95">
      <c r="A112" s="97" t="inlineStr">
        <is>
          <t>anonymus0111</t>
        </is>
      </c>
      <c r="B112" s="97" t="inlineStr">
        <is>
          <t>P</t>
        </is>
      </c>
      <c r="C112" s="97" t="inlineStr">
        <is>
          <t>1-34 Bulan</t>
        </is>
      </c>
      <c r="D112" s="97" t="n">
        <v>7.8</v>
      </c>
      <c r="E112" s="97" t="n">
        <v>72</v>
      </c>
      <c r="F112" s="97" t="inlineStr">
        <is>
          <t>Normal</t>
        </is>
      </c>
      <c r="G112" s="97" t="inlineStr">
        <is>
          <t>Pendek</t>
        </is>
      </c>
      <c r="H112" s="97" t="inlineStr">
        <is>
          <t>Gizi Baik</t>
        </is>
      </c>
      <c r="I112" s="98" t="inlineStr">
        <is>
          <t>Ya</t>
        </is>
      </c>
      <c r="J112" s="98">
        <f>IF(G112="Normal","Tidak",IF(G112="Pendek","Potensi Stunting",IF(G112="Sangat Pendek","Stunting","")))</f>
        <v/>
      </c>
    </row>
    <row r="113" ht="15.75" customHeight="1" s="95">
      <c r="A113" s="97" t="inlineStr">
        <is>
          <t>anonymus0112</t>
        </is>
      </c>
      <c r="B113" s="97" t="inlineStr">
        <is>
          <t xml:space="preserve">P </t>
        </is>
      </c>
      <c r="C113" s="97" t="inlineStr">
        <is>
          <t>1-34 Bulan</t>
        </is>
      </c>
      <c r="D113" s="97" t="inlineStr">
        <is>
          <t>12.9</t>
        </is>
      </c>
      <c r="E113" s="97" t="n">
        <v>91</v>
      </c>
      <c r="F113" s="97" t="inlineStr">
        <is>
          <t>Berat Badan Normal</t>
        </is>
      </c>
      <c r="G113" s="97" t="inlineStr">
        <is>
          <t>Normal</t>
        </is>
      </c>
      <c r="H113" s="97" t="inlineStr">
        <is>
          <t>Gizi Baik</t>
        </is>
      </c>
      <c r="I113" s="98" t="inlineStr">
        <is>
          <t>Ya</t>
        </is>
      </c>
      <c r="J113" s="98">
        <f>IF(G113="Normal","Tidak",IF(G113="Pendek","Potensi Stunting",IF(G113="Sangat Pendek","Stunting","")))</f>
        <v/>
      </c>
    </row>
    <row r="114" ht="15.75" customHeight="1" s="95">
      <c r="A114" s="97" t="inlineStr">
        <is>
          <t>anonymus0113</t>
        </is>
      </c>
      <c r="B114" s="97" t="inlineStr">
        <is>
          <t>L</t>
        </is>
      </c>
      <c r="C114" s="97" t="inlineStr">
        <is>
          <t>1-34 Bulan</t>
        </is>
      </c>
      <c r="D114" s="97" t="n">
        <v>10.3</v>
      </c>
      <c r="E114" s="97" t="n">
        <v>88</v>
      </c>
      <c r="F114" s="97" t="inlineStr">
        <is>
          <t>Kurang</t>
        </is>
      </c>
      <c r="G114" s="97" t="inlineStr">
        <is>
          <t>Normal</t>
        </is>
      </c>
      <c r="H114" s="97" t="inlineStr">
        <is>
          <t>Gizi Kurang</t>
        </is>
      </c>
      <c r="I114" s="98" t="inlineStr">
        <is>
          <t>Ya</t>
        </is>
      </c>
      <c r="J114" s="98">
        <f>IF(G114="Normal","Tidak",IF(G114="Pendek","Potensi Stunting",IF(G114="Sangat Pendek","Stunting","")))</f>
        <v/>
      </c>
    </row>
    <row r="115" ht="15.75" customHeight="1" s="95">
      <c r="A115" s="97" t="inlineStr">
        <is>
          <t>anonymus0114</t>
        </is>
      </c>
      <c r="B115" s="97" t="inlineStr">
        <is>
          <t>P</t>
        </is>
      </c>
      <c r="C115" s="97" t="inlineStr">
        <is>
          <t>35-69 Bulan</t>
        </is>
      </c>
      <c r="D115" s="97" t="n">
        <v>8</v>
      </c>
      <c r="E115" s="97" t="n">
        <v>78.2</v>
      </c>
      <c r="F115" s="97" t="inlineStr">
        <is>
          <t>Sangat Kurang</t>
        </is>
      </c>
      <c r="G115" s="97" t="inlineStr">
        <is>
          <t>Sangat Pendek</t>
        </is>
      </c>
      <c r="H115" s="97" t="inlineStr">
        <is>
          <t>Gizi Kurang</t>
        </is>
      </c>
      <c r="I115" s="98" t="inlineStr">
        <is>
          <t>Ya</t>
        </is>
      </c>
      <c r="J115" s="98">
        <f>IF(G115="Normal","Tidak",IF(G115="Pendek","Potensi Stunting",IF(G115="Sangat Pendek","Stunting","")))</f>
        <v/>
      </c>
    </row>
    <row r="116" ht="15.75" customHeight="1" s="95">
      <c r="A116" s="97" t="inlineStr">
        <is>
          <t>anonymus0115</t>
        </is>
      </c>
      <c r="B116" s="97" t="inlineStr">
        <is>
          <t xml:space="preserve">P </t>
        </is>
      </c>
      <c r="C116" s="97" t="inlineStr">
        <is>
          <t>1-34 Bulan</t>
        </is>
      </c>
      <c r="D116" s="97" t="n">
        <v>8</v>
      </c>
      <c r="E116" s="97" t="n">
        <v>69</v>
      </c>
      <c r="F116" s="97" t="inlineStr">
        <is>
          <t>Berat Badan Normal</t>
        </is>
      </c>
      <c r="G116" s="97" t="inlineStr">
        <is>
          <t>Normal</t>
        </is>
      </c>
      <c r="H116" s="97" t="inlineStr">
        <is>
          <t>Gizi Baik</t>
        </is>
      </c>
      <c r="I116" s="98" t="inlineStr">
        <is>
          <t>Ya</t>
        </is>
      </c>
      <c r="J116" s="98">
        <f>IF(G116="Normal","Tidak",IF(G116="Pendek","Potensi Stunting",IF(G116="Sangat Pendek","Stunting","")))</f>
        <v/>
      </c>
    </row>
    <row r="117" ht="15.75" customHeight="1" s="95">
      <c r="A117" s="97" t="inlineStr">
        <is>
          <t>anonymus0116</t>
        </is>
      </c>
      <c r="B117" s="97" t="inlineStr">
        <is>
          <t>L</t>
        </is>
      </c>
      <c r="C117" s="97" t="inlineStr">
        <is>
          <t>35-69 Bulan</t>
        </is>
      </c>
      <c r="D117" s="97" t="n">
        <v>13.1</v>
      </c>
      <c r="E117" s="97" t="n">
        <v>110</v>
      </c>
      <c r="F117" s="97" t="inlineStr">
        <is>
          <t>Berat Badan Normal</t>
        </is>
      </c>
      <c r="G117" s="97" t="inlineStr">
        <is>
          <t>Normal</t>
        </is>
      </c>
      <c r="H117" s="97" t="inlineStr">
        <is>
          <t>Gizi Baik</t>
        </is>
      </c>
      <c r="I117" s="98" t="inlineStr">
        <is>
          <t>Ya</t>
        </is>
      </c>
      <c r="J117" s="98">
        <f>IF(G117="Normal","Tidak",IF(G117="Pendek","Potensi Stunting",IF(G117="Sangat Pendek","Stunting","")))</f>
        <v/>
      </c>
    </row>
    <row r="118" ht="15.75" customHeight="1" s="95">
      <c r="A118" s="97" t="inlineStr">
        <is>
          <t>anonymus0117</t>
        </is>
      </c>
      <c r="B118" s="97" t="inlineStr">
        <is>
          <t xml:space="preserve">P </t>
        </is>
      </c>
      <c r="C118" s="97" t="inlineStr">
        <is>
          <t>35-69 Bulan</t>
        </is>
      </c>
      <c r="D118" s="97" t="inlineStr">
        <is>
          <t>13.7</t>
        </is>
      </c>
      <c r="E118" s="97" t="n">
        <v>101</v>
      </c>
      <c r="F118" s="97" t="inlineStr">
        <is>
          <t>Berat Badan Normal</t>
        </is>
      </c>
      <c r="G118" s="97" t="inlineStr">
        <is>
          <t>Normal</t>
        </is>
      </c>
      <c r="H118" s="97" t="inlineStr">
        <is>
          <t>Gizi Baik</t>
        </is>
      </c>
      <c r="I118" s="98" t="inlineStr">
        <is>
          <t>Ya</t>
        </is>
      </c>
      <c r="J118" s="98">
        <f>IF(G118="Normal","Tidak",IF(G118="Pendek","Potensi Stunting",IF(G118="Sangat Pendek","Stunting","")))</f>
        <v/>
      </c>
    </row>
    <row r="119" ht="15.75" customHeight="1" s="95">
      <c r="A119" s="97" t="inlineStr">
        <is>
          <t>anonymus0118</t>
        </is>
      </c>
      <c r="B119" s="97" t="inlineStr">
        <is>
          <t>L</t>
        </is>
      </c>
      <c r="C119" s="97" t="inlineStr">
        <is>
          <t>35-69 Bulan</t>
        </is>
      </c>
      <c r="D119" s="97" t="n">
        <v>12.5</v>
      </c>
      <c r="E119" s="97" t="n">
        <v>85</v>
      </c>
      <c r="F119" s="97" t="inlineStr">
        <is>
          <t>Normal</t>
        </is>
      </c>
      <c r="G119" s="97" t="inlineStr">
        <is>
          <t>Pendek</t>
        </is>
      </c>
      <c r="H119" s="97" t="inlineStr">
        <is>
          <t>Gizi Baik</t>
        </is>
      </c>
      <c r="I119" s="98" t="inlineStr">
        <is>
          <t>Ya</t>
        </is>
      </c>
      <c r="J119" s="98">
        <f>IF(G119="Normal","Tidak",IF(G119="Pendek","Potensi Stunting",IF(G119="Sangat Pendek","Stunting","")))</f>
        <v/>
      </c>
    </row>
    <row r="120" ht="15.75" customHeight="1" s="95">
      <c r="A120" s="97" t="inlineStr">
        <is>
          <t>anonymus0119</t>
        </is>
      </c>
      <c r="B120" s="97" t="inlineStr">
        <is>
          <t xml:space="preserve">L </t>
        </is>
      </c>
      <c r="C120" s="97" t="inlineStr">
        <is>
          <t>1-34 Bulan</t>
        </is>
      </c>
      <c r="D120" s="97" t="inlineStr">
        <is>
          <t>6.9</t>
        </is>
      </c>
      <c r="E120" s="97" t="n">
        <v>69</v>
      </c>
      <c r="F120" s="97" t="inlineStr">
        <is>
          <t>Kurang</t>
        </is>
      </c>
      <c r="G120" s="97" t="inlineStr">
        <is>
          <t>Pendek</t>
        </is>
      </c>
      <c r="H120" s="97" t="inlineStr">
        <is>
          <t>Gizi Kurang</t>
        </is>
      </c>
      <c r="I120" s="98" t="inlineStr">
        <is>
          <t>Ya</t>
        </is>
      </c>
      <c r="J120" s="98">
        <f>IF(G120="Normal","Tidak",IF(G120="Pendek","Potensi Stunting",IF(G120="Sangat Pendek","Stunting","")))</f>
        <v/>
      </c>
    </row>
    <row r="121" ht="15.75" customHeight="1" s="95">
      <c r="A121" s="97" t="inlineStr">
        <is>
          <t>anonymus0120</t>
        </is>
      </c>
      <c r="B121" s="97" t="inlineStr">
        <is>
          <t>L</t>
        </is>
      </c>
      <c r="C121" s="97" t="inlineStr">
        <is>
          <t>1-34 Bulan</t>
        </is>
      </c>
      <c r="D121" s="97" t="n">
        <v>7.1</v>
      </c>
      <c r="E121" s="97" t="n">
        <v>70</v>
      </c>
      <c r="F121" s="97" t="inlineStr">
        <is>
          <t>Sangat Kurang</t>
        </is>
      </c>
      <c r="G121" s="97" t="inlineStr">
        <is>
          <t>Pendek</t>
        </is>
      </c>
      <c r="H121" s="97" t="inlineStr">
        <is>
          <t>Gizi Kurang</t>
        </is>
      </c>
      <c r="I121" s="98" t="inlineStr">
        <is>
          <t>Ya</t>
        </is>
      </c>
      <c r="J121" s="98">
        <f>IF(G121="Normal","Tidak",IF(G121="Pendek","Potensi Stunting",IF(G121="Sangat Pendek","Stunting","")))</f>
        <v/>
      </c>
    </row>
    <row r="122" ht="15.75" customHeight="1" s="95">
      <c r="A122" s="97" t="inlineStr">
        <is>
          <t>anonymus0121</t>
        </is>
      </c>
      <c r="B122" s="97" t="inlineStr">
        <is>
          <t xml:space="preserve">L </t>
        </is>
      </c>
      <c r="C122" s="97" t="inlineStr">
        <is>
          <t>1-34 Bulan</t>
        </is>
      </c>
      <c r="D122" s="97" t="inlineStr">
        <is>
          <t>9.7</t>
        </is>
      </c>
      <c r="E122" s="97" t="n">
        <v>83</v>
      </c>
      <c r="F122" s="97" t="inlineStr">
        <is>
          <t>Kurang</t>
        </is>
      </c>
      <c r="G122" s="97" t="inlineStr">
        <is>
          <t>Pendek</t>
        </is>
      </c>
      <c r="H122" s="97" t="inlineStr">
        <is>
          <t>Gizi Baik</t>
        </is>
      </c>
      <c r="I122" s="98" t="inlineStr">
        <is>
          <t>Ya</t>
        </is>
      </c>
      <c r="J122" s="98">
        <f>IF(G122="Normal","Tidak",IF(G122="Pendek","Potensi Stunting",IF(G122="Sangat Pendek","Stunting","")))</f>
        <v/>
      </c>
    </row>
    <row r="123" ht="15.75" customHeight="1" s="95">
      <c r="A123" s="97" t="inlineStr">
        <is>
          <t>anonymus0122</t>
        </is>
      </c>
      <c r="B123" s="97" t="inlineStr">
        <is>
          <t>P</t>
        </is>
      </c>
      <c r="C123" s="97" t="inlineStr">
        <is>
          <t>1-34 Bulan</t>
        </is>
      </c>
      <c r="D123" s="97" t="n">
        <v>8.199999999999999</v>
      </c>
      <c r="E123" s="97" t="n">
        <v>75</v>
      </c>
      <c r="F123" s="97" t="inlineStr">
        <is>
          <t>Normal</t>
        </is>
      </c>
      <c r="G123" s="97" t="inlineStr">
        <is>
          <t>Pendek</t>
        </is>
      </c>
      <c r="H123" s="97" t="inlineStr">
        <is>
          <t>Gizi Baik</t>
        </is>
      </c>
      <c r="I123" s="98" t="inlineStr">
        <is>
          <t>Ya</t>
        </is>
      </c>
      <c r="J123" s="98">
        <f>IF(G123="Normal","Tidak",IF(G123="Pendek","Potensi Stunting",IF(G123="Sangat Pendek","Stunting","")))</f>
        <v/>
      </c>
    </row>
    <row r="124" ht="15.75" customHeight="1" s="95">
      <c r="A124" s="97" t="inlineStr">
        <is>
          <t>anonymus0123</t>
        </is>
      </c>
      <c r="B124" s="97" t="inlineStr">
        <is>
          <t>L</t>
        </is>
      </c>
      <c r="C124" s="97" t="inlineStr">
        <is>
          <t>35-69 Bulan</t>
        </is>
      </c>
      <c r="D124" s="97" t="n">
        <v>12</v>
      </c>
      <c r="E124" s="97" t="n">
        <v>92</v>
      </c>
      <c r="F124" s="97" t="inlineStr">
        <is>
          <t>Normal</t>
        </is>
      </c>
      <c r="G124" s="97" t="inlineStr">
        <is>
          <t>Pendek</t>
        </is>
      </c>
      <c r="H124" s="97" t="inlineStr">
        <is>
          <t>Gizi Baik</t>
        </is>
      </c>
      <c r="I124" s="98" t="inlineStr">
        <is>
          <t>Ya</t>
        </is>
      </c>
      <c r="J124" s="98">
        <f>IF(G124="Normal","Tidak",IF(G124="Pendek","Potensi Stunting",IF(G124="Sangat Pendek","Stunting","")))</f>
        <v/>
      </c>
    </row>
    <row r="125" ht="15.75" customHeight="1" s="95">
      <c r="A125" s="97" t="inlineStr">
        <is>
          <t>anonymus0124</t>
        </is>
      </c>
      <c r="B125" s="97" t="inlineStr">
        <is>
          <t>L</t>
        </is>
      </c>
      <c r="C125" s="97" t="inlineStr">
        <is>
          <t>35-69 Bulan</t>
        </is>
      </c>
      <c r="D125" s="97" t="n">
        <v>13.6</v>
      </c>
      <c r="E125" s="97" t="n">
        <v>102</v>
      </c>
      <c r="F125" s="97" t="inlineStr">
        <is>
          <t>Berat Badan Normal</t>
        </is>
      </c>
      <c r="G125" s="97" t="inlineStr">
        <is>
          <t>Normal</t>
        </is>
      </c>
      <c r="H125" s="97" t="inlineStr">
        <is>
          <t>Gizi Baik</t>
        </is>
      </c>
      <c r="I125" s="98" t="inlineStr">
        <is>
          <t>Ya</t>
        </is>
      </c>
      <c r="J125" s="98">
        <f>IF(G125="Normal","Tidak",IF(G125="Pendek","Potensi Stunting",IF(G125="Sangat Pendek","Stunting","")))</f>
        <v/>
      </c>
    </row>
    <row r="126" ht="15.75" customHeight="1" s="95">
      <c r="A126" s="97" t="inlineStr">
        <is>
          <t>anonymus0125</t>
        </is>
      </c>
      <c r="B126" s="97" t="inlineStr">
        <is>
          <t>L</t>
        </is>
      </c>
      <c r="C126" s="97" t="inlineStr">
        <is>
          <t>1-34 Bulan</t>
        </is>
      </c>
      <c r="D126" s="97" t="n">
        <v>8.5</v>
      </c>
      <c r="E126" s="97" t="n">
        <v>73</v>
      </c>
      <c r="F126" s="97" t="inlineStr">
        <is>
          <t>Normal</t>
        </is>
      </c>
      <c r="G126" s="97" t="inlineStr">
        <is>
          <t>Pendek</t>
        </is>
      </c>
      <c r="H126" s="97" t="inlineStr">
        <is>
          <t>Gizi Baik</t>
        </is>
      </c>
      <c r="I126" s="98" t="inlineStr">
        <is>
          <t>Ya</t>
        </is>
      </c>
      <c r="J126" s="98">
        <f>IF(G126="Normal","Tidak",IF(G126="Pendek","Potensi Stunting",IF(G126="Sangat Pendek","Stunting","")))</f>
        <v/>
      </c>
    </row>
    <row r="127" ht="15.75" customHeight="1" s="95">
      <c r="A127" s="97" t="inlineStr">
        <is>
          <t>anonymus0126</t>
        </is>
      </c>
      <c r="B127" s="97" t="inlineStr">
        <is>
          <t xml:space="preserve">L </t>
        </is>
      </c>
      <c r="C127" s="97" t="inlineStr">
        <is>
          <t>1-34 Bulan</t>
        </is>
      </c>
      <c r="D127" s="97" t="inlineStr">
        <is>
          <t>8.8</t>
        </is>
      </c>
      <c r="E127" s="97" t="n">
        <v>72</v>
      </c>
      <c r="F127" s="97" t="inlineStr">
        <is>
          <t>Berat Badan Normal</t>
        </is>
      </c>
      <c r="G127" s="97" t="inlineStr">
        <is>
          <t>Pendek</t>
        </is>
      </c>
      <c r="H127" s="97" t="inlineStr">
        <is>
          <t>Gizi Baik</t>
        </is>
      </c>
      <c r="I127" s="98" t="inlineStr">
        <is>
          <t>Ya</t>
        </is>
      </c>
      <c r="J127" s="98">
        <f>IF(G127="Normal","Tidak",IF(G127="Pendek","Potensi Stunting",IF(G127="Sangat Pendek","Stunting","")))</f>
        <v/>
      </c>
    </row>
    <row r="128" ht="15.75" customHeight="1" s="95">
      <c r="A128" s="97" t="inlineStr">
        <is>
          <t>anonymus0127</t>
        </is>
      </c>
      <c r="B128" s="97" t="inlineStr">
        <is>
          <t>P</t>
        </is>
      </c>
      <c r="C128" s="97" t="inlineStr">
        <is>
          <t>35-69 Bulan</t>
        </is>
      </c>
      <c r="D128" s="97" t="n">
        <v>11.7</v>
      </c>
      <c r="E128" s="97" t="n">
        <v>95</v>
      </c>
      <c r="F128" s="97" t="inlineStr">
        <is>
          <t>Berat Badan Normal</t>
        </is>
      </c>
      <c r="G128" s="97" t="inlineStr">
        <is>
          <t>Normal</t>
        </is>
      </c>
      <c r="H128" s="97" t="inlineStr">
        <is>
          <t>Gizi Baik</t>
        </is>
      </c>
      <c r="I128" s="98" t="inlineStr">
        <is>
          <t>Ya</t>
        </is>
      </c>
      <c r="J128" s="98">
        <f>IF(G128="Normal","Tidak",IF(G128="Pendek","Potensi Stunting",IF(G128="Sangat Pendek","Stunting","")))</f>
        <v/>
      </c>
    </row>
    <row r="129" ht="15.75" customHeight="1" s="95">
      <c r="A129" s="97" t="inlineStr">
        <is>
          <t>anonymus0128</t>
        </is>
      </c>
      <c r="B129" s="97" t="inlineStr">
        <is>
          <t>L</t>
        </is>
      </c>
      <c r="C129" s="97" t="inlineStr">
        <is>
          <t>1-34 Bulan</t>
        </is>
      </c>
      <c r="D129" s="97" t="n">
        <v>7.6</v>
      </c>
      <c r="E129" s="97" t="n">
        <v>85</v>
      </c>
      <c r="F129" s="97" t="inlineStr">
        <is>
          <t>Kurang</t>
        </is>
      </c>
      <c r="G129" s="97" t="inlineStr">
        <is>
          <t>Normal</t>
        </is>
      </c>
      <c r="H129" s="97" t="inlineStr">
        <is>
          <t>Gizi Kurang</t>
        </is>
      </c>
      <c r="I129" s="98" t="inlineStr">
        <is>
          <t>Ya</t>
        </is>
      </c>
      <c r="J129" s="98">
        <f>IF(G129="Normal","Tidak",IF(G129="Pendek","Potensi Stunting",IF(G129="Sangat Pendek","Stunting","")))</f>
        <v/>
      </c>
    </row>
    <row r="130" ht="15.75" customHeight="1" s="95">
      <c r="A130" s="97" t="inlineStr">
        <is>
          <t>anonymus0129</t>
        </is>
      </c>
      <c r="B130" s="97" t="inlineStr">
        <is>
          <t>P</t>
        </is>
      </c>
      <c r="C130" s="97" t="inlineStr">
        <is>
          <t>35-69 Bulan</t>
        </is>
      </c>
      <c r="D130" s="97" t="n">
        <v>11.4</v>
      </c>
      <c r="E130" s="97" t="n">
        <v>115</v>
      </c>
      <c r="F130" s="97" t="inlineStr">
        <is>
          <t>Berat Badan Normal</t>
        </is>
      </c>
      <c r="G130" s="97" t="inlineStr">
        <is>
          <t>Normal</t>
        </is>
      </c>
      <c r="H130" s="97" t="inlineStr">
        <is>
          <t>Gizi Baik</t>
        </is>
      </c>
      <c r="I130" s="98" t="inlineStr">
        <is>
          <t>Ya</t>
        </is>
      </c>
      <c r="J130" s="98">
        <f>IF(G130="Normal","Tidak",IF(G130="Pendek","Potensi Stunting",IF(G130="Sangat Pendek","Stunting","")))</f>
        <v/>
      </c>
    </row>
    <row r="131" ht="15.75" customHeight="1" s="95">
      <c r="A131" s="97" t="inlineStr">
        <is>
          <t>anonymus0130</t>
        </is>
      </c>
      <c r="B131" s="97" t="inlineStr">
        <is>
          <t xml:space="preserve">L </t>
        </is>
      </c>
      <c r="C131" s="97" t="inlineStr">
        <is>
          <t>35-69 Bulan</t>
        </is>
      </c>
      <c r="D131" s="97" t="inlineStr">
        <is>
          <t>17.4</t>
        </is>
      </c>
      <c r="E131" s="97" t="n">
        <v>101</v>
      </c>
      <c r="F131" s="97" t="inlineStr">
        <is>
          <t>Berat Badan Normal</t>
        </is>
      </c>
      <c r="G131" s="97" t="inlineStr">
        <is>
          <t>Normal</t>
        </is>
      </c>
      <c r="H131" s="97" t="inlineStr">
        <is>
          <t>Risiko Gizi Lebih</t>
        </is>
      </c>
      <c r="I131" s="98" t="inlineStr">
        <is>
          <t>Ya</t>
        </is>
      </c>
      <c r="J131" s="98">
        <f>IF(G131="Normal","Tidak",IF(G131="Pendek","Potensi Stunting",IF(G131="Sangat Pendek","Stunting","")))</f>
        <v/>
      </c>
    </row>
    <row r="132" ht="15.75" customHeight="1" s="95">
      <c r="A132" s="97" t="inlineStr">
        <is>
          <t>anonymus0131</t>
        </is>
      </c>
      <c r="B132" s="97" t="inlineStr">
        <is>
          <t>L</t>
        </is>
      </c>
      <c r="C132" s="97" t="inlineStr">
        <is>
          <t>1-34 Bulan</t>
        </is>
      </c>
      <c r="D132" s="97" t="n">
        <v>13.3</v>
      </c>
      <c r="E132" s="97" t="n">
        <v>100</v>
      </c>
      <c r="F132" s="97" t="inlineStr">
        <is>
          <t>Berat Badan Normal</t>
        </is>
      </c>
      <c r="G132" s="97" t="inlineStr">
        <is>
          <t>Normal</t>
        </is>
      </c>
      <c r="H132" s="97" t="inlineStr">
        <is>
          <t>Gizi Baik</t>
        </is>
      </c>
      <c r="I132" s="98" t="inlineStr">
        <is>
          <t>Ya</t>
        </is>
      </c>
      <c r="J132" s="98">
        <f>IF(G132="Normal","Tidak",IF(G132="Pendek","Potensi Stunting",IF(G132="Sangat Pendek","Stunting","")))</f>
        <v/>
      </c>
    </row>
    <row r="133" ht="15.75" customHeight="1" s="95">
      <c r="A133" s="97" t="inlineStr">
        <is>
          <t>anonymus0132</t>
        </is>
      </c>
      <c r="B133" s="97" t="inlineStr">
        <is>
          <t>L</t>
        </is>
      </c>
      <c r="C133" s="97" t="inlineStr">
        <is>
          <t>35-69 Bulan</t>
        </is>
      </c>
      <c r="D133" s="97" t="n">
        <v>16.4</v>
      </c>
      <c r="E133" s="97" t="n">
        <v>103</v>
      </c>
      <c r="F133" s="97" t="inlineStr">
        <is>
          <t>Berat Badan Normal</t>
        </is>
      </c>
      <c r="G133" s="97" t="inlineStr">
        <is>
          <t>Normal</t>
        </is>
      </c>
      <c r="H133" s="97" t="inlineStr">
        <is>
          <t>Gizi Baik</t>
        </is>
      </c>
      <c r="I133" s="98" t="inlineStr">
        <is>
          <t>Ya</t>
        </is>
      </c>
      <c r="J133" s="98">
        <f>IF(G133="Normal","Tidak",IF(G133="Pendek","Potensi Stunting",IF(G133="Sangat Pendek","Stunting","")))</f>
        <v/>
      </c>
    </row>
    <row r="134" ht="15.75" customHeight="1" s="95">
      <c r="A134" s="97" t="inlineStr">
        <is>
          <t>anonymus0133</t>
        </is>
      </c>
      <c r="B134" s="97" t="inlineStr">
        <is>
          <t>L</t>
        </is>
      </c>
      <c r="C134" s="97" t="inlineStr">
        <is>
          <t>1-34 Bulan</t>
        </is>
      </c>
      <c r="D134" s="97" t="n">
        <v>8</v>
      </c>
      <c r="E134" s="97" t="n">
        <v>75</v>
      </c>
      <c r="F134" s="97" t="inlineStr">
        <is>
          <t>Kurang</t>
        </is>
      </c>
      <c r="G134" s="97" t="inlineStr">
        <is>
          <t>Pendek</t>
        </is>
      </c>
      <c r="H134" s="97" t="inlineStr">
        <is>
          <t>Gizi Kurang</t>
        </is>
      </c>
      <c r="I134" s="98" t="inlineStr">
        <is>
          <t>Ya</t>
        </is>
      </c>
      <c r="J134" s="98">
        <f>IF(G134="Normal","Tidak",IF(G134="Pendek","Potensi Stunting",IF(G134="Sangat Pendek","Stunting","")))</f>
        <v/>
      </c>
    </row>
    <row r="135" ht="15.75" customHeight="1" s="95">
      <c r="A135" s="97" t="inlineStr">
        <is>
          <t>anonymus0134</t>
        </is>
      </c>
      <c r="B135" s="97" t="inlineStr">
        <is>
          <t xml:space="preserve">P </t>
        </is>
      </c>
      <c r="C135" s="97" t="inlineStr">
        <is>
          <t>35-69 Bulan</t>
        </is>
      </c>
      <c r="D135" s="97" t="inlineStr">
        <is>
          <t>17.2</t>
        </is>
      </c>
      <c r="E135" s="97" t="n">
        <v>105</v>
      </c>
      <c r="F135" s="97" t="inlineStr">
        <is>
          <t>Berat Badan Normal</t>
        </is>
      </c>
      <c r="G135" s="97" t="inlineStr">
        <is>
          <t>Normal</t>
        </is>
      </c>
      <c r="H135" s="97" t="inlineStr">
        <is>
          <t>Gizi Baik</t>
        </is>
      </c>
      <c r="I135" s="98" t="inlineStr">
        <is>
          <t>Ya</t>
        </is>
      </c>
      <c r="J135" s="98">
        <f>IF(G135="Normal","Tidak",IF(G135="Pendek","Potensi Stunting",IF(G135="Sangat Pendek","Stunting","")))</f>
        <v/>
      </c>
    </row>
    <row r="136" ht="15.75" customHeight="1" s="95">
      <c r="A136" s="97" t="inlineStr">
        <is>
          <t>anonymus0135</t>
        </is>
      </c>
      <c r="B136" s="97" t="inlineStr">
        <is>
          <t>L</t>
        </is>
      </c>
      <c r="C136" s="97" t="inlineStr">
        <is>
          <t>35-69 Bulan</t>
        </is>
      </c>
      <c r="D136" s="97" t="n">
        <v>10.5</v>
      </c>
      <c r="E136" s="97" t="n">
        <v>82</v>
      </c>
      <c r="F136" s="97" t="inlineStr">
        <is>
          <t>Normal</t>
        </is>
      </c>
      <c r="G136" s="97" t="inlineStr">
        <is>
          <t>Pendek</t>
        </is>
      </c>
      <c r="H136" s="97" t="inlineStr">
        <is>
          <t>Gizi Baik</t>
        </is>
      </c>
      <c r="I136" s="98" t="inlineStr">
        <is>
          <t>Ya</t>
        </is>
      </c>
      <c r="J136" s="98">
        <f>IF(G136="Normal","Tidak",IF(G136="Pendek","Potensi Stunting",IF(G136="Sangat Pendek","Stunting","")))</f>
        <v/>
      </c>
    </row>
    <row r="137" ht="15.75" customHeight="1" s="95">
      <c r="A137" s="97" t="inlineStr">
        <is>
          <t>anonymus0136</t>
        </is>
      </c>
      <c r="B137" s="97" t="inlineStr">
        <is>
          <t xml:space="preserve">P </t>
        </is>
      </c>
      <c r="C137" s="97" t="inlineStr">
        <is>
          <t>35-69 Bulan</t>
        </is>
      </c>
      <c r="D137" s="97" t="inlineStr">
        <is>
          <t>18.9</t>
        </is>
      </c>
      <c r="E137" s="97" t="n">
        <v>105</v>
      </c>
      <c r="F137" s="97" t="inlineStr">
        <is>
          <t>Risiko Lebih</t>
        </is>
      </c>
      <c r="G137" s="97" t="inlineStr">
        <is>
          <t>Normal</t>
        </is>
      </c>
      <c r="H137" s="97" t="inlineStr">
        <is>
          <t>Risiko Gizi Lebih</t>
        </is>
      </c>
      <c r="I137" s="98" t="inlineStr">
        <is>
          <t>Ya</t>
        </is>
      </c>
      <c r="J137" s="98">
        <f>IF(G137="Normal","Tidak",IF(G137="Pendek","Potensi Stunting",IF(G137="Sangat Pendek","Stunting","")))</f>
        <v/>
      </c>
    </row>
    <row r="138" ht="15.75" customHeight="1" s="95">
      <c r="A138" s="97" t="inlineStr">
        <is>
          <t>anonymus0137</t>
        </is>
      </c>
      <c r="B138" s="97" t="inlineStr">
        <is>
          <t xml:space="preserve">L </t>
        </is>
      </c>
      <c r="C138" s="97" t="inlineStr">
        <is>
          <t>35-69 Bulan</t>
        </is>
      </c>
      <c r="D138" s="97" t="inlineStr">
        <is>
          <t>15.8</t>
        </is>
      </c>
      <c r="E138" s="97" t="n">
        <v>107</v>
      </c>
      <c r="F138" s="97" t="inlineStr">
        <is>
          <t>Berat Badan Normal</t>
        </is>
      </c>
      <c r="G138" s="97" t="inlineStr">
        <is>
          <t>Normal</t>
        </is>
      </c>
      <c r="H138" s="97" t="inlineStr">
        <is>
          <t>Gizi Baik</t>
        </is>
      </c>
      <c r="I138" s="98" t="inlineStr">
        <is>
          <t>Ya</t>
        </is>
      </c>
      <c r="J138" s="98">
        <f>IF(G138="Normal","Tidak",IF(G138="Pendek","Potensi Stunting",IF(G138="Sangat Pendek","Stunting","")))</f>
        <v/>
      </c>
    </row>
    <row r="139" ht="15.75" customHeight="1" s="95">
      <c r="A139" s="97" t="inlineStr">
        <is>
          <t>anonymus0138</t>
        </is>
      </c>
      <c r="B139" s="97" t="inlineStr">
        <is>
          <t xml:space="preserve">L </t>
        </is>
      </c>
      <c r="C139" s="97" t="inlineStr">
        <is>
          <t>35-69 Bulan</t>
        </is>
      </c>
      <c r="D139" s="97" t="inlineStr">
        <is>
          <t>16.9</t>
        </is>
      </c>
      <c r="E139" s="97" t="n">
        <v>103</v>
      </c>
      <c r="F139" s="97" t="inlineStr">
        <is>
          <t>Berat Badan Normal</t>
        </is>
      </c>
      <c r="G139" s="97" t="inlineStr">
        <is>
          <t>Normal</t>
        </is>
      </c>
      <c r="H139" s="97" t="inlineStr">
        <is>
          <t>Gizi Baik</t>
        </is>
      </c>
      <c r="I139" s="98" t="inlineStr">
        <is>
          <t>Ya</t>
        </is>
      </c>
      <c r="J139" s="98">
        <f>IF(G139="Normal","Tidak",IF(G139="Pendek","Potensi Stunting",IF(G139="Sangat Pendek","Stunting","")))</f>
        <v/>
      </c>
    </row>
    <row r="140" ht="15.75" customHeight="1" s="95">
      <c r="A140" s="97" t="inlineStr">
        <is>
          <t>anonymus0139</t>
        </is>
      </c>
      <c r="B140" s="97" t="inlineStr">
        <is>
          <t xml:space="preserve">L </t>
        </is>
      </c>
      <c r="C140" s="97" t="inlineStr">
        <is>
          <t>1-34 Bulan</t>
        </is>
      </c>
      <c r="D140" s="97" t="inlineStr">
        <is>
          <t>9.2</t>
        </is>
      </c>
      <c r="E140" s="97" t="n">
        <v>78</v>
      </c>
      <c r="F140" s="97" t="inlineStr">
        <is>
          <t>Berat Badan Normal</t>
        </is>
      </c>
      <c r="G140" s="97" t="inlineStr">
        <is>
          <t>Normal</t>
        </is>
      </c>
      <c r="H140" s="97" t="inlineStr">
        <is>
          <t>Gizi Baik</t>
        </is>
      </c>
      <c r="I140" s="98" t="inlineStr">
        <is>
          <t>Ya</t>
        </is>
      </c>
      <c r="J140" s="98">
        <f>IF(G140="Normal","Tidak",IF(G140="Pendek","Potensi Stunting",IF(G140="Sangat Pendek","Stunting","")))</f>
        <v/>
      </c>
    </row>
    <row r="141" ht="15.75" customHeight="1" s="95">
      <c r="A141" s="97" t="inlineStr">
        <is>
          <t>anonymus0140</t>
        </is>
      </c>
      <c r="B141" s="97" t="inlineStr">
        <is>
          <t>P</t>
        </is>
      </c>
      <c r="C141" s="97" t="inlineStr">
        <is>
          <t>1-34 Bulan</t>
        </is>
      </c>
      <c r="D141" s="97" t="n">
        <v>13.4</v>
      </c>
      <c r="E141" s="97" t="n">
        <v>75</v>
      </c>
      <c r="F141" s="97" t="inlineStr">
        <is>
          <t>Berat Badan Normal</t>
        </is>
      </c>
      <c r="G141" s="97" t="inlineStr">
        <is>
          <t>Normal</t>
        </is>
      </c>
      <c r="H141" s="97" t="inlineStr">
        <is>
          <t>Gizi Baik</t>
        </is>
      </c>
      <c r="I141" s="98" t="inlineStr">
        <is>
          <t>Ya</t>
        </is>
      </c>
      <c r="J141" s="98">
        <f>IF(G141="Normal","Tidak",IF(G141="Pendek","Potensi Stunting",IF(G141="Sangat Pendek","Stunting","")))</f>
        <v/>
      </c>
    </row>
    <row r="142" ht="15.75" customHeight="1" s="95">
      <c r="A142" s="97" t="inlineStr">
        <is>
          <t>anonymus0141</t>
        </is>
      </c>
      <c r="B142" s="97" t="inlineStr">
        <is>
          <t xml:space="preserve">L </t>
        </is>
      </c>
      <c r="C142" s="97" t="inlineStr">
        <is>
          <t>1-34 Bulan</t>
        </is>
      </c>
      <c r="D142" s="97" t="inlineStr">
        <is>
          <t>10.3</t>
        </is>
      </c>
      <c r="E142" s="97" t="n">
        <v>77</v>
      </c>
      <c r="F142" s="97" t="inlineStr">
        <is>
          <t>Berat Badan Normal</t>
        </is>
      </c>
      <c r="G142" s="97" t="inlineStr">
        <is>
          <t>Normal</t>
        </is>
      </c>
      <c r="H142" s="97" t="inlineStr">
        <is>
          <t>Gizi Baik</t>
        </is>
      </c>
      <c r="I142" s="98" t="inlineStr">
        <is>
          <t>Ya</t>
        </is>
      </c>
      <c r="J142" s="98">
        <f>IF(G142="Normal","Tidak",IF(G142="Pendek","Potensi Stunting",IF(G142="Sangat Pendek","Stunting","")))</f>
        <v/>
      </c>
    </row>
    <row r="143" ht="15.75" customHeight="1" s="95">
      <c r="A143" s="97" t="inlineStr">
        <is>
          <t>anonymus0142</t>
        </is>
      </c>
      <c r="B143" s="97" t="inlineStr">
        <is>
          <t>L</t>
        </is>
      </c>
      <c r="C143" s="97" t="inlineStr">
        <is>
          <t>35-69 Bulan</t>
        </is>
      </c>
      <c r="D143" s="97" t="n">
        <v>18.3</v>
      </c>
      <c r="E143" s="97" t="n">
        <v>99</v>
      </c>
      <c r="F143" s="97" t="inlineStr">
        <is>
          <t>Risiko Lebih</t>
        </is>
      </c>
      <c r="G143" s="97" t="inlineStr">
        <is>
          <t>Normal</t>
        </is>
      </c>
      <c r="H143" s="97" t="inlineStr">
        <is>
          <t>Gizi Lebih</t>
        </is>
      </c>
      <c r="I143" s="98" t="inlineStr">
        <is>
          <t>Ya</t>
        </is>
      </c>
      <c r="J143" s="98">
        <f>IF(G143="Normal","Tidak",IF(G143="Pendek","Potensi Stunting",IF(G143="Sangat Pendek","Stunting","")))</f>
        <v/>
      </c>
    </row>
    <row r="144" ht="15.75" customHeight="1" s="95">
      <c r="A144" s="97" t="inlineStr">
        <is>
          <t>anonymus0143</t>
        </is>
      </c>
      <c r="B144" s="97" t="inlineStr">
        <is>
          <t>L</t>
        </is>
      </c>
      <c r="C144" s="97" t="inlineStr">
        <is>
          <t>35-69 Bulan</t>
        </is>
      </c>
      <c r="D144" s="97" t="n">
        <v>9</v>
      </c>
      <c r="E144" s="97" t="n">
        <v>68</v>
      </c>
      <c r="F144" s="97" t="inlineStr">
        <is>
          <t>Normal</t>
        </is>
      </c>
      <c r="G144" s="97" t="inlineStr">
        <is>
          <t>Sangat Pendek</t>
        </is>
      </c>
      <c r="H144" s="97" t="inlineStr">
        <is>
          <t>Risiko Gizi Lebih</t>
        </is>
      </c>
      <c r="I144" s="98" t="inlineStr">
        <is>
          <t>Ya</t>
        </is>
      </c>
      <c r="J144" s="98">
        <f>IF(G144="Normal","Tidak",IF(G144="Pendek","Potensi Stunting",IF(G144="Sangat Pendek","Stunting","")))</f>
        <v/>
      </c>
    </row>
    <row r="145" ht="15.75" customHeight="1" s="95">
      <c r="A145" s="97" t="inlineStr">
        <is>
          <t>anonymus0144</t>
        </is>
      </c>
      <c r="B145" s="97" t="inlineStr">
        <is>
          <t>L</t>
        </is>
      </c>
      <c r="C145" s="97" t="inlineStr">
        <is>
          <t>1-34 Bulan</t>
        </is>
      </c>
      <c r="D145" s="97" t="n">
        <v>10.9</v>
      </c>
      <c r="E145" s="97" t="n">
        <v>96</v>
      </c>
      <c r="F145" s="97" t="inlineStr">
        <is>
          <t>Berat Badan Normal</t>
        </is>
      </c>
      <c r="G145" s="97" t="inlineStr">
        <is>
          <t>Normal</t>
        </is>
      </c>
      <c r="H145" s="97" t="inlineStr">
        <is>
          <t>Gizi Baik</t>
        </is>
      </c>
      <c r="I145" s="98" t="inlineStr">
        <is>
          <t>Ya</t>
        </is>
      </c>
      <c r="J145" s="98">
        <f>IF(G145="Normal","Tidak",IF(G145="Pendek","Potensi Stunting",IF(G145="Sangat Pendek","Stunting","")))</f>
        <v/>
      </c>
    </row>
    <row r="146" ht="15.75" customHeight="1" s="95">
      <c r="A146" s="97" t="inlineStr">
        <is>
          <t>anonymus0145</t>
        </is>
      </c>
      <c r="B146" s="97" t="inlineStr">
        <is>
          <t xml:space="preserve">L </t>
        </is>
      </c>
      <c r="C146" s="97" t="inlineStr">
        <is>
          <t>1-34 Bulan</t>
        </is>
      </c>
      <c r="D146" s="97" t="inlineStr">
        <is>
          <t>12.3</t>
        </is>
      </c>
      <c r="E146" s="97" t="n">
        <v>90</v>
      </c>
      <c r="F146" s="97" t="inlineStr">
        <is>
          <t>Berat Badan Normal</t>
        </is>
      </c>
      <c r="G146" s="97" t="inlineStr">
        <is>
          <t>Normal</t>
        </is>
      </c>
      <c r="H146" s="97" t="inlineStr">
        <is>
          <t>Gizi Baik</t>
        </is>
      </c>
      <c r="I146" s="98" t="inlineStr">
        <is>
          <t>Ya</t>
        </is>
      </c>
      <c r="J146" s="98">
        <f>IF(G146="Normal","Tidak",IF(G146="Pendek","Potensi Stunting",IF(G146="Sangat Pendek","Stunting","")))</f>
        <v/>
      </c>
    </row>
    <row r="147" ht="15.75" customHeight="1" s="95">
      <c r="A147" s="97" t="inlineStr">
        <is>
          <t>anonymus0146</t>
        </is>
      </c>
      <c r="B147" s="97" t="inlineStr">
        <is>
          <t>L</t>
        </is>
      </c>
      <c r="C147" s="97" t="inlineStr">
        <is>
          <t>35-69 Bulan</t>
        </is>
      </c>
      <c r="D147" s="97" t="n">
        <v>16.7</v>
      </c>
      <c r="E147" s="97" t="n">
        <v>103</v>
      </c>
      <c r="F147" s="97" t="inlineStr">
        <is>
          <t>Berat Badan Normal</t>
        </is>
      </c>
      <c r="G147" s="97" t="inlineStr">
        <is>
          <t>Normal</t>
        </is>
      </c>
      <c r="H147" s="97" t="inlineStr">
        <is>
          <t>Gizi Baik</t>
        </is>
      </c>
      <c r="I147" s="98" t="inlineStr">
        <is>
          <t>Ya</t>
        </is>
      </c>
      <c r="J147" s="98">
        <f>IF(G147="Normal","Tidak",IF(G147="Pendek","Potensi Stunting",IF(G147="Sangat Pendek","Stunting","")))</f>
        <v/>
      </c>
    </row>
    <row r="148" ht="15.75" customHeight="1" s="95">
      <c r="A148" s="97" t="inlineStr">
        <is>
          <t>anonymus0147</t>
        </is>
      </c>
      <c r="B148" s="97" t="inlineStr">
        <is>
          <t xml:space="preserve">P </t>
        </is>
      </c>
      <c r="C148" s="97" t="inlineStr">
        <is>
          <t>1-34 Bulan</t>
        </is>
      </c>
      <c r="D148" s="97" t="inlineStr">
        <is>
          <t>9.5</t>
        </is>
      </c>
      <c r="E148" s="97" t="n">
        <v>73</v>
      </c>
      <c r="F148" s="97" t="inlineStr">
        <is>
          <t>Berat Badan Normal</t>
        </is>
      </c>
      <c r="G148" s="97" t="inlineStr">
        <is>
          <t>Pendek</t>
        </is>
      </c>
      <c r="H148" s="97" t="inlineStr">
        <is>
          <t>Gizi Baik</t>
        </is>
      </c>
      <c r="I148" s="98" t="inlineStr">
        <is>
          <t>Ya</t>
        </is>
      </c>
      <c r="J148" s="98">
        <f>IF(G148="Normal","Tidak",IF(G148="Pendek","Potensi Stunting",IF(G148="Sangat Pendek","Stunting","")))</f>
        <v/>
      </c>
    </row>
    <row r="149" ht="15.75" customHeight="1" s="95">
      <c r="A149" s="97" t="inlineStr">
        <is>
          <t>anonymus0148</t>
        </is>
      </c>
      <c r="B149" s="97" t="inlineStr">
        <is>
          <t>L</t>
        </is>
      </c>
      <c r="C149" s="97" t="inlineStr">
        <is>
          <t>35-69 Bulan</t>
        </is>
      </c>
      <c r="D149" s="97" t="n">
        <v>11.6</v>
      </c>
      <c r="E149" s="97" t="n">
        <v>85</v>
      </c>
      <c r="F149" s="97" t="inlineStr">
        <is>
          <t>Normal</t>
        </is>
      </c>
      <c r="G149" s="97" t="inlineStr">
        <is>
          <t>Pendek</t>
        </is>
      </c>
      <c r="H149" s="97" t="inlineStr">
        <is>
          <t>Gizi Baik</t>
        </is>
      </c>
      <c r="I149" s="98" t="inlineStr">
        <is>
          <t>Ya</t>
        </is>
      </c>
      <c r="J149" s="98">
        <f>IF(G149="Normal","Tidak",IF(G149="Pendek","Potensi Stunting",IF(G149="Sangat Pendek","Stunting","")))</f>
        <v/>
      </c>
    </row>
    <row r="150" ht="15.75" customHeight="1" s="95">
      <c r="A150" s="97" t="inlineStr">
        <is>
          <t>anonymus0149</t>
        </is>
      </c>
      <c r="B150" s="97" t="inlineStr">
        <is>
          <t>L</t>
        </is>
      </c>
      <c r="C150" s="97" t="inlineStr">
        <is>
          <t>35-69 Bulan</t>
        </is>
      </c>
      <c r="D150" s="97" t="n">
        <v>13.8</v>
      </c>
      <c r="E150" s="97" t="n">
        <v>104</v>
      </c>
      <c r="F150" s="97" t="inlineStr">
        <is>
          <t>Kurang</t>
        </is>
      </c>
      <c r="G150" s="97" t="inlineStr">
        <is>
          <t>Normal</t>
        </is>
      </c>
      <c r="H150" s="97" t="inlineStr">
        <is>
          <t>Gizi Kurang</t>
        </is>
      </c>
      <c r="I150" s="98" t="inlineStr">
        <is>
          <t>Ya</t>
        </is>
      </c>
      <c r="J150" s="98">
        <f>IF(G150="Normal","Tidak",IF(G150="Pendek","Potensi Stunting",IF(G150="Sangat Pendek","Stunting","")))</f>
        <v/>
      </c>
    </row>
    <row r="151" ht="15.75" customHeight="1" s="95">
      <c r="A151" s="97" t="inlineStr">
        <is>
          <t>anonymus0150</t>
        </is>
      </c>
      <c r="B151" s="97" t="inlineStr">
        <is>
          <t>L</t>
        </is>
      </c>
      <c r="C151" s="97" t="inlineStr">
        <is>
          <t>1-34 Bulan</t>
        </is>
      </c>
      <c r="D151" s="97" t="n">
        <v>9.1</v>
      </c>
      <c r="E151" s="97" t="n">
        <v>92</v>
      </c>
      <c r="F151" s="97" t="inlineStr">
        <is>
          <t>Berat Badan Normal</t>
        </is>
      </c>
      <c r="G151" s="97" t="inlineStr">
        <is>
          <t>Normal</t>
        </is>
      </c>
      <c r="H151" s="97" t="inlineStr">
        <is>
          <t>Gizi Baik</t>
        </is>
      </c>
      <c r="I151" s="98" t="inlineStr">
        <is>
          <t>Ya</t>
        </is>
      </c>
      <c r="J151" s="98">
        <f>IF(G151="Normal","Tidak",IF(G151="Pendek","Potensi Stunting",IF(G151="Sangat Pendek","Stunting","")))</f>
        <v/>
      </c>
    </row>
    <row r="152" ht="15.75" customHeight="1" s="95">
      <c r="A152" s="97" t="inlineStr">
        <is>
          <t>anonymus0151</t>
        </is>
      </c>
      <c r="B152" s="97" t="inlineStr">
        <is>
          <t>P</t>
        </is>
      </c>
      <c r="C152" s="97" t="inlineStr">
        <is>
          <t>35-69 Bulan</t>
        </is>
      </c>
      <c r="D152" s="97" t="n">
        <v>17.7</v>
      </c>
      <c r="E152" s="97" t="n">
        <v>116</v>
      </c>
      <c r="F152" s="97" t="inlineStr">
        <is>
          <t>Risiko Lebih</t>
        </is>
      </c>
      <c r="G152" s="97" t="inlineStr">
        <is>
          <t>Normal</t>
        </is>
      </c>
      <c r="H152" s="97" t="inlineStr">
        <is>
          <t>Gizi Lebih</t>
        </is>
      </c>
      <c r="I152" s="98" t="inlineStr">
        <is>
          <t>Ya</t>
        </is>
      </c>
      <c r="J152" s="98">
        <f>IF(G152="Normal","Tidak",IF(G152="Pendek","Potensi Stunting",IF(G152="Sangat Pendek","Stunting","")))</f>
        <v/>
      </c>
    </row>
    <row r="153" ht="15.75" customHeight="1" s="95">
      <c r="A153" s="97" t="inlineStr">
        <is>
          <t>anonymus0152</t>
        </is>
      </c>
      <c r="B153" s="97" t="inlineStr">
        <is>
          <t>L</t>
        </is>
      </c>
      <c r="C153" s="97" t="inlineStr">
        <is>
          <t>1-34 Bulan</t>
        </is>
      </c>
      <c r="D153" s="97" t="n">
        <v>6.7</v>
      </c>
      <c r="E153" s="97" t="n">
        <v>87</v>
      </c>
      <c r="F153" s="97" t="inlineStr">
        <is>
          <t>Kurang</t>
        </is>
      </c>
      <c r="G153" s="97" t="inlineStr">
        <is>
          <t>Normal</t>
        </is>
      </c>
      <c r="H153" s="97" t="inlineStr">
        <is>
          <t>Gizi Kurang</t>
        </is>
      </c>
      <c r="I153" s="98" t="inlineStr">
        <is>
          <t>Ya</t>
        </is>
      </c>
      <c r="J153" s="98">
        <f>IF(G153="Normal","Tidak",IF(G153="Pendek","Potensi Stunting",IF(G153="Sangat Pendek","Stunting","")))</f>
        <v/>
      </c>
    </row>
    <row r="154" ht="15.75" customHeight="1" s="95">
      <c r="A154" s="97" t="inlineStr">
        <is>
          <t>anonymus0153</t>
        </is>
      </c>
      <c r="B154" s="97" t="inlineStr">
        <is>
          <t>P</t>
        </is>
      </c>
      <c r="C154" s="97" t="inlineStr">
        <is>
          <t>35-69 Bulan</t>
        </is>
      </c>
      <c r="D154" s="97" t="n">
        <v>19.1</v>
      </c>
      <c r="E154" s="97" t="n">
        <v>110</v>
      </c>
      <c r="F154" s="97" t="inlineStr">
        <is>
          <t>Risiko Lebih</t>
        </is>
      </c>
      <c r="G154" s="97" t="inlineStr">
        <is>
          <t>Normal</t>
        </is>
      </c>
      <c r="H154" s="97" t="inlineStr">
        <is>
          <t>Gizi Lebih</t>
        </is>
      </c>
      <c r="I154" s="98" t="inlineStr">
        <is>
          <t>Ya</t>
        </is>
      </c>
      <c r="J154" s="98">
        <f>IF(G154="Normal","Tidak",IF(G154="Pendek","Potensi Stunting",IF(G154="Sangat Pendek","Stunting","")))</f>
        <v/>
      </c>
    </row>
    <row r="155" ht="15.75" customHeight="1" s="95">
      <c r="A155" s="97" t="inlineStr">
        <is>
          <t>anonymus0154</t>
        </is>
      </c>
      <c r="B155" s="97" t="inlineStr">
        <is>
          <t>P</t>
        </is>
      </c>
      <c r="C155" s="97" t="inlineStr">
        <is>
          <t>35-69 Bulan</t>
        </is>
      </c>
      <c r="D155" s="97" t="n">
        <v>15.4</v>
      </c>
      <c r="E155" s="97" t="n">
        <v>91</v>
      </c>
      <c r="F155" s="97" t="inlineStr">
        <is>
          <t>Berat Badan Normal</t>
        </is>
      </c>
      <c r="G155" s="97" t="inlineStr">
        <is>
          <t>Normal</t>
        </is>
      </c>
      <c r="H155" s="97" t="inlineStr">
        <is>
          <t>Gizi Baik</t>
        </is>
      </c>
      <c r="I155" s="98" t="inlineStr">
        <is>
          <t>Ya</t>
        </is>
      </c>
      <c r="J155" s="98">
        <f>IF(G155="Normal","Tidak",IF(G155="Pendek","Potensi Stunting",IF(G155="Sangat Pendek","Stunting","")))</f>
        <v/>
      </c>
    </row>
    <row r="156" ht="15.75" customHeight="1" s="95">
      <c r="A156" s="97" t="inlineStr">
        <is>
          <t>anonymus0155</t>
        </is>
      </c>
      <c r="B156" s="97" t="inlineStr">
        <is>
          <t>L</t>
        </is>
      </c>
      <c r="C156" s="97" t="inlineStr">
        <is>
          <t>35-69 Bulan</t>
        </is>
      </c>
      <c r="D156" s="97" t="n">
        <v>13</v>
      </c>
      <c r="E156" s="97" t="n">
        <v>101</v>
      </c>
      <c r="F156" s="97" t="inlineStr">
        <is>
          <t>Kurang</t>
        </is>
      </c>
      <c r="G156" s="97" t="inlineStr">
        <is>
          <t>Normal</t>
        </is>
      </c>
      <c r="H156" s="97" t="inlineStr">
        <is>
          <t>Gizi Kurang</t>
        </is>
      </c>
      <c r="I156" s="98" t="inlineStr">
        <is>
          <t>Ya</t>
        </is>
      </c>
      <c r="J156" s="98">
        <f>IF(G156="Normal","Tidak",IF(G156="Pendek","Potensi Stunting",IF(G156="Sangat Pendek","Stunting","")))</f>
        <v/>
      </c>
    </row>
    <row r="157" ht="15.75" customHeight="1" s="95">
      <c r="A157" s="97" t="inlineStr">
        <is>
          <t>anonymus0156</t>
        </is>
      </c>
      <c r="B157" s="97" t="inlineStr">
        <is>
          <t>L</t>
        </is>
      </c>
      <c r="C157" s="97" t="inlineStr">
        <is>
          <t>35-69 Bulan</t>
        </is>
      </c>
      <c r="D157" s="97" t="n">
        <v>13.4</v>
      </c>
      <c r="E157" s="97" t="n">
        <v>94</v>
      </c>
      <c r="F157" s="97" t="inlineStr">
        <is>
          <t>Berat Badan Normal</t>
        </is>
      </c>
      <c r="G157" s="97" t="inlineStr">
        <is>
          <t>Normal</t>
        </is>
      </c>
      <c r="H157" s="97" t="inlineStr">
        <is>
          <t>Gizi Baik</t>
        </is>
      </c>
      <c r="I157" s="98" t="inlineStr">
        <is>
          <t>Ya</t>
        </is>
      </c>
      <c r="J157" s="98">
        <f>IF(G157="Normal","Tidak",IF(G157="Pendek","Potensi Stunting",IF(G157="Sangat Pendek","Stunting","")))</f>
        <v/>
      </c>
    </row>
    <row r="158" ht="15.75" customHeight="1" s="95">
      <c r="A158" s="97" t="inlineStr">
        <is>
          <t>anonymus0157</t>
        </is>
      </c>
      <c r="B158" s="97" t="inlineStr">
        <is>
          <t xml:space="preserve">L </t>
        </is>
      </c>
      <c r="C158" s="97" t="inlineStr">
        <is>
          <t>35-69 Bulan</t>
        </is>
      </c>
      <c r="D158" s="97" t="inlineStr">
        <is>
          <t>16.5</t>
        </is>
      </c>
      <c r="E158" s="97" t="n">
        <v>104</v>
      </c>
      <c r="F158" s="97" t="inlineStr">
        <is>
          <t>Berat Badan Normal</t>
        </is>
      </c>
      <c r="G158" s="97" t="inlineStr">
        <is>
          <t>Normal</t>
        </is>
      </c>
      <c r="H158" s="97" t="inlineStr">
        <is>
          <t>Gizi Baik</t>
        </is>
      </c>
      <c r="I158" s="98" t="inlineStr">
        <is>
          <t>Ya</t>
        </is>
      </c>
      <c r="J158" s="98">
        <f>IF(G158="Normal","Tidak",IF(G158="Pendek","Potensi Stunting",IF(G158="Sangat Pendek","Stunting","")))</f>
        <v/>
      </c>
    </row>
    <row r="159" ht="15.75" customHeight="1" s="95">
      <c r="A159" s="97" t="inlineStr">
        <is>
          <t>anonymus0158</t>
        </is>
      </c>
      <c r="B159" s="97" t="inlineStr">
        <is>
          <t xml:space="preserve">P </t>
        </is>
      </c>
      <c r="C159" s="97" t="inlineStr">
        <is>
          <t>1-34 Bulan</t>
        </is>
      </c>
      <c r="D159" s="97" t="inlineStr">
        <is>
          <t>10.5</t>
        </is>
      </c>
      <c r="E159" s="97" t="n">
        <v>89</v>
      </c>
      <c r="F159" s="97" t="inlineStr">
        <is>
          <t>Kurang</t>
        </is>
      </c>
      <c r="G159" s="97" t="inlineStr">
        <is>
          <t>Pendek</t>
        </is>
      </c>
      <c r="H159" s="97" t="inlineStr">
        <is>
          <t>Gizi Baik</t>
        </is>
      </c>
      <c r="I159" s="98" t="inlineStr">
        <is>
          <t>Ya</t>
        </is>
      </c>
      <c r="J159" s="98">
        <f>IF(G159="Normal","Tidak",IF(G159="Pendek","Potensi Stunting",IF(G159="Sangat Pendek","Stunting","")))</f>
        <v/>
      </c>
    </row>
    <row r="160" ht="15.75" customHeight="1" s="95">
      <c r="A160" s="97" t="inlineStr">
        <is>
          <t>anonymus0159</t>
        </is>
      </c>
      <c r="B160" s="97" t="inlineStr">
        <is>
          <t xml:space="preserve">P </t>
        </is>
      </c>
      <c r="C160" s="97" t="inlineStr">
        <is>
          <t>35-69 Bulan</t>
        </is>
      </c>
      <c r="D160" s="97" t="inlineStr">
        <is>
          <t>11.5</t>
        </is>
      </c>
      <c r="E160" s="97" t="n">
        <v>97</v>
      </c>
      <c r="F160" s="97" t="inlineStr">
        <is>
          <t>Kurang</t>
        </is>
      </c>
      <c r="G160" s="97" t="inlineStr">
        <is>
          <t>Normal</t>
        </is>
      </c>
      <c r="H160" s="97" t="inlineStr">
        <is>
          <t>Gizi Kurang</t>
        </is>
      </c>
      <c r="I160" s="98" t="inlineStr">
        <is>
          <t>Ya</t>
        </is>
      </c>
      <c r="J160" s="98">
        <f>IF(G160="Normal","Tidak",IF(G160="Pendek","Potensi Stunting",IF(G160="Sangat Pendek","Stunting","")))</f>
        <v/>
      </c>
    </row>
    <row r="161" ht="15.75" customHeight="1" s="95">
      <c r="A161" s="97" t="inlineStr">
        <is>
          <t>anonymus0160</t>
        </is>
      </c>
      <c r="B161" s="97" t="inlineStr">
        <is>
          <t xml:space="preserve">L </t>
        </is>
      </c>
      <c r="C161" s="97" t="inlineStr">
        <is>
          <t>35-69 Bulan</t>
        </is>
      </c>
      <c r="D161" s="97" t="inlineStr">
        <is>
          <t>13.1</t>
        </is>
      </c>
      <c r="E161" s="97" t="n">
        <v>91</v>
      </c>
      <c r="F161" s="97" t="inlineStr">
        <is>
          <t>Berat Badan Normal</t>
        </is>
      </c>
      <c r="G161" s="97" t="inlineStr">
        <is>
          <t>Normal</t>
        </is>
      </c>
      <c r="H161" s="97" t="inlineStr">
        <is>
          <t>Gizi Baik</t>
        </is>
      </c>
      <c r="I161" s="98" t="inlineStr">
        <is>
          <t>Ya</t>
        </is>
      </c>
      <c r="J161" s="98">
        <f>IF(G161="Normal","Tidak",IF(G161="Pendek","Potensi Stunting",IF(G161="Sangat Pendek","Stunting","")))</f>
        <v/>
      </c>
    </row>
    <row r="162" ht="15.75" customHeight="1" s="95">
      <c r="A162" s="97" t="inlineStr">
        <is>
          <t>anonymus0161</t>
        </is>
      </c>
      <c r="B162" s="97" t="inlineStr">
        <is>
          <t>L</t>
        </is>
      </c>
      <c r="C162" s="97" t="inlineStr">
        <is>
          <t>1-34 Bulan</t>
        </is>
      </c>
      <c r="D162" s="97" t="n">
        <v>5.8</v>
      </c>
      <c r="E162" s="97" t="n">
        <v>65</v>
      </c>
      <c r="F162" s="97" t="inlineStr">
        <is>
          <t>Normal</t>
        </is>
      </c>
      <c r="G162" s="97" t="inlineStr">
        <is>
          <t>Normal</t>
        </is>
      </c>
      <c r="H162" s="97" t="inlineStr">
        <is>
          <t>Gizi Kurang</t>
        </is>
      </c>
      <c r="I162" s="98" t="inlineStr">
        <is>
          <t>Ya</t>
        </is>
      </c>
      <c r="J162" s="98">
        <f>IF(G162="Normal","Tidak",IF(G162="Pendek","Potensi Stunting",IF(G162="Sangat Pendek","Stunting","")))</f>
        <v/>
      </c>
    </row>
    <row r="163" ht="15.75" customHeight="1" s="95">
      <c r="A163" s="97" t="inlineStr">
        <is>
          <t>anonymus0162</t>
        </is>
      </c>
      <c r="B163" s="97" t="inlineStr">
        <is>
          <t>L</t>
        </is>
      </c>
      <c r="C163" s="97" t="inlineStr">
        <is>
          <t>35-69 Bulan</t>
        </is>
      </c>
      <c r="D163" s="97" t="n">
        <v>10.5</v>
      </c>
      <c r="E163" s="97" t="n">
        <v>86.8</v>
      </c>
      <c r="F163" s="97" t="inlineStr">
        <is>
          <t>Sangat Kurang</t>
        </is>
      </c>
      <c r="G163" s="97" t="inlineStr">
        <is>
          <t>Sangat Pendek</t>
        </is>
      </c>
      <c r="H163" s="97" t="inlineStr">
        <is>
          <t>Gizi Baik</t>
        </is>
      </c>
      <c r="I163" s="98" t="inlineStr">
        <is>
          <t>Ya</t>
        </is>
      </c>
      <c r="J163" s="98">
        <f>IF(G163="Normal","Tidak",IF(G163="Pendek","Potensi Stunting",IF(G163="Sangat Pendek","Stunting","")))</f>
        <v/>
      </c>
    </row>
    <row r="164" ht="15.75" customHeight="1" s="95">
      <c r="A164" s="97" t="inlineStr">
        <is>
          <t>anonymus0163</t>
        </is>
      </c>
      <c r="B164" s="97" t="inlineStr">
        <is>
          <t xml:space="preserve">L </t>
        </is>
      </c>
      <c r="C164" s="97" t="inlineStr">
        <is>
          <t>35-69 Bulan</t>
        </is>
      </c>
      <c r="D164" s="97" t="n">
        <v>12</v>
      </c>
      <c r="E164" s="97" t="n">
        <v>97</v>
      </c>
      <c r="F164" s="97" t="inlineStr">
        <is>
          <t>Kurang</t>
        </is>
      </c>
      <c r="G164" s="97" t="inlineStr">
        <is>
          <t>Normal</t>
        </is>
      </c>
      <c r="H164" s="97" t="inlineStr">
        <is>
          <t>Gizi Kurang</t>
        </is>
      </c>
      <c r="I164" s="98" t="inlineStr">
        <is>
          <t>Ya</t>
        </is>
      </c>
      <c r="J164" s="98">
        <f>IF(G164="Normal","Tidak",IF(G164="Pendek","Potensi Stunting",IF(G164="Sangat Pendek","Stunting","")))</f>
        <v/>
      </c>
    </row>
    <row r="165" ht="15.75" customHeight="1" s="95">
      <c r="A165" s="97" t="inlineStr">
        <is>
          <t>anonymus0164</t>
        </is>
      </c>
      <c r="B165" s="97" t="inlineStr">
        <is>
          <t>L</t>
        </is>
      </c>
      <c r="C165" s="97" t="inlineStr">
        <is>
          <t>1-34 Bulan</t>
        </is>
      </c>
      <c r="D165" s="97" t="n">
        <v>9.4</v>
      </c>
      <c r="E165" s="97" t="n">
        <v>75</v>
      </c>
      <c r="F165" s="97" t="inlineStr">
        <is>
          <t>Normal</t>
        </is>
      </c>
      <c r="G165" s="97" t="inlineStr">
        <is>
          <t>Pendek</t>
        </is>
      </c>
      <c r="H165" s="97" t="inlineStr">
        <is>
          <t>Gizi Baik</t>
        </is>
      </c>
      <c r="I165" s="98" t="inlineStr">
        <is>
          <t>Ya</t>
        </is>
      </c>
      <c r="J165" s="98">
        <f>IF(G165="Normal","Tidak",IF(G165="Pendek","Potensi Stunting",IF(G165="Sangat Pendek","Stunting","")))</f>
        <v/>
      </c>
    </row>
    <row r="166" ht="15.75" customHeight="1" s="95">
      <c r="A166" s="97" t="inlineStr">
        <is>
          <t>anonymus0165</t>
        </is>
      </c>
      <c r="B166" s="97" t="inlineStr">
        <is>
          <t xml:space="preserve">P </t>
        </is>
      </c>
      <c r="C166" s="97" t="inlineStr">
        <is>
          <t>35-69 Bulan</t>
        </is>
      </c>
      <c r="D166" s="97" t="inlineStr">
        <is>
          <t>12.2</t>
        </is>
      </c>
      <c r="E166" s="97" t="n">
        <v>99</v>
      </c>
      <c r="F166" s="97" t="inlineStr">
        <is>
          <t>Kurang</t>
        </is>
      </c>
      <c r="G166" s="97" t="inlineStr">
        <is>
          <t>Normal</t>
        </is>
      </c>
      <c r="H166" s="97" t="inlineStr">
        <is>
          <t>Gizi Kurang</t>
        </is>
      </c>
      <c r="I166" s="98" t="inlineStr">
        <is>
          <t>Ya</t>
        </is>
      </c>
      <c r="J166" s="98">
        <f>IF(G166="Normal","Tidak",IF(G166="Pendek","Potensi Stunting",IF(G166="Sangat Pendek","Stunting","")))</f>
        <v/>
      </c>
    </row>
    <row r="167" ht="15.75" customHeight="1" s="95">
      <c r="A167" s="97" t="inlineStr">
        <is>
          <t>anonymus0166</t>
        </is>
      </c>
      <c r="B167" s="97" t="inlineStr">
        <is>
          <t xml:space="preserve">L </t>
        </is>
      </c>
      <c r="C167" s="97" t="inlineStr">
        <is>
          <t>1-34 Bulan</t>
        </is>
      </c>
      <c r="D167" s="97" t="inlineStr">
        <is>
          <t>8.9</t>
        </is>
      </c>
      <c r="E167" s="97" t="n">
        <v>76</v>
      </c>
      <c r="F167" s="97" t="inlineStr">
        <is>
          <t>Berat Badan Normal</t>
        </is>
      </c>
      <c r="G167" s="97" t="inlineStr">
        <is>
          <t>Normal</t>
        </is>
      </c>
      <c r="H167" s="97" t="inlineStr">
        <is>
          <t>Gizi Baik</t>
        </is>
      </c>
      <c r="I167" s="98" t="inlineStr">
        <is>
          <t>Ya</t>
        </is>
      </c>
      <c r="J167" s="98">
        <f>IF(G167="Normal","Tidak",IF(G167="Pendek","Potensi Stunting",IF(G167="Sangat Pendek","Stunting","")))</f>
        <v/>
      </c>
    </row>
    <row r="168" ht="15.75" customHeight="1" s="95">
      <c r="A168" s="97" t="inlineStr">
        <is>
          <t>anonymus0167</t>
        </is>
      </c>
      <c r="B168" s="97" t="inlineStr">
        <is>
          <t xml:space="preserve">L </t>
        </is>
      </c>
      <c r="C168" s="97" t="inlineStr">
        <is>
          <t>1-34 Bulan</t>
        </is>
      </c>
      <c r="D168" s="97" t="n">
        <v>9</v>
      </c>
      <c r="E168" s="97" t="n">
        <v>85</v>
      </c>
      <c r="F168" s="97" t="inlineStr">
        <is>
          <t>Sangat Kurang</t>
        </is>
      </c>
      <c r="G168" s="97" t="inlineStr">
        <is>
          <t>Pendek</t>
        </is>
      </c>
      <c r="H168" s="97" t="inlineStr">
        <is>
          <t>Gizi Buruk</t>
        </is>
      </c>
      <c r="I168" s="98" t="inlineStr">
        <is>
          <t>Ya</t>
        </is>
      </c>
      <c r="J168" s="98">
        <f>IF(G168="Normal","Tidak",IF(G168="Pendek","Potensi Stunting",IF(G168="Sangat Pendek","Stunting","")))</f>
        <v/>
      </c>
    </row>
    <row r="169" ht="15.75" customHeight="1" s="95">
      <c r="A169" s="97" t="inlineStr">
        <is>
          <t>anonymus0168</t>
        </is>
      </c>
      <c r="B169" s="97" t="inlineStr">
        <is>
          <t>P</t>
        </is>
      </c>
      <c r="C169" s="97" t="inlineStr">
        <is>
          <t>35-69 Bulan</t>
        </is>
      </c>
      <c r="D169" s="97" t="n">
        <v>19</v>
      </c>
      <c r="E169" s="97" t="n">
        <v>116</v>
      </c>
      <c r="F169" s="97" t="inlineStr">
        <is>
          <t>Risiko Lebih</t>
        </is>
      </c>
      <c r="G169" s="97" t="inlineStr">
        <is>
          <t>Normal</t>
        </is>
      </c>
      <c r="H169" s="97" t="inlineStr">
        <is>
          <t>Gizi Lebih</t>
        </is>
      </c>
      <c r="I169" s="98" t="inlineStr">
        <is>
          <t>Ya</t>
        </is>
      </c>
      <c r="J169" s="98">
        <f>IF(G169="Normal","Tidak",IF(G169="Pendek","Potensi Stunting",IF(G169="Sangat Pendek","Stunting","")))</f>
        <v/>
      </c>
    </row>
    <row r="170" ht="15.75" customHeight="1" s="95">
      <c r="A170" s="97" t="inlineStr">
        <is>
          <t>anonymus0169</t>
        </is>
      </c>
      <c r="B170" s="97" t="inlineStr">
        <is>
          <t>L</t>
        </is>
      </c>
      <c r="C170" s="97" t="inlineStr">
        <is>
          <t>1-34 Bulan</t>
        </is>
      </c>
      <c r="D170" s="97" t="n">
        <v>6.8</v>
      </c>
      <c r="E170" s="97" t="n">
        <v>91</v>
      </c>
      <c r="F170" s="97" t="inlineStr">
        <is>
          <t>Kurang</t>
        </is>
      </c>
      <c r="G170" s="97" t="inlineStr">
        <is>
          <t>Normal</t>
        </is>
      </c>
      <c r="H170" s="97" t="inlineStr">
        <is>
          <t>Gizi Kurang</t>
        </is>
      </c>
      <c r="I170" s="98" t="inlineStr">
        <is>
          <t>Ya</t>
        </is>
      </c>
      <c r="J170" s="98">
        <f>IF(G170="Normal","Tidak",IF(G170="Pendek","Potensi Stunting",IF(G170="Sangat Pendek","Stunting","")))</f>
        <v/>
      </c>
    </row>
    <row r="171" ht="15.75" customHeight="1" s="95">
      <c r="A171" s="97" t="inlineStr">
        <is>
          <t>anonymus0170</t>
        </is>
      </c>
      <c r="B171" s="97" t="inlineStr">
        <is>
          <t>L</t>
        </is>
      </c>
      <c r="C171" s="97" t="inlineStr">
        <is>
          <t>1-34 Bulan</t>
        </is>
      </c>
      <c r="D171" s="97" t="n">
        <v>9.4</v>
      </c>
      <c r="E171" s="97" t="n">
        <v>81</v>
      </c>
      <c r="F171" s="97" t="inlineStr">
        <is>
          <t>Berat Badan Normal</t>
        </is>
      </c>
      <c r="G171" s="97" t="inlineStr">
        <is>
          <t>Normal</t>
        </is>
      </c>
      <c r="H171" s="97" t="inlineStr">
        <is>
          <t>Gizi Baik</t>
        </is>
      </c>
      <c r="I171" s="98" t="inlineStr">
        <is>
          <t>Ya</t>
        </is>
      </c>
      <c r="J171" s="98">
        <f>IF(G171="Normal","Tidak",IF(G171="Pendek","Potensi Stunting",IF(G171="Sangat Pendek","Stunting","")))</f>
        <v/>
      </c>
    </row>
    <row r="172" ht="15.75" customHeight="1" s="95">
      <c r="A172" s="97" t="inlineStr">
        <is>
          <t>anonymus0171</t>
        </is>
      </c>
      <c r="B172" s="97" t="inlineStr">
        <is>
          <t>P</t>
        </is>
      </c>
      <c r="C172" s="97" t="inlineStr">
        <is>
          <t>1-34 Bulan</t>
        </is>
      </c>
      <c r="D172" s="97" t="n">
        <v>10</v>
      </c>
      <c r="E172" s="97" t="n">
        <v>89</v>
      </c>
      <c r="F172" s="97" t="inlineStr">
        <is>
          <t>Berat Badan Normal</t>
        </is>
      </c>
      <c r="G172" s="97" t="inlineStr">
        <is>
          <t>Normal</t>
        </is>
      </c>
      <c r="H172" s="97" t="inlineStr">
        <is>
          <t>Gizi Baik</t>
        </is>
      </c>
      <c r="I172" s="98" t="inlineStr">
        <is>
          <t>Ya</t>
        </is>
      </c>
      <c r="J172" s="98">
        <f>IF(G172="Normal","Tidak",IF(G172="Pendek","Potensi Stunting",IF(G172="Sangat Pendek","Stunting","")))</f>
        <v/>
      </c>
    </row>
    <row r="173" ht="15.75" customHeight="1" s="95">
      <c r="A173" s="97" t="inlineStr">
        <is>
          <t>anonymus0172</t>
        </is>
      </c>
      <c r="B173" s="97" t="inlineStr">
        <is>
          <t>L</t>
        </is>
      </c>
      <c r="C173" s="97" t="inlineStr">
        <is>
          <t>35-69 Bulan</t>
        </is>
      </c>
      <c r="D173" s="97" t="n">
        <v>11.5</v>
      </c>
      <c r="E173" s="97" t="n">
        <v>85</v>
      </c>
      <c r="F173" s="97" t="inlineStr">
        <is>
          <t>Kurang</t>
        </is>
      </c>
      <c r="G173" s="97" t="inlineStr">
        <is>
          <t>Sangat Pendek</t>
        </is>
      </c>
      <c r="H173" s="97" t="inlineStr">
        <is>
          <t>Gizi Baik</t>
        </is>
      </c>
      <c r="I173" s="98" t="inlineStr">
        <is>
          <t>Ya</t>
        </is>
      </c>
      <c r="J173" s="98">
        <f>IF(G173="Normal","Tidak",IF(G173="Pendek","Potensi Stunting",IF(G173="Sangat Pendek","Stunting","")))</f>
        <v/>
      </c>
    </row>
    <row r="174" ht="15.75" customHeight="1" s="95">
      <c r="A174" s="97" t="inlineStr">
        <is>
          <t>anonymus0173</t>
        </is>
      </c>
      <c r="B174" s="97" t="inlineStr">
        <is>
          <t>P</t>
        </is>
      </c>
      <c r="C174" s="97" t="inlineStr">
        <is>
          <t>35-69 Bulan</t>
        </is>
      </c>
      <c r="D174" s="97" t="n">
        <v>17</v>
      </c>
      <c r="E174" s="97" t="n">
        <v>120</v>
      </c>
      <c r="F174" s="97" t="inlineStr">
        <is>
          <t>Berat Badan Normal</t>
        </is>
      </c>
      <c r="G174" s="97" t="inlineStr">
        <is>
          <t>Normal</t>
        </is>
      </c>
      <c r="H174" s="97" t="inlineStr">
        <is>
          <t>Gizi Baik</t>
        </is>
      </c>
      <c r="I174" s="98" t="inlineStr">
        <is>
          <t>Ya</t>
        </is>
      </c>
      <c r="J174" s="98">
        <f>IF(G174="Normal","Tidak",IF(G174="Pendek","Potensi Stunting",IF(G174="Sangat Pendek","Stunting","")))</f>
        <v/>
      </c>
    </row>
    <row r="175" ht="15.75" customHeight="1" s="95">
      <c r="A175" s="97" t="inlineStr">
        <is>
          <t>anonymus0174</t>
        </is>
      </c>
      <c r="B175" s="97" t="inlineStr">
        <is>
          <t>P</t>
        </is>
      </c>
      <c r="C175" s="97" t="inlineStr">
        <is>
          <t>1-34 Bulan</t>
        </is>
      </c>
      <c r="D175" s="97" t="n">
        <v>8.9</v>
      </c>
      <c r="E175" s="97" t="n">
        <v>86</v>
      </c>
      <c r="F175" s="97" t="inlineStr">
        <is>
          <t>Kurang</t>
        </is>
      </c>
      <c r="G175" s="97" t="inlineStr">
        <is>
          <t>Normal</t>
        </is>
      </c>
      <c r="H175" s="97" t="inlineStr">
        <is>
          <t>Gizi Kurang</t>
        </is>
      </c>
      <c r="I175" s="98" t="inlineStr">
        <is>
          <t>Ya</t>
        </is>
      </c>
      <c r="J175" s="98">
        <f>IF(G175="Normal","Tidak",IF(G175="Pendek","Potensi Stunting",IF(G175="Sangat Pendek","Stunting","")))</f>
        <v/>
      </c>
    </row>
    <row r="176" ht="15.75" customHeight="1" s="95">
      <c r="A176" s="97" t="inlineStr">
        <is>
          <t>anonymus0175</t>
        </is>
      </c>
      <c r="B176" s="97" t="inlineStr">
        <is>
          <t xml:space="preserve">L </t>
        </is>
      </c>
      <c r="C176" s="97" t="inlineStr">
        <is>
          <t>35-69 Bulan</t>
        </is>
      </c>
      <c r="D176" s="97" t="inlineStr">
        <is>
          <t>13.5</t>
        </is>
      </c>
      <c r="E176" s="97" t="n">
        <v>99</v>
      </c>
      <c r="F176" s="97" t="inlineStr">
        <is>
          <t>Berat Badan Normal</t>
        </is>
      </c>
      <c r="G176" s="97" t="inlineStr">
        <is>
          <t>Normal</t>
        </is>
      </c>
      <c r="H176" s="97" t="inlineStr">
        <is>
          <t>Gizi Baik</t>
        </is>
      </c>
      <c r="I176" s="98" t="inlineStr">
        <is>
          <t>Ya</t>
        </is>
      </c>
      <c r="J176" s="98">
        <f>IF(G176="Normal","Tidak",IF(G176="Pendek","Potensi Stunting",IF(G176="Sangat Pendek","Stunting","")))</f>
        <v/>
      </c>
    </row>
    <row r="177" ht="15.75" customHeight="1" s="95">
      <c r="A177" s="97" t="inlineStr">
        <is>
          <t>anonymus0176</t>
        </is>
      </c>
      <c r="B177" s="97" t="inlineStr">
        <is>
          <t>L</t>
        </is>
      </c>
      <c r="C177" s="97" t="inlineStr">
        <is>
          <t>35-69 Bulan</t>
        </is>
      </c>
      <c r="D177" s="97" t="n">
        <v>14.1</v>
      </c>
      <c r="E177" s="97" t="n">
        <v>97</v>
      </c>
      <c r="F177" s="97" t="inlineStr">
        <is>
          <t>Berat Badan Normal</t>
        </is>
      </c>
      <c r="G177" s="97" t="inlineStr">
        <is>
          <t>Normal</t>
        </is>
      </c>
      <c r="H177" s="97" t="inlineStr">
        <is>
          <t>Gizi Baik</t>
        </is>
      </c>
      <c r="I177" s="98" t="inlineStr">
        <is>
          <t>Ya</t>
        </is>
      </c>
      <c r="J177" s="98">
        <f>IF(G177="Normal","Tidak",IF(G177="Pendek","Potensi Stunting",IF(G177="Sangat Pendek","Stunting","")))</f>
        <v/>
      </c>
    </row>
    <row r="178" ht="15.75" customHeight="1" s="95">
      <c r="A178" s="97" t="inlineStr">
        <is>
          <t>anonymus0177</t>
        </is>
      </c>
      <c r="B178" s="97" t="inlineStr">
        <is>
          <t>P</t>
        </is>
      </c>
      <c r="C178" s="97" t="inlineStr">
        <is>
          <t>35-69 Bulan</t>
        </is>
      </c>
      <c r="D178" s="97" t="n">
        <v>10.6</v>
      </c>
      <c r="E178" s="97" t="n">
        <v>94</v>
      </c>
      <c r="F178" s="97" t="inlineStr">
        <is>
          <t>Kurang</t>
        </is>
      </c>
      <c r="G178" s="97" t="inlineStr">
        <is>
          <t>Normal</t>
        </is>
      </c>
      <c r="H178" s="97" t="inlineStr">
        <is>
          <t>Gizi Kurang</t>
        </is>
      </c>
      <c r="I178" s="98" t="inlineStr">
        <is>
          <t>Ya</t>
        </is>
      </c>
      <c r="J178" s="98">
        <f>IF(G178="Normal","Tidak",IF(G178="Pendek","Potensi Stunting",IF(G178="Sangat Pendek","Stunting","")))</f>
        <v/>
      </c>
    </row>
    <row r="179" ht="15.75" customHeight="1" s="95">
      <c r="A179" s="97" t="inlineStr">
        <is>
          <t>anonymus0178</t>
        </is>
      </c>
      <c r="B179" s="97" t="inlineStr">
        <is>
          <t>L</t>
        </is>
      </c>
      <c r="C179" s="97" t="inlineStr">
        <is>
          <t>1-34 Bulan</t>
        </is>
      </c>
      <c r="D179" s="97" t="n">
        <v>9.800000000000001</v>
      </c>
      <c r="E179" s="97" t="n">
        <v>84.5</v>
      </c>
      <c r="F179" s="97" t="inlineStr">
        <is>
          <t>Kurang</t>
        </is>
      </c>
      <c r="G179" s="97" t="inlineStr">
        <is>
          <t>Pendek</t>
        </is>
      </c>
      <c r="H179" s="97" t="inlineStr">
        <is>
          <t>Gizi Kurang</t>
        </is>
      </c>
      <c r="I179" s="98" t="inlineStr">
        <is>
          <t>Ya</t>
        </is>
      </c>
      <c r="J179" s="98">
        <f>IF(G179="Normal","Tidak",IF(G179="Pendek","Potensi Stunting",IF(G179="Sangat Pendek","Stunting","")))</f>
        <v/>
      </c>
    </row>
    <row r="180" ht="15.75" customHeight="1" s="95">
      <c r="A180" s="97" t="inlineStr">
        <is>
          <t>anonymus0179</t>
        </is>
      </c>
      <c r="B180" s="97" t="inlineStr">
        <is>
          <t xml:space="preserve">L </t>
        </is>
      </c>
      <c r="C180" s="97" t="inlineStr">
        <is>
          <t>1-34 Bulan</t>
        </is>
      </c>
      <c r="D180" s="97" t="inlineStr">
        <is>
          <t>10.2</t>
        </is>
      </c>
      <c r="E180" s="97" t="n">
        <v>81</v>
      </c>
      <c r="F180" s="97" t="inlineStr">
        <is>
          <t>Berat Badan Normal</t>
        </is>
      </c>
      <c r="G180" s="97" t="inlineStr">
        <is>
          <t>Normal</t>
        </is>
      </c>
      <c r="H180" s="97" t="inlineStr">
        <is>
          <t>Gizi Baik</t>
        </is>
      </c>
      <c r="I180" s="98" t="inlineStr">
        <is>
          <t>Ya</t>
        </is>
      </c>
      <c r="J180" s="98">
        <f>IF(G180="Normal","Tidak",IF(G180="Pendek","Potensi Stunting",IF(G180="Sangat Pendek","Stunting","")))</f>
        <v/>
      </c>
    </row>
    <row r="181" ht="15.75" customHeight="1" s="95">
      <c r="A181" s="97" t="inlineStr">
        <is>
          <t>anonymus0180</t>
        </is>
      </c>
      <c r="B181" s="97" t="inlineStr">
        <is>
          <t>P</t>
        </is>
      </c>
      <c r="C181" s="97" t="inlineStr">
        <is>
          <t>35-69 Bulan</t>
        </is>
      </c>
      <c r="D181" s="97" t="n">
        <v>10.2</v>
      </c>
      <c r="E181" s="97" t="n">
        <v>81</v>
      </c>
      <c r="F181" s="97" t="inlineStr">
        <is>
          <t>Normal</t>
        </is>
      </c>
      <c r="G181" s="97" t="inlineStr">
        <is>
          <t>Pendek</t>
        </is>
      </c>
      <c r="H181" s="97" t="inlineStr">
        <is>
          <t>Gizi Baik</t>
        </is>
      </c>
      <c r="I181" s="98" t="inlineStr">
        <is>
          <t>Ya</t>
        </is>
      </c>
      <c r="J181" s="98">
        <f>IF(G181="Normal","Tidak",IF(G181="Pendek","Potensi Stunting",IF(G181="Sangat Pendek","Stunting","")))</f>
        <v/>
      </c>
    </row>
    <row r="182" ht="15.75" customHeight="1" s="95">
      <c r="A182" s="97" t="inlineStr">
        <is>
          <t>anonymus0181</t>
        </is>
      </c>
      <c r="B182" s="97" t="inlineStr">
        <is>
          <t>P</t>
        </is>
      </c>
      <c r="C182" s="97" t="inlineStr">
        <is>
          <t>35-69 Bulan</t>
        </is>
      </c>
      <c r="D182" s="97" t="n">
        <v>10.9</v>
      </c>
      <c r="E182" s="97" t="n">
        <v>85</v>
      </c>
      <c r="F182" s="97" t="inlineStr">
        <is>
          <t>Normal</t>
        </is>
      </c>
      <c r="G182" s="97" t="inlineStr">
        <is>
          <t>Pendek</t>
        </is>
      </c>
      <c r="H182" s="97" t="inlineStr">
        <is>
          <t>Gizi Baik</t>
        </is>
      </c>
      <c r="I182" s="98" t="inlineStr">
        <is>
          <t>Ya</t>
        </is>
      </c>
      <c r="J182" s="98">
        <f>IF(G182="Normal","Tidak",IF(G182="Pendek","Potensi Stunting",IF(G182="Sangat Pendek","Stunting","")))</f>
        <v/>
      </c>
    </row>
    <row r="183" ht="15.75" customHeight="1" s="95">
      <c r="A183" s="99" t="inlineStr">
        <is>
          <t>anonymus0182</t>
        </is>
      </c>
      <c r="B183" s="97" t="inlineStr">
        <is>
          <t>L</t>
        </is>
      </c>
      <c r="C183" s="97" t="n">
        <v>93</v>
      </c>
      <c r="D183" s="97" t="n">
        <v>14.4</v>
      </c>
      <c r="E183" s="97" t="n">
        <v>96</v>
      </c>
      <c r="F183" s="97" t="inlineStr">
        <is>
          <t>Normal</t>
        </is>
      </c>
      <c r="G183" s="97" t="inlineStr">
        <is>
          <t>Pendek</t>
        </is>
      </c>
      <c r="H183" s="97" t="inlineStr">
        <is>
          <t>Gizi Baik</t>
        </is>
      </c>
      <c r="I183" s="98" t="inlineStr">
        <is>
          <t>Ya</t>
        </is>
      </c>
      <c r="J183" s="98">
        <f>IF(G183="Normal","Tidak",IF(G183="Pendek","Potensi Stunting",IF(G183="Sangat Pendek","Stunting","")))</f>
        <v/>
      </c>
    </row>
    <row r="184" ht="15.75" customHeight="1" s="95">
      <c r="A184" s="97" t="inlineStr">
        <is>
          <t>anonymus0183</t>
        </is>
      </c>
      <c r="B184" s="97" t="inlineStr">
        <is>
          <t xml:space="preserve">L </t>
        </is>
      </c>
      <c r="C184" s="97" t="inlineStr">
        <is>
          <t>35-69 Bulan</t>
        </is>
      </c>
      <c r="D184" s="97" t="inlineStr">
        <is>
          <t>17.5</t>
        </is>
      </c>
      <c r="E184" s="97" t="n">
        <v>105</v>
      </c>
      <c r="F184" s="97" t="inlineStr">
        <is>
          <t>Berat Badan Normal</t>
        </is>
      </c>
      <c r="G184" s="97" t="inlineStr">
        <is>
          <t>Normal</t>
        </is>
      </c>
      <c r="H184" s="97" t="inlineStr">
        <is>
          <t>Gizi Baik</t>
        </is>
      </c>
      <c r="I184" s="98" t="inlineStr">
        <is>
          <t>Ya</t>
        </is>
      </c>
      <c r="J184" s="98">
        <f>IF(G184="Normal","Tidak",IF(G184="Pendek","Potensi Stunting",IF(G184="Sangat Pendek","Stunting","")))</f>
        <v/>
      </c>
    </row>
    <row r="185" ht="15.75" customHeight="1" s="95">
      <c r="A185" s="97" t="inlineStr">
        <is>
          <t>anonymus0184</t>
        </is>
      </c>
      <c r="B185" s="97" t="inlineStr">
        <is>
          <t xml:space="preserve">P </t>
        </is>
      </c>
      <c r="C185" s="97" t="inlineStr">
        <is>
          <t>35-69 Bulan</t>
        </is>
      </c>
      <c r="D185" s="97" t="inlineStr">
        <is>
          <t>18.2</t>
        </is>
      </c>
      <c r="E185" s="97" t="n">
        <v>106</v>
      </c>
      <c r="F185" s="97" t="inlineStr">
        <is>
          <t>Berat Badan Normal</t>
        </is>
      </c>
      <c r="G185" s="97" t="inlineStr">
        <is>
          <t>Normal</t>
        </is>
      </c>
      <c r="H185" s="97" t="inlineStr">
        <is>
          <t>Gizi Baik</t>
        </is>
      </c>
      <c r="I185" s="98" t="inlineStr">
        <is>
          <t>Ya</t>
        </is>
      </c>
      <c r="J185" s="98">
        <f>IF(G185="Normal","Tidak",IF(G185="Pendek","Potensi Stunting",IF(G185="Sangat Pendek","Stunting","")))</f>
        <v/>
      </c>
    </row>
    <row r="186" ht="15.75" customHeight="1" s="95">
      <c r="A186" s="99" t="inlineStr">
        <is>
          <t>anonymus0185</t>
        </is>
      </c>
      <c r="B186" s="97" t="inlineStr">
        <is>
          <t>L</t>
        </is>
      </c>
      <c r="C186" s="97" t="n">
        <v>73</v>
      </c>
      <c r="D186" s="97" t="n">
        <v>14.3</v>
      </c>
      <c r="E186" s="97" t="n">
        <v>100</v>
      </c>
      <c r="F186" s="97" t="inlineStr">
        <is>
          <t>Normal</t>
        </is>
      </c>
      <c r="G186" s="97" t="inlineStr">
        <is>
          <t>Pendek</t>
        </is>
      </c>
      <c r="H186" s="97" t="inlineStr">
        <is>
          <t>Gizi Baik</t>
        </is>
      </c>
      <c r="I186" s="98" t="inlineStr">
        <is>
          <t>Ya</t>
        </is>
      </c>
      <c r="J186" s="98">
        <f>IF(G186="Normal","Tidak",IF(G186="Pendek","Potensi Stunting",IF(G186="Sangat Pendek","Stunting","")))</f>
        <v/>
      </c>
    </row>
    <row r="187" ht="15.75" customHeight="1" s="95">
      <c r="A187" s="97" t="inlineStr">
        <is>
          <t>anonymus0186</t>
        </is>
      </c>
      <c r="B187" s="97" t="inlineStr">
        <is>
          <t>L</t>
        </is>
      </c>
      <c r="C187" s="97" t="inlineStr">
        <is>
          <t>35-69 Bulan</t>
        </is>
      </c>
      <c r="D187" s="97" t="n">
        <v>16.2</v>
      </c>
      <c r="E187" s="97" t="n">
        <v>104</v>
      </c>
      <c r="F187" s="97" t="inlineStr">
        <is>
          <t>Berat Badan Normal</t>
        </is>
      </c>
      <c r="G187" s="97" t="inlineStr">
        <is>
          <t>Normal</t>
        </is>
      </c>
      <c r="H187" s="97" t="inlineStr">
        <is>
          <t>Gizi Baik</t>
        </is>
      </c>
      <c r="I187" s="98" t="inlineStr">
        <is>
          <t>Ya</t>
        </is>
      </c>
      <c r="J187" s="98">
        <f>IF(G187="Normal","Tidak",IF(G187="Pendek","Potensi Stunting",IF(G187="Sangat Pendek","Stunting","")))</f>
        <v/>
      </c>
    </row>
    <row r="188" ht="15.75" customHeight="1" s="95">
      <c r="A188" s="97" t="inlineStr">
        <is>
          <t>anonymus0187</t>
        </is>
      </c>
      <c r="B188" s="97" t="inlineStr">
        <is>
          <t xml:space="preserve">L </t>
        </is>
      </c>
      <c r="C188" s="97" t="inlineStr">
        <is>
          <t>1-34 Bulan</t>
        </is>
      </c>
      <c r="D188" s="97" t="inlineStr">
        <is>
          <t>6.9</t>
        </is>
      </c>
      <c r="E188" s="97" t="n">
        <v>62</v>
      </c>
      <c r="F188" s="97" t="inlineStr">
        <is>
          <t>Berat Badan Normal</t>
        </is>
      </c>
      <c r="G188" s="97" t="inlineStr">
        <is>
          <t>Normal</t>
        </is>
      </c>
      <c r="H188" s="97" t="inlineStr">
        <is>
          <t>Gizi Baik</t>
        </is>
      </c>
      <c r="I188" s="98" t="inlineStr">
        <is>
          <t>Ya</t>
        </is>
      </c>
      <c r="J188" s="98">
        <f>IF(G188="Normal","Tidak",IF(G188="Pendek","Potensi Stunting",IF(G188="Sangat Pendek","Stunting","")))</f>
        <v/>
      </c>
    </row>
    <row r="189" ht="15.75" customHeight="1" s="95">
      <c r="A189" s="97" t="inlineStr">
        <is>
          <t>anonymus0188</t>
        </is>
      </c>
      <c r="B189" s="97" t="inlineStr">
        <is>
          <t xml:space="preserve">L </t>
        </is>
      </c>
      <c r="C189" s="97" t="inlineStr">
        <is>
          <t>1-34 Bulan</t>
        </is>
      </c>
      <c r="D189" s="97" t="inlineStr">
        <is>
          <t>12.7</t>
        </is>
      </c>
      <c r="E189" s="97" t="n">
        <v>92</v>
      </c>
      <c r="F189" s="97" t="inlineStr">
        <is>
          <t>Berat Badan Normal</t>
        </is>
      </c>
      <c r="G189" s="97" t="inlineStr">
        <is>
          <t>Normal</t>
        </is>
      </c>
      <c r="H189" s="97" t="inlineStr">
        <is>
          <t>Gizi Baik</t>
        </is>
      </c>
      <c r="I189" s="98" t="inlineStr">
        <is>
          <t>Ya</t>
        </is>
      </c>
      <c r="J189" s="98">
        <f>IF(G189="Normal","Tidak",IF(G189="Pendek","Potensi Stunting",IF(G189="Sangat Pendek","Stunting","")))</f>
        <v/>
      </c>
    </row>
    <row r="190" ht="15.75" customHeight="1" s="95">
      <c r="A190" s="97" t="inlineStr">
        <is>
          <t>anonymus0189</t>
        </is>
      </c>
      <c r="B190" s="97" t="inlineStr">
        <is>
          <t>L</t>
        </is>
      </c>
      <c r="C190" s="97" t="inlineStr">
        <is>
          <t>35-69 Bulan</t>
        </is>
      </c>
      <c r="D190" s="97" t="n">
        <v>11.3</v>
      </c>
      <c r="E190" s="97" t="n">
        <v>88</v>
      </c>
      <c r="F190" s="97" t="inlineStr">
        <is>
          <t>Normal</t>
        </is>
      </c>
      <c r="G190" s="97" t="inlineStr">
        <is>
          <t>Pendek</t>
        </is>
      </c>
      <c r="H190" s="97" t="inlineStr">
        <is>
          <t>Gizi Baik</t>
        </is>
      </c>
      <c r="I190" s="98" t="inlineStr">
        <is>
          <t>Ya</t>
        </is>
      </c>
      <c r="J190" s="98">
        <f>IF(G190="Normal","Tidak",IF(G190="Pendek","Potensi Stunting",IF(G190="Sangat Pendek","Stunting","")))</f>
        <v/>
      </c>
    </row>
    <row r="191" ht="15.75" customHeight="1" s="95">
      <c r="A191" s="97" t="inlineStr">
        <is>
          <t>anonymus0190</t>
        </is>
      </c>
      <c r="B191" s="97" t="inlineStr">
        <is>
          <t>P</t>
        </is>
      </c>
      <c r="C191" s="97" t="inlineStr">
        <is>
          <t>35-69 Bulan</t>
        </is>
      </c>
      <c r="D191" s="97" t="n">
        <v>7.7</v>
      </c>
      <c r="E191" s="97" t="n">
        <v>70</v>
      </c>
      <c r="F191" s="97" t="inlineStr">
        <is>
          <t>Kurang</t>
        </is>
      </c>
      <c r="G191" s="97" t="inlineStr">
        <is>
          <t>Sangat Pendek</t>
        </is>
      </c>
      <c r="H191" s="97" t="inlineStr">
        <is>
          <t>Gizi Baik</t>
        </is>
      </c>
      <c r="I191" s="98" t="inlineStr">
        <is>
          <t>Ya</t>
        </is>
      </c>
      <c r="J191" s="98">
        <f>IF(G191="Normal","Tidak",IF(G191="Pendek","Potensi Stunting",IF(G191="Sangat Pendek","Stunting","")))</f>
        <v/>
      </c>
    </row>
    <row r="192" ht="15.75" customHeight="1" s="95">
      <c r="A192" s="97" t="inlineStr">
        <is>
          <t>anonymus0191</t>
        </is>
      </c>
      <c r="B192" s="97" t="inlineStr">
        <is>
          <t>L</t>
        </is>
      </c>
      <c r="C192" s="97" t="inlineStr">
        <is>
          <t>35-69 Bulan</t>
        </is>
      </c>
      <c r="D192" s="97" t="n">
        <v>14.9</v>
      </c>
      <c r="E192" s="97" t="n">
        <v>103</v>
      </c>
      <c r="F192" s="97" t="inlineStr">
        <is>
          <t>Berat Badan Normal</t>
        </is>
      </c>
      <c r="G192" s="97" t="inlineStr">
        <is>
          <t>Normal</t>
        </is>
      </c>
      <c r="H192" s="97" t="inlineStr">
        <is>
          <t>Gizi Baik</t>
        </is>
      </c>
      <c r="I192" s="98" t="inlineStr">
        <is>
          <t>Ya</t>
        </is>
      </c>
      <c r="J192" s="98">
        <f>IF(G192="Normal","Tidak",IF(G192="Pendek","Potensi Stunting",IF(G192="Sangat Pendek","Stunting","")))</f>
        <v/>
      </c>
    </row>
    <row r="193" ht="15.75" customHeight="1" s="95">
      <c r="A193" s="97" t="inlineStr">
        <is>
          <t>anonymus0192</t>
        </is>
      </c>
      <c r="B193" s="97" t="inlineStr">
        <is>
          <t>P</t>
        </is>
      </c>
      <c r="C193" s="97" t="inlineStr">
        <is>
          <t>35-69 Bulan</t>
        </is>
      </c>
      <c r="D193" s="97" t="n">
        <v>10.5</v>
      </c>
      <c r="E193" s="97" t="n">
        <v>93</v>
      </c>
      <c r="F193" s="97" t="inlineStr">
        <is>
          <t>Berat Badan Normal</t>
        </is>
      </c>
      <c r="G193" s="97" t="inlineStr">
        <is>
          <t>Normal</t>
        </is>
      </c>
      <c r="H193" s="97" t="inlineStr">
        <is>
          <t>Gizi Baik</t>
        </is>
      </c>
      <c r="I193" s="98" t="inlineStr">
        <is>
          <t>Ya</t>
        </is>
      </c>
      <c r="J193" s="98">
        <f>IF(G193="Normal","Tidak",IF(G193="Pendek","Potensi Stunting",IF(G193="Sangat Pendek","Stunting","")))</f>
        <v/>
      </c>
    </row>
    <row r="194" ht="15.75" customHeight="1" s="95">
      <c r="A194" s="97" t="inlineStr">
        <is>
          <t>anonymus0193</t>
        </is>
      </c>
      <c r="B194" s="97" t="inlineStr">
        <is>
          <t>L</t>
        </is>
      </c>
      <c r="C194" s="97" t="inlineStr">
        <is>
          <t>35-69 Bulan</t>
        </is>
      </c>
      <c r="D194" s="97" t="n">
        <v>10.4</v>
      </c>
      <c r="E194" s="97" t="n">
        <v>83</v>
      </c>
      <c r="F194" s="97" t="inlineStr">
        <is>
          <t>Kurang</t>
        </is>
      </c>
      <c r="G194" s="97" t="inlineStr">
        <is>
          <t>Pendek</t>
        </is>
      </c>
      <c r="H194" s="97" t="inlineStr">
        <is>
          <t>Gizi Baik</t>
        </is>
      </c>
      <c r="I194" s="98" t="inlineStr">
        <is>
          <t>Ya</t>
        </is>
      </c>
      <c r="J194" s="98">
        <f>IF(G194="Normal","Tidak",IF(G194="Pendek","Potensi Stunting",IF(G194="Sangat Pendek","Stunting","")))</f>
        <v/>
      </c>
    </row>
    <row r="195" ht="15.75" customHeight="1" s="95">
      <c r="A195" s="97" t="inlineStr">
        <is>
          <t>anonymus0194</t>
        </is>
      </c>
      <c r="B195" s="97" t="inlineStr">
        <is>
          <t>L</t>
        </is>
      </c>
      <c r="C195" s="97" t="inlineStr">
        <is>
          <t>35-69 Bulan</t>
        </is>
      </c>
      <c r="D195" s="97" t="n">
        <v>10.9</v>
      </c>
      <c r="E195" s="97" t="n">
        <v>104</v>
      </c>
      <c r="F195" s="97" t="inlineStr">
        <is>
          <t>Berat Badan Normal</t>
        </is>
      </c>
      <c r="G195" s="97" t="inlineStr">
        <is>
          <t>Normal</t>
        </is>
      </c>
      <c r="H195" s="97" t="inlineStr">
        <is>
          <t>Gizi Baik</t>
        </is>
      </c>
      <c r="I195" s="98" t="inlineStr">
        <is>
          <t>Ya</t>
        </is>
      </c>
      <c r="J195" s="98">
        <f>IF(G195="Normal","Tidak",IF(G195="Pendek","Potensi Stunting",IF(G195="Sangat Pendek","Stunting","")))</f>
        <v/>
      </c>
    </row>
    <row r="196" ht="15.75" customHeight="1" s="95">
      <c r="A196" s="97" t="inlineStr">
        <is>
          <t>anonymus0195</t>
        </is>
      </c>
      <c r="B196" s="97" t="inlineStr">
        <is>
          <t>L</t>
        </is>
      </c>
      <c r="C196" s="97" t="inlineStr">
        <is>
          <t>35-69 Bulan</t>
        </is>
      </c>
      <c r="D196" s="97" t="n">
        <v>11.2</v>
      </c>
      <c r="E196" s="97" t="n">
        <v>85</v>
      </c>
      <c r="F196" s="97" t="inlineStr">
        <is>
          <t>Normal</t>
        </is>
      </c>
      <c r="G196" s="97" t="inlineStr">
        <is>
          <t>Pendek</t>
        </is>
      </c>
      <c r="H196" s="97" t="inlineStr">
        <is>
          <t>Gizi Baik</t>
        </is>
      </c>
      <c r="I196" s="98" t="inlineStr">
        <is>
          <t>Ya</t>
        </is>
      </c>
      <c r="J196" s="98">
        <f>IF(G196="Normal","Tidak",IF(G196="Pendek","Potensi Stunting",IF(G196="Sangat Pendek","Stunting","")))</f>
        <v/>
      </c>
    </row>
    <row r="197" ht="15.75" customHeight="1" s="95">
      <c r="A197" s="97" t="inlineStr">
        <is>
          <t>anonymus0196</t>
        </is>
      </c>
      <c r="B197" s="97" t="inlineStr">
        <is>
          <t>L</t>
        </is>
      </c>
      <c r="C197" s="97" t="inlineStr">
        <is>
          <t>35-69 Bulan</t>
        </is>
      </c>
      <c r="D197" s="97" t="n">
        <v>12.6</v>
      </c>
      <c r="E197" s="97" t="n">
        <v>85</v>
      </c>
      <c r="F197" s="97" t="inlineStr">
        <is>
          <t>Normal</t>
        </is>
      </c>
      <c r="G197" s="97" t="inlineStr">
        <is>
          <t>Pendek</t>
        </is>
      </c>
      <c r="H197" s="97" t="inlineStr">
        <is>
          <t>Gizi Baik</t>
        </is>
      </c>
      <c r="I197" s="98" t="inlineStr">
        <is>
          <t>Ya</t>
        </is>
      </c>
      <c r="J197" s="98">
        <f>IF(G197="Normal","Tidak",IF(G197="Pendek","Potensi Stunting",IF(G197="Sangat Pendek","Stunting","")))</f>
        <v/>
      </c>
    </row>
    <row r="198" ht="15.75" customHeight="1" s="95">
      <c r="A198" s="97" t="inlineStr">
        <is>
          <t>anonymus0197</t>
        </is>
      </c>
      <c r="B198" s="97" t="inlineStr">
        <is>
          <t>P</t>
        </is>
      </c>
      <c r="C198" s="97" t="inlineStr">
        <is>
          <t>1-34 Bulan</t>
        </is>
      </c>
      <c r="D198" s="97" t="n">
        <v>8.800000000000001</v>
      </c>
      <c r="E198" s="97" t="n">
        <v>76</v>
      </c>
      <c r="F198" s="97" t="inlineStr">
        <is>
          <t>Kurang</t>
        </is>
      </c>
      <c r="G198" s="97" t="inlineStr">
        <is>
          <t>Normal</t>
        </is>
      </c>
      <c r="H198" s="97" t="inlineStr">
        <is>
          <t>Gizi Kurang</t>
        </is>
      </c>
      <c r="I198" s="98" t="inlineStr">
        <is>
          <t>Ya</t>
        </is>
      </c>
      <c r="J198" s="98">
        <f>IF(G198="Normal","Tidak",IF(G198="Pendek","Potensi Stunting",IF(G198="Sangat Pendek","Stunting","")))</f>
        <v/>
      </c>
    </row>
    <row r="199" ht="15.75" customHeight="1" s="95">
      <c r="A199" s="97" t="inlineStr">
        <is>
          <t>anonymus0198</t>
        </is>
      </c>
      <c r="B199" s="97" t="inlineStr">
        <is>
          <t xml:space="preserve">L </t>
        </is>
      </c>
      <c r="C199" s="97" t="inlineStr">
        <is>
          <t>35-69 Bulan</t>
        </is>
      </c>
      <c r="D199" s="97" t="inlineStr">
        <is>
          <t>15.9</t>
        </is>
      </c>
      <c r="E199" s="97" t="n">
        <v>100</v>
      </c>
      <c r="F199" s="97" t="inlineStr">
        <is>
          <t>Berat Badan Normal</t>
        </is>
      </c>
      <c r="G199" s="97" t="inlineStr">
        <is>
          <t>Normal</t>
        </is>
      </c>
      <c r="H199" s="97" t="inlineStr">
        <is>
          <t>Gizi Baik</t>
        </is>
      </c>
      <c r="I199" s="98" t="inlineStr">
        <is>
          <t>Ya</t>
        </is>
      </c>
      <c r="J199" s="98">
        <f>IF(G199="Normal","Tidak",IF(G199="Pendek","Potensi Stunting",IF(G199="Sangat Pendek","Stunting","")))</f>
        <v/>
      </c>
    </row>
    <row r="200" ht="15.75" customHeight="1" s="95">
      <c r="A200" s="97" t="inlineStr">
        <is>
          <t>anonymus0199</t>
        </is>
      </c>
      <c r="B200" s="97" t="inlineStr">
        <is>
          <t xml:space="preserve">L </t>
        </is>
      </c>
      <c r="C200" s="97" t="inlineStr">
        <is>
          <t>1-34 Bulan</t>
        </is>
      </c>
      <c r="D200" s="97" t="inlineStr">
        <is>
          <t>10.8</t>
        </is>
      </c>
      <c r="E200" s="97" t="n">
        <v>79</v>
      </c>
      <c r="F200" s="97" t="inlineStr">
        <is>
          <t>Berat Badan Normal</t>
        </is>
      </c>
      <c r="G200" s="97" t="inlineStr">
        <is>
          <t>Pendek</t>
        </is>
      </c>
      <c r="H200" s="97" t="inlineStr">
        <is>
          <t>Gizi Baik</t>
        </is>
      </c>
      <c r="I200" s="98" t="inlineStr">
        <is>
          <t>Ya</t>
        </is>
      </c>
      <c r="J200" s="98">
        <f>IF(G200="Normal","Tidak",IF(G200="Pendek","Potensi Stunting",IF(G200="Sangat Pendek","Stunting","")))</f>
        <v/>
      </c>
    </row>
    <row r="201" ht="15.75" customHeight="1" s="95">
      <c r="A201" s="97" t="inlineStr">
        <is>
          <t>anonymus0200</t>
        </is>
      </c>
      <c r="B201" s="97" t="inlineStr">
        <is>
          <t>P</t>
        </is>
      </c>
      <c r="C201" s="97" t="inlineStr">
        <is>
          <t>35-69 Bulan</t>
        </is>
      </c>
      <c r="D201" s="97" t="n">
        <v>10.1</v>
      </c>
      <c r="E201" s="97" t="n">
        <v>93</v>
      </c>
      <c r="F201" s="97" t="inlineStr">
        <is>
          <t>Berat Badan Normal</t>
        </is>
      </c>
      <c r="G201" s="97" t="inlineStr">
        <is>
          <t>Normal</t>
        </is>
      </c>
      <c r="H201" s="97" t="inlineStr">
        <is>
          <t>Gizi Baik</t>
        </is>
      </c>
      <c r="I201" s="98" t="inlineStr">
        <is>
          <t>Ya</t>
        </is>
      </c>
      <c r="J201" s="98">
        <f>IF(G201="Normal","Tidak",IF(G201="Pendek","Potensi Stunting",IF(G201="Sangat Pendek","Stunting","")))</f>
        <v/>
      </c>
    </row>
    <row r="202" ht="15.75" customHeight="1" s="95">
      <c r="A202" s="97" t="inlineStr">
        <is>
          <t>anonymus0201</t>
        </is>
      </c>
      <c r="B202" s="97" t="inlineStr">
        <is>
          <t>L</t>
        </is>
      </c>
      <c r="C202" s="97" t="inlineStr">
        <is>
          <t>35-69 Bulan</t>
        </is>
      </c>
      <c r="D202" s="97" t="n">
        <v>8.640000000000001</v>
      </c>
      <c r="E202" s="97" t="n">
        <v>78</v>
      </c>
      <c r="F202" s="97" t="inlineStr">
        <is>
          <t>Kurang</t>
        </is>
      </c>
      <c r="G202" s="97" t="inlineStr">
        <is>
          <t>Pendek</t>
        </is>
      </c>
      <c r="H202" s="97" t="inlineStr">
        <is>
          <t>Gizi Kurang</t>
        </is>
      </c>
      <c r="I202" s="98" t="inlineStr">
        <is>
          <t>Ya</t>
        </is>
      </c>
      <c r="J202" s="98">
        <f>IF(G202="Normal","Tidak",IF(G202="Pendek","Potensi Stunting",IF(G202="Sangat Pendek","Stunting","")))</f>
        <v/>
      </c>
    </row>
    <row r="203" ht="15.75" customHeight="1" s="95">
      <c r="A203" s="97" t="inlineStr">
        <is>
          <t>anonymus0202</t>
        </is>
      </c>
      <c r="B203" s="97" t="inlineStr">
        <is>
          <t>P</t>
        </is>
      </c>
      <c r="C203" s="97" t="inlineStr">
        <is>
          <t>35-69 Bulan</t>
        </is>
      </c>
      <c r="D203" s="97" t="n">
        <v>11.5</v>
      </c>
      <c r="E203" s="97" t="n">
        <v>92</v>
      </c>
      <c r="F203" s="97" t="inlineStr">
        <is>
          <t>Kurang</t>
        </is>
      </c>
      <c r="G203" s="97" t="inlineStr">
        <is>
          <t>Pendek</t>
        </is>
      </c>
      <c r="H203" s="97" t="inlineStr">
        <is>
          <t>Gizi Baik</t>
        </is>
      </c>
      <c r="I203" s="98" t="inlineStr">
        <is>
          <t>Ya</t>
        </is>
      </c>
      <c r="J203" s="98">
        <f>IF(G203="Normal","Tidak",IF(G203="Pendek","Potensi Stunting",IF(G203="Sangat Pendek","Stunting","")))</f>
        <v/>
      </c>
    </row>
    <row r="204" ht="15.75" customHeight="1" s="95">
      <c r="A204" s="97" t="inlineStr">
        <is>
          <t>anonymus0203</t>
        </is>
      </c>
      <c r="B204" s="97" t="inlineStr">
        <is>
          <t>P</t>
        </is>
      </c>
      <c r="C204" s="97" t="inlineStr">
        <is>
          <t>1-34 Bulan</t>
        </is>
      </c>
      <c r="D204" s="97" t="n">
        <v>11</v>
      </c>
      <c r="E204" s="97" t="n">
        <v>97</v>
      </c>
      <c r="F204" s="97" t="inlineStr">
        <is>
          <t>Berat Badan Normal</t>
        </is>
      </c>
      <c r="G204" s="97" t="inlineStr">
        <is>
          <t>Normal</t>
        </is>
      </c>
      <c r="H204" s="97" t="inlineStr">
        <is>
          <t>Gizi Baik</t>
        </is>
      </c>
      <c r="I204" s="98" t="inlineStr">
        <is>
          <t>Ya</t>
        </is>
      </c>
      <c r="J204" s="98">
        <f>IF(G204="Normal","Tidak",IF(G204="Pendek","Potensi Stunting",IF(G204="Sangat Pendek","Stunting","")))</f>
        <v/>
      </c>
    </row>
    <row r="205" ht="15.75" customHeight="1" s="95">
      <c r="A205" s="97" t="inlineStr">
        <is>
          <t>anonymus0204</t>
        </is>
      </c>
      <c r="B205" s="97" t="inlineStr">
        <is>
          <t>P</t>
        </is>
      </c>
      <c r="C205" s="97" t="inlineStr">
        <is>
          <t>35-69 Bulan</t>
        </is>
      </c>
      <c r="D205" s="97" t="n">
        <v>19.4</v>
      </c>
      <c r="E205" s="97" t="n">
        <v>105</v>
      </c>
      <c r="F205" s="97" t="inlineStr">
        <is>
          <t>Risiko Lebih</t>
        </is>
      </c>
      <c r="G205" s="97" t="inlineStr">
        <is>
          <t>Normal</t>
        </is>
      </c>
      <c r="H205" s="97" t="inlineStr">
        <is>
          <t>Gizi Lebih</t>
        </is>
      </c>
      <c r="I205" s="98" t="inlineStr">
        <is>
          <t>Ya</t>
        </is>
      </c>
      <c r="J205" s="98">
        <f>IF(G205="Normal","Tidak",IF(G205="Pendek","Potensi Stunting",IF(G205="Sangat Pendek","Stunting","")))</f>
        <v/>
      </c>
    </row>
    <row r="206" ht="15.75" customHeight="1" s="95">
      <c r="A206" s="97" t="inlineStr">
        <is>
          <t>anonymus0205</t>
        </is>
      </c>
      <c r="B206" s="97" t="inlineStr">
        <is>
          <t>L</t>
        </is>
      </c>
      <c r="C206" s="97" t="inlineStr">
        <is>
          <t>35-69 Bulan</t>
        </is>
      </c>
      <c r="D206" s="97" t="n">
        <v>18.6</v>
      </c>
      <c r="E206" s="97" t="n">
        <v>119</v>
      </c>
      <c r="F206" s="97" t="inlineStr">
        <is>
          <t>Risiko Lebih</t>
        </is>
      </c>
      <c r="G206" s="97" t="inlineStr">
        <is>
          <t>Normal</t>
        </is>
      </c>
      <c r="H206" s="97" t="inlineStr">
        <is>
          <t>Gizi Lebih</t>
        </is>
      </c>
      <c r="I206" s="98" t="inlineStr">
        <is>
          <t>Ya</t>
        </is>
      </c>
      <c r="J206" s="98">
        <f>IF(G206="Normal","Tidak",IF(G206="Pendek","Potensi Stunting",IF(G206="Sangat Pendek","Stunting","")))</f>
        <v/>
      </c>
    </row>
    <row r="207" ht="15.75" customHeight="1" s="95">
      <c r="A207" s="97" t="inlineStr">
        <is>
          <t>anonymus0206</t>
        </is>
      </c>
      <c r="B207" s="97" t="inlineStr">
        <is>
          <t>L</t>
        </is>
      </c>
      <c r="C207" s="97" t="inlineStr">
        <is>
          <t>35-69 Bulan</t>
        </is>
      </c>
      <c r="D207" s="97" t="n">
        <v>17</v>
      </c>
      <c r="E207" s="97" t="n">
        <v>119</v>
      </c>
      <c r="F207" s="97" t="inlineStr">
        <is>
          <t>Berat Badan Normal</t>
        </is>
      </c>
      <c r="G207" s="97" t="inlineStr">
        <is>
          <t>Normal</t>
        </is>
      </c>
      <c r="H207" s="97" t="inlineStr">
        <is>
          <t>Gizi Baik</t>
        </is>
      </c>
      <c r="I207" s="98" t="inlineStr">
        <is>
          <t>Ya</t>
        </is>
      </c>
      <c r="J207" s="98">
        <f>IF(G207="Normal","Tidak",IF(G207="Pendek","Potensi Stunting",IF(G207="Sangat Pendek","Stunting","")))</f>
        <v/>
      </c>
    </row>
    <row r="208" ht="15.75" customHeight="1" s="95">
      <c r="A208" s="97" t="inlineStr">
        <is>
          <t>anonymus0207</t>
        </is>
      </c>
      <c r="B208" s="97" t="inlineStr">
        <is>
          <t>L</t>
        </is>
      </c>
      <c r="C208" s="97" t="inlineStr">
        <is>
          <t>1-34 Bulan</t>
        </is>
      </c>
      <c r="D208" s="97" t="n">
        <v>14.3</v>
      </c>
      <c r="E208" s="97" t="n">
        <v>82</v>
      </c>
      <c r="F208" s="97" t="inlineStr">
        <is>
          <t>Berat Badan Normal</t>
        </is>
      </c>
      <c r="G208" s="97" t="inlineStr">
        <is>
          <t>Normal</t>
        </is>
      </c>
      <c r="H208" s="97" t="inlineStr">
        <is>
          <t>Gizi Baik</t>
        </is>
      </c>
      <c r="I208" s="98" t="inlineStr">
        <is>
          <t>Ya</t>
        </is>
      </c>
      <c r="J208" s="98">
        <f>IF(G208="Normal","Tidak",IF(G208="Pendek","Potensi Stunting",IF(G208="Sangat Pendek","Stunting","")))</f>
        <v/>
      </c>
    </row>
    <row r="209" ht="15.75" customHeight="1" s="95">
      <c r="A209" s="97" t="inlineStr">
        <is>
          <t>anonymus0208</t>
        </is>
      </c>
      <c r="B209" s="97" t="inlineStr">
        <is>
          <t>L</t>
        </is>
      </c>
      <c r="C209" s="97" t="inlineStr">
        <is>
          <t>35-69 Bulan</t>
        </is>
      </c>
      <c r="D209" s="97" t="n">
        <v>10.5</v>
      </c>
      <c r="E209" s="97" t="n">
        <v>80</v>
      </c>
      <c r="F209" s="97" t="inlineStr">
        <is>
          <t>Normal</t>
        </is>
      </c>
      <c r="G209" s="97" t="inlineStr">
        <is>
          <t>Pendek</t>
        </is>
      </c>
      <c r="H209" s="97" t="inlineStr">
        <is>
          <t>Gizi Baik</t>
        </is>
      </c>
      <c r="I209" s="98" t="inlineStr">
        <is>
          <t>Ya</t>
        </is>
      </c>
      <c r="J209" s="98">
        <f>IF(G209="Normal","Tidak",IF(G209="Pendek","Potensi Stunting",IF(G209="Sangat Pendek","Stunting","")))</f>
        <v/>
      </c>
    </row>
    <row r="210" ht="15.75" customHeight="1" s="95">
      <c r="A210" s="97" t="inlineStr">
        <is>
          <t>anonymus0209</t>
        </is>
      </c>
      <c r="B210" s="97" t="inlineStr">
        <is>
          <t>L</t>
        </is>
      </c>
      <c r="C210" s="97" t="inlineStr">
        <is>
          <t>1-34 Bulan</t>
        </is>
      </c>
      <c r="D210" s="97" t="n">
        <v>12.5</v>
      </c>
      <c r="E210" s="97" t="n">
        <v>85</v>
      </c>
      <c r="F210" s="97" t="inlineStr">
        <is>
          <t>Berat Badan Normal</t>
        </is>
      </c>
      <c r="G210" s="97" t="inlineStr">
        <is>
          <t>Normal</t>
        </is>
      </c>
      <c r="H210" s="97" t="inlineStr">
        <is>
          <t>Gizi Baik</t>
        </is>
      </c>
      <c r="I210" s="98" t="inlineStr">
        <is>
          <t>Ya</t>
        </is>
      </c>
      <c r="J210" s="98">
        <f>IF(G210="Normal","Tidak",IF(G210="Pendek","Potensi Stunting",IF(G210="Sangat Pendek","Stunting","")))</f>
        <v/>
      </c>
    </row>
    <row r="211" ht="15.75" customHeight="1" s="95">
      <c r="A211" s="97" t="inlineStr">
        <is>
          <t>anonymus0210</t>
        </is>
      </c>
      <c r="B211" s="97" t="inlineStr">
        <is>
          <t>P</t>
        </is>
      </c>
      <c r="C211" s="97" t="inlineStr">
        <is>
          <t>1-34 Bulan</t>
        </is>
      </c>
      <c r="D211" s="97" t="n">
        <v>10</v>
      </c>
      <c r="E211" s="97" t="n">
        <v>89</v>
      </c>
      <c r="F211" s="97" t="inlineStr">
        <is>
          <t>Kurang</t>
        </is>
      </c>
      <c r="G211" s="97" t="inlineStr">
        <is>
          <t>Normal</t>
        </is>
      </c>
      <c r="H211" s="97" t="inlineStr">
        <is>
          <t>Gizi Kurang</t>
        </is>
      </c>
      <c r="I211" s="98" t="inlineStr">
        <is>
          <t>Ya</t>
        </is>
      </c>
      <c r="J211" s="98">
        <f>IF(G211="Normal","Tidak",IF(G211="Pendek","Potensi Stunting",IF(G211="Sangat Pendek","Stunting","")))</f>
        <v/>
      </c>
    </row>
    <row r="212" ht="15.75" customHeight="1" s="95">
      <c r="A212" s="97" t="inlineStr">
        <is>
          <t>anonymus0211</t>
        </is>
      </c>
      <c r="B212" s="97" t="inlineStr">
        <is>
          <t xml:space="preserve">P </t>
        </is>
      </c>
      <c r="C212" s="97" t="inlineStr">
        <is>
          <t>35-69 Bulan</t>
        </is>
      </c>
      <c r="D212" s="97" t="inlineStr">
        <is>
          <t>12.8</t>
        </is>
      </c>
      <c r="E212" s="97" t="n">
        <v>97</v>
      </c>
      <c r="F212" s="97" t="inlineStr">
        <is>
          <t>Berat Badan Normal</t>
        </is>
      </c>
      <c r="G212" s="97" t="inlineStr">
        <is>
          <t>Normal</t>
        </is>
      </c>
      <c r="H212" s="97" t="inlineStr">
        <is>
          <t>Gizi Baik</t>
        </is>
      </c>
      <c r="I212" s="98" t="inlineStr">
        <is>
          <t>Ya</t>
        </is>
      </c>
      <c r="J212" s="98">
        <f>IF(G212="Normal","Tidak",IF(G212="Pendek","Potensi Stunting",IF(G212="Sangat Pendek","Stunting","")))</f>
        <v/>
      </c>
    </row>
    <row r="213" ht="15.75" customHeight="1" s="95">
      <c r="A213" s="97" t="inlineStr">
        <is>
          <t>anonymus0212</t>
        </is>
      </c>
      <c r="B213" s="97" t="inlineStr">
        <is>
          <t xml:space="preserve">L </t>
        </is>
      </c>
      <c r="C213" s="97" t="inlineStr">
        <is>
          <t>1-34 Bulan</t>
        </is>
      </c>
      <c r="D213" s="97" t="inlineStr">
        <is>
          <t>13.1</t>
        </is>
      </c>
      <c r="E213" s="97" t="n">
        <v>90</v>
      </c>
      <c r="F213" s="97" t="inlineStr">
        <is>
          <t>Berat Badan Normal</t>
        </is>
      </c>
      <c r="G213" s="97" t="inlineStr">
        <is>
          <t>Normal</t>
        </is>
      </c>
      <c r="H213" s="97" t="inlineStr">
        <is>
          <t>Gizi Baik</t>
        </is>
      </c>
      <c r="I213" s="98" t="inlineStr">
        <is>
          <t>Ya</t>
        </is>
      </c>
      <c r="J213" s="98">
        <f>IF(G213="Normal","Tidak",IF(G213="Pendek","Potensi Stunting",IF(G213="Sangat Pendek","Stunting","")))</f>
        <v/>
      </c>
    </row>
    <row r="214" ht="15.75" customHeight="1" s="95">
      <c r="A214" s="97" t="inlineStr">
        <is>
          <t>anonymus0213</t>
        </is>
      </c>
      <c r="B214" s="97" t="inlineStr">
        <is>
          <t xml:space="preserve">L </t>
        </is>
      </c>
      <c r="C214" s="97" t="inlineStr">
        <is>
          <t>1-34 Bulan</t>
        </is>
      </c>
      <c r="D214" s="97" t="inlineStr">
        <is>
          <t>9.9</t>
        </is>
      </c>
      <c r="E214" s="97" t="n">
        <v>71</v>
      </c>
      <c r="F214" s="97" t="inlineStr">
        <is>
          <t>Berat Badan Normal</t>
        </is>
      </c>
      <c r="G214" s="97" t="inlineStr">
        <is>
          <t>Normal</t>
        </is>
      </c>
      <c r="H214" s="97" t="inlineStr">
        <is>
          <t>Risiko Gizi Lebih</t>
        </is>
      </c>
      <c r="I214" s="98" t="inlineStr">
        <is>
          <t>Ya</t>
        </is>
      </c>
      <c r="J214" s="98">
        <f>IF(G214="Normal","Tidak",IF(G214="Pendek","Potensi Stunting",IF(G214="Sangat Pendek","Stunting","")))</f>
        <v/>
      </c>
    </row>
    <row r="215" ht="15.75" customHeight="1" s="95">
      <c r="A215" s="97" t="inlineStr">
        <is>
          <t>anonymus0214</t>
        </is>
      </c>
      <c r="B215" s="97" t="inlineStr">
        <is>
          <t xml:space="preserve">L </t>
        </is>
      </c>
      <c r="C215" s="97" t="inlineStr">
        <is>
          <t>35-69 Bulan</t>
        </is>
      </c>
      <c r="D215" s="97" t="inlineStr">
        <is>
          <t>18.3</t>
        </is>
      </c>
      <c r="E215" s="97" t="n">
        <v>107</v>
      </c>
      <c r="F215" s="97" t="inlineStr">
        <is>
          <t>Berat Badan Normal</t>
        </is>
      </c>
      <c r="G215" s="97" t="inlineStr">
        <is>
          <t>Normal</t>
        </is>
      </c>
      <c r="H215" s="97" t="inlineStr">
        <is>
          <t>Gizi Baik</t>
        </is>
      </c>
      <c r="I215" s="98" t="inlineStr">
        <is>
          <t>Ya</t>
        </is>
      </c>
      <c r="J215" s="98">
        <f>IF(G215="Normal","Tidak",IF(G215="Pendek","Potensi Stunting",IF(G215="Sangat Pendek","Stunting","")))</f>
        <v/>
      </c>
    </row>
    <row r="216" ht="15.75" customHeight="1" s="95">
      <c r="A216" s="97" t="inlineStr">
        <is>
          <t>anonymus0215</t>
        </is>
      </c>
      <c r="B216" s="97" t="inlineStr">
        <is>
          <t xml:space="preserve">L </t>
        </is>
      </c>
      <c r="C216" s="97" t="inlineStr">
        <is>
          <t>1-34 Bulan</t>
        </is>
      </c>
      <c r="D216" s="97" t="inlineStr">
        <is>
          <t>14.6</t>
        </is>
      </c>
      <c r="E216" s="97" t="n">
        <v>84</v>
      </c>
      <c r="F216" s="97" t="inlineStr">
        <is>
          <t>Risiko Lebih</t>
        </is>
      </c>
      <c r="G216" s="97" t="inlineStr">
        <is>
          <t>Normal</t>
        </is>
      </c>
      <c r="H216" s="97" t="inlineStr">
        <is>
          <t>Obesitas</t>
        </is>
      </c>
      <c r="I216" s="98" t="inlineStr">
        <is>
          <t>Ya</t>
        </is>
      </c>
      <c r="J216" s="98">
        <f>IF(G216="Normal","Tidak",IF(G216="Pendek","Potensi Stunting",IF(G216="Sangat Pendek","Stunting","")))</f>
        <v/>
      </c>
    </row>
    <row r="217" ht="15.75" customHeight="1" s="95">
      <c r="A217" s="97" t="inlineStr">
        <is>
          <t>anonymus0216</t>
        </is>
      </c>
      <c r="B217" s="97" t="inlineStr">
        <is>
          <t>P</t>
        </is>
      </c>
      <c r="C217" s="97" t="inlineStr">
        <is>
          <t>1-34 Bulan</t>
        </is>
      </c>
      <c r="D217" s="97" t="n">
        <v>12.6</v>
      </c>
      <c r="E217" s="97" t="n">
        <v>80</v>
      </c>
      <c r="F217" s="97" t="inlineStr">
        <is>
          <t>Berat Badan Normal</t>
        </is>
      </c>
      <c r="G217" s="97" t="inlineStr">
        <is>
          <t>Normal</t>
        </is>
      </c>
      <c r="H217" s="97" t="inlineStr">
        <is>
          <t>Gizi Baik</t>
        </is>
      </c>
      <c r="I217" s="98" t="inlineStr">
        <is>
          <t>Ya</t>
        </is>
      </c>
      <c r="J217" s="98">
        <f>IF(G217="Normal","Tidak",IF(G217="Pendek","Potensi Stunting",IF(G217="Sangat Pendek","Stunting","")))</f>
        <v/>
      </c>
    </row>
    <row r="218" ht="15.75" customHeight="1" s="95">
      <c r="A218" s="97" t="inlineStr">
        <is>
          <t>anonymus0217</t>
        </is>
      </c>
      <c r="B218" s="97" t="inlineStr">
        <is>
          <t>L</t>
        </is>
      </c>
      <c r="C218" s="97" t="inlineStr">
        <is>
          <t>1-34 Bulan</t>
        </is>
      </c>
      <c r="D218" s="97" t="n">
        <v>6.8</v>
      </c>
      <c r="E218" s="97" t="n">
        <v>91</v>
      </c>
      <c r="F218" s="97" t="inlineStr">
        <is>
          <t>Kurang</t>
        </is>
      </c>
      <c r="G218" s="97" t="inlineStr">
        <is>
          <t>Normal</t>
        </is>
      </c>
      <c r="H218" s="97" t="inlineStr">
        <is>
          <t>Gizi Kurang</t>
        </is>
      </c>
      <c r="I218" s="98" t="inlineStr">
        <is>
          <t>Ya</t>
        </is>
      </c>
      <c r="J218" s="98">
        <f>IF(G218="Normal","Tidak",IF(G218="Pendek","Potensi Stunting",IF(G218="Sangat Pendek","Stunting","")))</f>
        <v/>
      </c>
    </row>
    <row r="219" ht="15.75" customHeight="1" s="95">
      <c r="A219" s="97" t="inlineStr">
        <is>
          <t>anonymus0218</t>
        </is>
      </c>
      <c r="B219" s="97" t="inlineStr">
        <is>
          <t>P</t>
        </is>
      </c>
      <c r="C219" s="97" t="inlineStr">
        <is>
          <t>35-69 Bulan</t>
        </is>
      </c>
      <c r="D219" s="97" t="n">
        <v>10.3</v>
      </c>
      <c r="E219" s="97" t="n">
        <v>120</v>
      </c>
      <c r="F219" s="97" t="inlineStr">
        <is>
          <t>Berat Badan Normal</t>
        </is>
      </c>
      <c r="G219" s="97" t="inlineStr">
        <is>
          <t>Normal</t>
        </is>
      </c>
      <c r="H219" s="97" t="inlineStr">
        <is>
          <t>Gizi Baik</t>
        </is>
      </c>
      <c r="I219" s="98" t="inlineStr">
        <is>
          <t>Ya</t>
        </is>
      </c>
      <c r="J219" s="98">
        <f>IF(G219="Normal","Tidak",IF(G219="Pendek","Potensi Stunting",IF(G219="Sangat Pendek","Stunting","")))</f>
        <v/>
      </c>
    </row>
    <row r="220" ht="15.75" customHeight="1" s="95">
      <c r="A220" s="97" t="inlineStr">
        <is>
          <t>anonymus0219</t>
        </is>
      </c>
      <c r="B220" s="97" t="inlineStr">
        <is>
          <t>P</t>
        </is>
      </c>
      <c r="C220" s="97" t="inlineStr">
        <is>
          <t>35-69 Bulan</t>
        </is>
      </c>
      <c r="D220" s="97" t="n">
        <v>8.6</v>
      </c>
      <c r="E220" s="97" t="n">
        <v>78</v>
      </c>
      <c r="F220" s="97" t="inlineStr">
        <is>
          <t>Kurang</t>
        </is>
      </c>
      <c r="G220" s="97" t="inlineStr">
        <is>
          <t>Pendek</t>
        </is>
      </c>
      <c r="H220" s="97" t="inlineStr">
        <is>
          <t>Gizi Baik</t>
        </is>
      </c>
      <c r="I220" s="98" t="inlineStr">
        <is>
          <t>Ya</t>
        </is>
      </c>
      <c r="J220" s="98">
        <f>IF(G220="Normal","Tidak",IF(G220="Pendek","Potensi Stunting",IF(G220="Sangat Pendek","Stunting","")))</f>
        <v/>
      </c>
    </row>
    <row r="221" ht="15.75" customHeight="1" s="95">
      <c r="A221" s="97" t="inlineStr">
        <is>
          <t>anonymus0220</t>
        </is>
      </c>
      <c r="B221" s="97" t="inlineStr">
        <is>
          <t>L</t>
        </is>
      </c>
      <c r="C221" s="97" t="inlineStr">
        <is>
          <t>35-69 Bulan</t>
        </is>
      </c>
      <c r="D221" s="97" t="n">
        <v>17.9</v>
      </c>
      <c r="E221" s="97" t="n">
        <v>91</v>
      </c>
      <c r="F221" s="97" t="inlineStr">
        <is>
          <t>Risiko Lebih</t>
        </is>
      </c>
      <c r="G221" s="97" t="inlineStr">
        <is>
          <t>Normal</t>
        </is>
      </c>
      <c r="H221" s="97" t="inlineStr">
        <is>
          <t>Gizi Lebih</t>
        </is>
      </c>
      <c r="I221" s="98" t="inlineStr">
        <is>
          <t>Ya</t>
        </is>
      </c>
      <c r="J221" s="98">
        <f>IF(G221="Normal","Tidak",IF(G221="Pendek","Potensi Stunting",IF(G221="Sangat Pendek","Stunting","")))</f>
        <v/>
      </c>
    </row>
    <row r="222" ht="15.75" customHeight="1" s="95">
      <c r="A222" s="97" t="inlineStr">
        <is>
          <t>anonymus0221</t>
        </is>
      </c>
      <c r="B222" s="97" t="inlineStr">
        <is>
          <t xml:space="preserve">L </t>
        </is>
      </c>
      <c r="C222" s="97" t="inlineStr">
        <is>
          <t>35-69 Bulan</t>
        </is>
      </c>
      <c r="D222" s="97" t="inlineStr">
        <is>
          <t>17.1</t>
        </is>
      </c>
      <c r="E222" s="97" t="n">
        <v>104</v>
      </c>
      <c r="F222" s="97" t="inlineStr">
        <is>
          <t>Berat Badan Normal</t>
        </is>
      </c>
      <c r="G222" s="97" t="inlineStr">
        <is>
          <t>Normal</t>
        </is>
      </c>
      <c r="H222" s="97" t="inlineStr">
        <is>
          <t>Gizi Baik</t>
        </is>
      </c>
      <c r="I222" s="98" t="inlineStr">
        <is>
          <t>Ya</t>
        </is>
      </c>
      <c r="J222" s="98">
        <f>IF(G222="Normal","Tidak",IF(G222="Pendek","Potensi Stunting",IF(G222="Sangat Pendek","Stunting","")))</f>
        <v/>
      </c>
    </row>
    <row r="223" ht="15.75" customHeight="1" s="95">
      <c r="A223" s="97" t="inlineStr">
        <is>
          <t>anonymus0222</t>
        </is>
      </c>
      <c r="B223" s="97" t="inlineStr">
        <is>
          <t>L</t>
        </is>
      </c>
      <c r="C223" s="97" t="inlineStr">
        <is>
          <t>35-69 Bulan</t>
        </is>
      </c>
      <c r="D223" s="97" t="n">
        <v>16.9</v>
      </c>
      <c r="E223" s="97" t="n">
        <v>115</v>
      </c>
      <c r="F223" s="97" t="inlineStr">
        <is>
          <t>Berat Badan Normal</t>
        </is>
      </c>
      <c r="G223" s="97" t="inlineStr">
        <is>
          <t>Normal</t>
        </is>
      </c>
      <c r="H223" s="97" t="inlineStr">
        <is>
          <t>Gizi Baik</t>
        </is>
      </c>
      <c r="I223" s="98" t="inlineStr">
        <is>
          <t>Ya</t>
        </is>
      </c>
      <c r="J223" s="98">
        <f>IF(G223="Normal","Tidak",IF(G223="Pendek","Potensi Stunting",IF(G223="Sangat Pendek","Stunting","")))</f>
        <v/>
      </c>
    </row>
    <row r="224" ht="15.75" customHeight="1" s="95">
      <c r="A224" s="97" t="inlineStr">
        <is>
          <t>anonymus0223</t>
        </is>
      </c>
      <c r="B224" s="97" t="inlineStr">
        <is>
          <t>P</t>
        </is>
      </c>
      <c r="C224" s="97" t="inlineStr">
        <is>
          <t>35-69 Bulan</t>
        </is>
      </c>
      <c r="D224" s="97" t="n">
        <v>7.9</v>
      </c>
      <c r="E224" s="97" t="n">
        <v>76</v>
      </c>
      <c r="F224" s="97" t="inlineStr">
        <is>
          <t>Kurang</t>
        </is>
      </c>
      <c r="G224" s="97" t="inlineStr">
        <is>
          <t>Pendek</t>
        </is>
      </c>
      <c r="H224" s="97" t="inlineStr">
        <is>
          <t>Gizi Kurang</t>
        </is>
      </c>
      <c r="I224" s="98" t="inlineStr">
        <is>
          <t>Ya</t>
        </is>
      </c>
      <c r="J224" s="98">
        <f>IF(G224="Normal","Tidak",IF(G224="Pendek","Potensi Stunting",IF(G224="Sangat Pendek","Stunting","")))</f>
        <v/>
      </c>
    </row>
    <row r="225" ht="15.75" customHeight="1" s="95">
      <c r="A225" s="99" t="inlineStr">
        <is>
          <t>anonymus0224</t>
        </is>
      </c>
      <c r="B225" s="97" t="inlineStr">
        <is>
          <t>L</t>
        </is>
      </c>
      <c r="C225" s="97" t="n">
        <v>0</v>
      </c>
      <c r="D225" s="97" t="n">
        <v>2.775</v>
      </c>
      <c r="E225" s="97" t="n">
        <v>50</v>
      </c>
      <c r="F225" s="97" t="inlineStr">
        <is>
          <t>Normal</t>
        </is>
      </c>
      <c r="G225" s="97" t="inlineStr">
        <is>
          <t>Normal</t>
        </is>
      </c>
      <c r="H225" s="97" t="inlineStr">
        <is>
          <t>Gizi Kurang</t>
        </is>
      </c>
      <c r="I225" s="98" t="inlineStr">
        <is>
          <t>Ya</t>
        </is>
      </c>
      <c r="J225" s="98">
        <f>IF(G225="Normal","Tidak",IF(G225="Pendek","Potensi Stunting",IF(G225="Sangat Pendek","Stunting","")))</f>
        <v/>
      </c>
    </row>
    <row r="226" ht="15.75" customHeight="1" s="95">
      <c r="A226" s="97" t="inlineStr">
        <is>
          <t>anonymus0225</t>
        </is>
      </c>
      <c r="B226" s="97" t="inlineStr">
        <is>
          <t>L</t>
        </is>
      </c>
      <c r="C226" s="97" t="inlineStr">
        <is>
          <t>1-34 Bulan</t>
        </is>
      </c>
      <c r="D226" s="97" t="n">
        <v>11.3</v>
      </c>
      <c r="E226" s="97" t="n">
        <v>80</v>
      </c>
      <c r="F226" s="97" t="inlineStr">
        <is>
          <t>Berat Badan Normal</t>
        </is>
      </c>
      <c r="G226" s="97" t="inlineStr">
        <is>
          <t>Normal</t>
        </is>
      </c>
      <c r="H226" s="97" t="inlineStr">
        <is>
          <t>Gizi Baik</t>
        </is>
      </c>
      <c r="I226" s="98" t="inlineStr">
        <is>
          <t>Ya</t>
        </is>
      </c>
      <c r="J226" s="98">
        <f>IF(G226="Normal","Tidak",IF(G226="Pendek","Potensi Stunting",IF(G226="Sangat Pendek","Stunting","")))</f>
        <v/>
      </c>
    </row>
    <row r="227" ht="15.75" customHeight="1" s="95">
      <c r="A227" s="97" t="inlineStr">
        <is>
          <t>anonymus0226</t>
        </is>
      </c>
      <c r="B227" s="97" t="inlineStr">
        <is>
          <t>L</t>
        </is>
      </c>
      <c r="C227" s="97" t="inlineStr">
        <is>
          <t>1-34 Bulan</t>
        </is>
      </c>
      <c r="D227" s="97" t="n">
        <v>8.4</v>
      </c>
      <c r="E227" s="97" t="n">
        <v>78.7</v>
      </c>
      <c r="F227" s="97" t="inlineStr">
        <is>
          <t>Kurang</t>
        </is>
      </c>
      <c r="G227" s="97" t="inlineStr">
        <is>
          <t>Normal</t>
        </is>
      </c>
      <c r="H227" s="97" t="inlineStr">
        <is>
          <t>Gizi Kurang</t>
        </is>
      </c>
      <c r="I227" s="98" t="inlineStr">
        <is>
          <t>Ya</t>
        </is>
      </c>
      <c r="J227" s="98">
        <f>IF(G227="Normal","Tidak",IF(G227="Pendek","Potensi Stunting",IF(G227="Sangat Pendek","Stunting","")))</f>
        <v/>
      </c>
    </row>
    <row r="228" ht="15.75" customHeight="1" s="95">
      <c r="A228" s="97" t="inlineStr">
        <is>
          <t>anonymus0227</t>
        </is>
      </c>
      <c r="B228" s="97" t="inlineStr">
        <is>
          <t>L</t>
        </is>
      </c>
      <c r="C228" s="97" t="inlineStr">
        <is>
          <t>1-34 Bulan</t>
        </is>
      </c>
      <c r="D228" s="97" t="n">
        <v>12.1</v>
      </c>
      <c r="E228" s="97" t="n">
        <v>77</v>
      </c>
      <c r="F228" s="97" t="inlineStr">
        <is>
          <t>Berat Badan Normal</t>
        </is>
      </c>
      <c r="G228" s="97" t="inlineStr">
        <is>
          <t>Normal</t>
        </is>
      </c>
      <c r="H228" s="97" t="inlineStr">
        <is>
          <t>Gizi Baik</t>
        </is>
      </c>
      <c r="I228" s="98" t="inlineStr">
        <is>
          <t>Ya</t>
        </is>
      </c>
      <c r="J228" s="98">
        <f>IF(G228="Normal","Tidak",IF(G228="Pendek","Potensi Stunting",IF(G228="Sangat Pendek","Stunting","")))</f>
        <v/>
      </c>
    </row>
    <row r="229" ht="15.75" customHeight="1" s="95">
      <c r="A229" s="97" t="inlineStr">
        <is>
          <t>anonymus0228</t>
        </is>
      </c>
      <c r="B229" s="97" t="inlineStr">
        <is>
          <t>L</t>
        </is>
      </c>
      <c r="C229" s="97" t="inlineStr">
        <is>
          <t>35-69 Bulan</t>
        </is>
      </c>
      <c r="D229" s="97" t="n">
        <v>12</v>
      </c>
      <c r="E229" s="97" t="n">
        <v>97</v>
      </c>
      <c r="F229" s="97" t="inlineStr">
        <is>
          <t>Normal</t>
        </is>
      </c>
      <c r="G229" s="97" t="inlineStr">
        <is>
          <t>Normal</t>
        </is>
      </c>
      <c r="H229" s="97" t="inlineStr">
        <is>
          <t>Gizi Kurang</t>
        </is>
      </c>
      <c r="I229" s="98" t="inlineStr">
        <is>
          <t>Ya</t>
        </is>
      </c>
      <c r="J229" s="98">
        <f>IF(G229="Normal","Tidak",IF(G229="Pendek","Potensi Stunting",IF(G229="Sangat Pendek","Stunting","")))</f>
        <v/>
      </c>
    </row>
    <row r="230" ht="15.75" customHeight="1" s="95">
      <c r="A230" s="97" t="inlineStr">
        <is>
          <t>anonymus0229</t>
        </is>
      </c>
      <c r="B230" s="97" t="inlineStr">
        <is>
          <t>L</t>
        </is>
      </c>
      <c r="C230" s="97" t="inlineStr">
        <is>
          <t>1-34 Bulan</t>
        </is>
      </c>
      <c r="D230" s="97" t="n">
        <v>9.1</v>
      </c>
      <c r="E230" s="97" t="n">
        <v>78</v>
      </c>
      <c r="F230" s="97" t="inlineStr">
        <is>
          <t>Normal</t>
        </is>
      </c>
      <c r="G230" s="97" t="inlineStr">
        <is>
          <t>Pendek</t>
        </is>
      </c>
      <c r="H230" s="97" t="inlineStr">
        <is>
          <t>Gizi Baik</t>
        </is>
      </c>
      <c r="I230" s="98" t="inlineStr">
        <is>
          <t>Ya</t>
        </is>
      </c>
      <c r="J230" s="98">
        <f>IF(G230="Normal","Tidak",IF(G230="Pendek","Potensi Stunting",IF(G230="Sangat Pendek","Stunting","")))</f>
        <v/>
      </c>
    </row>
    <row r="231" ht="15.75" customHeight="1" s="95">
      <c r="A231" s="97" t="inlineStr">
        <is>
          <t>anonymus0230</t>
        </is>
      </c>
      <c r="B231" s="97" t="inlineStr">
        <is>
          <t xml:space="preserve">L </t>
        </is>
      </c>
      <c r="C231" s="97" t="inlineStr">
        <is>
          <t>35-69 Bulan</t>
        </is>
      </c>
      <c r="D231" s="97" t="inlineStr">
        <is>
          <t>17.4</t>
        </is>
      </c>
      <c r="E231" s="97" t="n">
        <v>107</v>
      </c>
      <c r="F231" s="97" t="inlineStr">
        <is>
          <t>Berat Badan Normal</t>
        </is>
      </c>
      <c r="G231" s="97" t="inlineStr">
        <is>
          <t>Normal</t>
        </is>
      </c>
      <c r="H231" s="97" t="inlineStr">
        <is>
          <t>Gizi Baik</t>
        </is>
      </c>
      <c r="I231" s="98" t="inlineStr">
        <is>
          <t>Ya</t>
        </is>
      </c>
      <c r="J231" s="98">
        <f>IF(G231="Normal","Tidak",IF(G231="Pendek","Potensi Stunting",IF(G231="Sangat Pendek","Stunting","")))</f>
        <v/>
      </c>
    </row>
    <row r="232" ht="15.75" customHeight="1" s="95">
      <c r="A232" s="97" t="inlineStr">
        <is>
          <t>anonymus0231</t>
        </is>
      </c>
      <c r="B232" s="97" t="inlineStr">
        <is>
          <t>P</t>
        </is>
      </c>
      <c r="C232" s="97" t="inlineStr">
        <is>
          <t>35-69 Bulan</t>
        </is>
      </c>
      <c r="D232" s="97" t="n">
        <v>16.8</v>
      </c>
      <c r="E232" s="97" t="n">
        <v>106</v>
      </c>
      <c r="F232" s="97" t="inlineStr">
        <is>
          <t>Berat Badan Normal</t>
        </is>
      </c>
      <c r="G232" s="97" t="inlineStr">
        <is>
          <t>Normal</t>
        </is>
      </c>
      <c r="H232" s="97" t="inlineStr">
        <is>
          <t>Gizi Baik</t>
        </is>
      </c>
      <c r="I232" s="98" t="inlineStr">
        <is>
          <t>Ya</t>
        </is>
      </c>
      <c r="J232" s="98">
        <f>IF(G232="Normal","Tidak",IF(G232="Pendek","Potensi Stunting",IF(G232="Sangat Pendek","Stunting","")))</f>
        <v/>
      </c>
    </row>
    <row r="233" ht="15.75" customHeight="1" s="95">
      <c r="A233" s="97" t="inlineStr">
        <is>
          <t>anonymus0232</t>
        </is>
      </c>
      <c r="B233" s="97" t="inlineStr">
        <is>
          <t xml:space="preserve">L </t>
        </is>
      </c>
      <c r="C233" s="97" t="inlineStr">
        <is>
          <t>1-34 Bulan</t>
        </is>
      </c>
      <c r="D233" s="97" t="inlineStr">
        <is>
          <t>9.3</t>
        </is>
      </c>
      <c r="E233" s="97" t="n">
        <v>72</v>
      </c>
      <c r="F233" s="97" t="inlineStr">
        <is>
          <t>Berat Badan Normal</t>
        </is>
      </c>
      <c r="G233" s="97" t="inlineStr">
        <is>
          <t>Normal</t>
        </is>
      </c>
      <c r="H233" s="97" t="inlineStr">
        <is>
          <t>Gizi Baik</t>
        </is>
      </c>
      <c r="I233" s="98" t="inlineStr">
        <is>
          <t>Ya</t>
        </is>
      </c>
      <c r="J233" s="98">
        <f>IF(G233="Normal","Tidak",IF(G233="Pendek","Potensi Stunting",IF(G233="Sangat Pendek","Stunting","")))</f>
        <v/>
      </c>
    </row>
    <row r="234" ht="15.75" customHeight="1" s="95">
      <c r="A234" s="97" t="inlineStr">
        <is>
          <t>anonymus0233</t>
        </is>
      </c>
      <c r="B234" s="97" t="inlineStr">
        <is>
          <t>P</t>
        </is>
      </c>
      <c r="C234" s="97" t="inlineStr">
        <is>
          <t>35-69 Bulan</t>
        </is>
      </c>
      <c r="D234" s="97" t="n">
        <v>19.9</v>
      </c>
      <c r="E234" s="97" t="n">
        <v>115</v>
      </c>
      <c r="F234" s="97" t="inlineStr">
        <is>
          <t>Risiko Lebih</t>
        </is>
      </c>
      <c r="G234" s="97" t="inlineStr">
        <is>
          <t>Normal</t>
        </is>
      </c>
      <c r="H234" s="97" t="inlineStr">
        <is>
          <t>Gizi Lebih</t>
        </is>
      </c>
      <c r="I234" s="98" t="inlineStr">
        <is>
          <t>Ya</t>
        </is>
      </c>
      <c r="J234" s="98">
        <f>IF(G234="Normal","Tidak",IF(G234="Pendek","Potensi Stunting",IF(G234="Sangat Pendek","Stunting","")))</f>
        <v/>
      </c>
    </row>
    <row r="235" ht="15.75" customHeight="1" s="95">
      <c r="A235" s="97" t="inlineStr">
        <is>
          <t>anonymus0234</t>
        </is>
      </c>
      <c r="B235" s="97" t="inlineStr">
        <is>
          <t>L</t>
        </is>
      </c>
      <c r="C235" s="97" t="inlineStr">
        <is>
          <t>35-69 Bulan</t>
        </is>
      </c>
      <c r="D235" s="97" t="n">
        <v>12.1</v>
      </c>
      <c r="E235" s="97" t="n">
        <v>95</v>
      </c>
      <c r="F235" s="97" t="inlineStr">
        <is>
          <t>Kurang</t>
        </is>
      </c>
      <c r="G235" s="97" t="inlineStr">
        <is>
          <t>Pendek</t>
        </is>
      </c>
      <c r="H235" s="97" t="inlineStr">
        <is>
          <t>Gizi Baik</t>
        </is>
      </c>
      <c r="I235" s="98" t="inlineStr">
        <is>
          <t>Ya</t>
        </is>
      </c>
      <c r="J235" s="98">
        <f>IF(G235="Normal","Tidak",IF(G235="Pendek","Potensi Stunting",IF(G235="Sangat Pendek","Stunting","")))</f>
        <v/>
      </c>
    </row>
    <row r="236" ht="15.75" customHeight="1" s="95">
      <c r="A236" s="97" t="inlineStr">
        <is>
          <t>anonymus0235</t>
        </is>
      </c>
      <c r="B236" s="97" t="inlineStr">
        <is>
          <t>P</t>
        </is>
      </c>
      <c r="C236" s="97" t="inlineStr">
        <is>
          <t>35-69 Bulan</t>
        </is>
      </c>
      <c r="D236" s="97" t="n">
        <v>12.3</v>
      </c>
      <c r="E236" s="97" t="n">
        <v>112</v>
      </c>
      <c r="F236" s="97" t="inlineStr">
        <is>
          <t>Berat Badan Normal</t>
        </is>
      </c>
      <c r="G236" s="97" t="inlineStr">
        <is>
          <t>Normal</t>
        </is>
      </c>
      <c r="H236" s="97" t="inlineStr">
        <is>
          <t>Gizi Baik</t>
        </is>
      </c>
      <c r="I236" s="98" t="inlineStr">
        <is>
          <t>Ya</t>
        </is>
      </c>
      <c r="J236" s="98">
        <f>IF(G236="Normal","Tidak",IF(G236="Pendek","Potensi Stunting",IF(G236="Sangat Pendek","Stunting","")))</f>
        <v/>
      </c>
    </row>
    <row r="237" ht="15.75" customHeight="1" s="95">
      <c r="A237" s="97" t="inlineStr">
        <is>
          <t>anonymus0236</t>
        </is>
      </c>
      <c r="B237" s="97" t="inlineStr">
        <is>
          <t>P</t>
        </is>
      </c>
      <c r="C237" s="97" t="inlineStr">
        <is>
          <t>1-34 Bulan</t>
        </is>
      </c>
      <c r="D237" s="97" t="n">
        <v>6.5</v>
      </c>
      <c r="E237" s="97" t="n">
        <v>81</v>
      </c>
      <c r="F237" s="97" t="inlineStr">
        <is>
          <t>Kurang</t>
        </is>
      </c>
      <c r="G237" s="97" t="inlineStr">
        <is>
          <t>Normal</t>
        </is>
      </c>
      <c r="H237" s="97" t="inlineStr">
        <is>
          <t>Gizi Kurang</t>
        </is>
      </c>
      <c r="I237" s="98" t="inlineStr">
        <is>
          <t>Ya</t>
        </is>
      </c>
      <c r="J237" s="98">
        <f>IF(G237="Normal","Tidak",IF(G237="Pendek","Potensi Stunting",IF(G237="Sangat Pendek","Stunting","")))</f>
        <v/>
      </c>
    </row>
    <row r="238" ht="15.75" customHeight="1" s="95">
      <c r="A238" s="97" t="inlineStr">
        <is>
          <t>anonymus0237</t>
        </is>
      </c>
      <c r="B238" s="97" t="inlineStr">
        <is>
          <t xml:space="preserve">L </t>
        </is>
      </c>
      <c r="C238" s="97" t="inlineStr">
        <is>
          <t>1-34 Bulan</t>
        </is>
      </c>
      <c r="D238" s="97" t="inlineStr">
        <is>
          <t>11.6</t>
        </is>
      </c>
      <c r="E238" s="97" t="n">
        <v>89</v>
      </c>
      <c r="F238" s="97" t="inlineStr">
        <is>
          <t>Berat Badan Normal</t>
        </is>
      </c>
      <c r="G238" s="97" t="inlineStr">
        <is>
          <t>Normal</t>
        </is>
      </c>
      <c r="H238" s="97" t="inlineStr">
        <is>
          <t>Gizi Baik</t>
        </is>
      </c>
      <c r="I238" s="98" t="inlineStr">
        <is>
          <t>Ya</t>
        </is>
      </c>
      <c r="J238" s="98">
        <f>IF(G238="Normal","Tidak",IF(G238="Pendek","Potensi Stunting",IF(G238="Sangat Pendek","Stunting","")))</f>
        <v/>
      </c>
    </row>
    <row r="239" ht="15.75" customHeight="1" s="95">
      <c r="A239" s="97" t="inlineStr">
        <is>
          <t>anonymus0238</t>
        </is>
      </c>
      <c r="B239" s="97" t="inlineStr">
        <is>
          <t xml:space="preserve">P </t>
        </is>
      </c>
      <c r="C239" s="97" t="inlineStr">
        <is>
          <t>1-34 Bulan</t>
        </is>
      </c>
      <c r="D239" s="97" t="inlineStr">
        <is>
          <t>11.2</t>
        </is>
      </c>
      <c r="E239" s="97" t="n">
        <v>86</v>
      </c>
      <c r="F239" s="97" t="inlineStr">
        <is>
          <t>Berat Badan Normal</t>
        </is>
      </c>
      <c r="G239" s="97" t="inlineStr">
        <is>
          <t>Normal</t>
        </is>
      </c>
      <c r="H239" s="97" t="inlineStr">
        <is>
          <t>Gizi Baik</t>
        </is>
      </c>
      <c r="I239" s="98" t="inlineStr">
        <is>
          <t>Ya</t>
        </is>
      </c>
      <c r="J239" s="98">
        <f>IF(G239="Normal","Tidak",IF(G239="Pendek","Potensi Stunting",IF(G239="Sangat Pendek","Stunting","")))</f>
        <v/>
      </c>
    </row>
    <row r="240" ht="15.75" customHeight="1" s="95">
      <c r="A240" s="97" t="inlineStr">
        <is>
          <t>anonymus0239</t>
        </is>
      </c>
      <c r="B240" s="97" t="inlineStr">
        <is>
          <t>L</t>
        </is>
      </c>
      <c r="C240" s="97" t="inlineStr">
        <is>
          <t>35-69 Bulan</t>
        </is>
      </c>
      <c r="D240" s="97" t="n">
        <v>13</v>
      </c>
      <c r="E240" s="97" t="n">
        <v>103</v>
      </c>
      <c r="F240" s="97" t="inlineStr">
        <is>
          <t>Normal</t>
        </is>
      </c>
      <c r="G240" s="97" t="inlineStr">
        <is>
          <t>Normal</t>
        </is>
      </c>
      <c r="H240" s="97" t="inlineStr">
        <is>
          <t>Gizi Kurang</t>
        </is>
      </c>
      <c r="I240" s="98" t="inlineStr">
        <is>
          <t>Ya</t>
        </is>
      </c>
      <c r="J240" s="98">
        <f>IF(G240="Normal","Tidak",IF(G240="Pendek","Potensi Stunting",IF(G240="Sangat Pendek","Stunting","")))</f>
        <v/>
      </c>
    </row>
    <row r="241" ht="15.75" customHeight="1" s="95">
      <c r="A241" s="97" t="inlineStr">
        <is>
          <t>anonymus0240</t>
        </is>
      </c>
      <c r="B241" s="97" t="inlineStr">
        <is>
          <t>L</t>
        </is>
      </c>
      <c r="C241" s="97" t="inlineStr">
        <is>
          <t>35-69 Bulan</t>
        </is>
      </c>
      <c r="D241" s="97" t="n">
        <v>13.8</v>
      </c>
      <c r="E241" s="97" t="n">
        <v>104</v>
      </c>
      <c r="F241" s="97" t="inlineStr">
        <is>
          <t>Kurang</t>
        </is>
      </c>
      <c r="G241" s="97" t="inlineStr">
        <is>
          <t>Normal</t>
        </is>
      </c>
      <c r="H241" s="97" t="inlineStr">
        <is>
          <t>Gizi Kurang</t>
        </is>
      </c>
      <c r="I241" s="98" t="inlineStr">
        <is>
          <t>Ya</t>
        </is>
      </c>
      <c r="J241" s="98">
        <f>IF(G241="Normal","Tidak",IF(G241="Pendek","Potensi Stunting",IF(G241="Sangat Pendek","Stunting","")))</f>
        <v/>
      </c>
    </row>
    <row r="242" ht="15.75" customHeight="1" s="95">
      <c r="A242" s="97" t="inlineStr">
        <is>
          <t>anonymus0241</t>
        </is>
      </c>
      <c r="B242" s="97" t="inlineStr">
        <is>
          <t>P</t>
        </is>
      </c>
      <c r="C242" s="97" t="inlineStr">
        <is>
          <t>35-69 Bulan</t>
        </is>
      </c>
      <c r="D242" s="97" t="n">
        <v>14.3</v>
      </c>
      <c r="E242" s="97" t="n">
        <v>111</v>
      </c>
      <c r="F242" s="97" t="inlineStr">
        <is>
          <t>Berat Badan Normal</t>
        </is>
      </c>
      <c r="G242" s="97" t="inlineStr">
        <is>
          <t>Normal</t>
        </is>
      </c>
      <c r="H242" s="97" t="inlineStr">
        <is>
          <t>Gizi Baik</t>
        </is>
      </c>
      <c r="I242" s="98" t="inlineStr">
        <is>
          <t>Ya</t>
        </is>
      </c>
      <c r="J242" s="98">
        <f>IF(G242="Normal","Tidak",IF(G242="Pendek","Potensi Stunting",IF(G242="Sangat Pendek","Stunting","")))</f>
        <v/>
      </c>
    </row>
    <row r="243" ht="15.75" customHeight="1" s="95">
      <c r="A243" s="97" t="inlineStr">
        <is>
          <t>anonymus0242</t>
        </is>
      </c>
      <c r="B243" s="97" t="inlineStr">
        <is>
          <t>L</t>
        </is>
      </c>
      <c r="C243" s="97" t="inlineStr">
        <is>
          <t>35-69 Bulan</t>
        </is>
      </c>
      <c r="D243" s="97" t="n">
        <v>10.8</v>
      </c>
      <c r="E243" s="97" t="n">
        <v>88</v>
      </c>
      <c r="F243" s="97" t="inlineStr">
        <is>
          <t>Kurang</t>
        </is>
      </c>
      <c r="G243" s="97" t="inlineStr">
        <is>
          <t>Pendek</t>
        </is>
      </c>
      <c r="H243" s="97" t="inlineStr">
        <is>
          <t>Gizi Baik</t>
        </is>
      </c>
      <c r="I243" s="98" t="inlineStr">
        <is>
          <t>Ya</t>
        </is>
      </c>
      <c r="J243" s="98">
        <f>IF(G243="Normal","Tidak",IF(G243="Pendek","Potensi Stunting",IF(G243="Sangat Pendek","Stunting","")))</f>
        <v/>
      </c>
    </row>
    <row r="244" ht="15.75" customHeight="1" s="95">
      <c r="A244" s="97" t="inlineStr">
        <is>
          <t>anonymus0243</t>
        </is>
      </c>
      <c r="B244" s="97" t="inlineStr">
        <is>
          <t>L</t>
        </is>
      </c>
      <c r="C244" s="97" t="inlineStr">
        <is>
          <t>1-34 Bulan</t>
        </is>
      </c>
      <c r="D244" s="97" t="n">
        <v>10.8</v>
      </c>
      <c r="E244" s="97" t="n">
        <v>90</v>
      </c>
      <c r="F244" s="97" t="inlineStr">
        <is>
          <t>Normal</t>
        </is>
      </c>
      <c r="G244" s="97" t="inlineStr">
        <is>
          <t>Normal</t>
        </is>
      </c>
      <c r="H244" s="97" t="inlineStr">
        <is>
          <t>Gizi Kurang</t>
        </is>
      </c>
      <c r="I244" s="98" t="inlineStr">
        <is>
          <t>Ya</t>
        </is>
      </c>
      <c r="J244" s="98">
        <f>IF(G244="Normal","Tidak",IF(G244="Pendek","Potensi Stunting",IF(G244="Sangat Pendek","Stunting","")))</f>
        <v/>
      </c>
    </row>
    <row r="245" ht="15.75" customHeight="1" s="95">
      <c r="A245" s="97" t="inlineStr">
        <is>
          <t>anonymus0244</t>
        </is>
      </c>
      <c r="B245" s="97" t="inlineStr">
        <is>
          <t>L</t>
        </is>
      </c>
      <c r="C245" s="97" t="inlineStr">
        <is>
          <t>1-34 Bulan</t>
        </is>
      </c>
      <c r="D245" s="97" t="n">
        <v>12.7</v>
      </c>
      <c r="E245" s="97" t="n">
        <v>85</v>
      </c>
      <c r="F245" s="97" t="inlineStr">
        <is>
          <t>Berat Badan Normal</t>
        </is>
      </c>
      <c r="G245" s="97" t="inlineStr">
        <is>
          <t>Normal</t>
        </is>
      </c>
      <c r="H245" s="97" t="inlineStr">
        <is>
          <t>Gizi Baik</t>
        </is>
      </c>
      <c r="I245" s="98" t="inlineStr">
        <is>
          <t>Ya</t>
        </is>
      </c>
      <c r="J245" s="98">
        <f>IF(G245="Normal","Tidak",IF(G245="Pendek","Potensi Stunting",IF(G245="Sangat Pendek","Stunting","")))</f>
        <v/>
      </c>
    </row>
    <row r="246" ht="15.75" customHeight="1" s="95">
      <c r="A246" s="97" t="inlineStr">
        <is>
          <t>anonymus0245</t>
        </is>
      </c>
      <c r="B246" s="97" t="inlineStr">
        <is>
          <t xml:space="preserve">P </t>
        </is>
      </c>
      <c r="C246" s="97" t="inlineStr">
        <is>
          <t>35-69 Bulan</t>
        </is>
      </c>
      <c r="D246" s="97" t="n">
        <v>17</v>
      </c>
      <c r="E246" s="97" t="n">
        <v>101</v>
      </c>
      <c r="F246" s="97" t="inlineStr">
        <is>
          <t>Berat Badan Normal</t>
        </is>
      </c>
      <c r="G246" s="97" t="inlineStr">
        <is>
          <t>Normal</t>
        </is>
      </c>
      <c r="H246" s="97" t="inlineStr">
        <is>
          <t>Gizi Baik</t>
        </is>
      </c>
      <c r="I246" s="98" t="inlineStr">
        <is>
          <t>Ya</t>
        </is>
      </c>
      <c r="J246" s="98">
        <f>IF(G246="Normal","Tidak",IF(G246="Pendek","Potensi Stunting",IF(G246="Sangat Pendek","Stunting","")))</f>
        <v/>
      </c>
    </row>
    <row r="247" ht="15.75" customHeight="1" s="95">
      <c r="A247" s="97" t="inlineStr">
        <is>
          <t>anonymus0246</t>
        </is>
      </c>
      <c r="B247" s="97" t="inlineStr">
        <is>
          <t>P</t>
        </is>
      </c>
      <c r="C247" s="97" t="inlineStr">
        <is>
          <t>35-69 Bulan</t>
        </is>
      </c>
      <c r="D247" s="97" t="n">
        <v>11</v>
      </c>
      <c r="E247" s="97" t="n">
        <v>93.59999999999999</v>
      </c>
      <c r="F247" s="97" t="inlineStr">
        <is>
          <t>Kurang</t>
        </is>
      </c>
      <c r="G247" s="97" t="inlineStr">
        <is>
          <t>Normal</t>
        </is>
      </c>
      <c r="H247" s="97" t="inlineStr">
        <is>
          <t>Gizi Kurang</t>
        </is>
      </c>
      <c r="I247" s="98" t="inlineStr">
        <is>
          <t>Ya</t>
        </is>
      </c>
      <c r="J247" s="98">
        <f>IF(G247="Normal","Tidak",IF(G247="Pendek","Potensi Stunting",IF(G247="Sangat Pendek","Stunting","")))</f>
        <v/>
      </c>
    </row>
    <row r="248" ht="15.75" customHeight="1" s="95">
      <c r="A248" s="97" t="inlineStr">
        <is>
          <t>anonymus0247</t>
        </is>
      </c>
      <c r="B248" s="97" t="inlineStr">
        <is>
          <t>L</t>
        </is>
      </c>
      <c r="C248" s="97" t="inlineStr">
        <is>
          <t>35-69 Bulan</t>
        </is>
      </c>
      <c r="D248" s="97" t="n">
        <v>14.4</v>
      </c>
      <c r="E248" s="97" t="n">
        <v>96</v>
      </c>
      <c r="F248" s="97" t="inlineStr">
        <is>
          <t>Berat Badan Normal</t>
        </is>
      </c>
      <c r="G248" s="97" t="inlineStr">
        <is>
          <t>Normal</t>
        </is>
      </c>
      <c r="H248" s="97" t="inlineStr">
        <is>
          <t>Gizi Baik</t>
        </is>
      </c>
      <c r="I248" s="98" t="inlineStr">
        <is>
          <t>Ya</t>
        </is>
      </c>
      <c r="J248" s="98">
        <f>IF(G248="Normal","Tidak",IF(G248="Pendek","Potensi Stunting",IF(G248="Sangat Pendek","Stunting","")))</f>
        <v/>
      </c>
    </row>
    <row r="249" ht="15.75" customHeight="1" s="95">
      <c r="A249" s="97" t="inlineStr">
        <is>
          <t>anonymus0248</t>
        </is>
      </c>
      <c r="B249" s="97" t="inlineStr">
        <is>
          <t>L</t>
        </is>
      </c>
      <c r="C249" s="97" t="inlineStr">
        <is>
          <t>1-34 Bulan</t>
        </is>
      </c>
      <c r="D249" s="97" t="n">
        <v>6.3</v>
      </c>
      <c r="E249" s="97" t="n">
        <v>93</v>
      </c>
      <c r="F249" s="97" t="inlineStr">
        <is>
          <t>Kurang</t>
        </is>
      </c>
      <c r="G249" s="97" t="inlineStr">
        <is>
          <t>Normal</t>
        </is>
      </c>
      <c r="H249" s="97" t="inlineStr">
        <is>
          <t>Gizi Kurang</t>
        </is>
      </c>
      <c r="I249" s="98" t="inlineStr">
        <is>
          <t>Ya</t>
        </is>
      </c>
      <c r="J249" s="98">
        <f>IF(G249="Normal","Tidak",IF(G249="Pendek","Potensi Stunting",IF(G249="Sangat Pendek","Stunting","")))</f>
        <v/>
      </c>
    </row>
    <row r="250" ht="15.75" customHeight="1" s="95">
      <c r="A250" s="97" t="inlineStr">
        <is>
          <t>anonymus0249</t>
        </is>
      </c>
      <c r="B250" s="97" t="inlineStr">
        <is>
          <t xml:space="preserve">L </t>
        </is>
      </c>
      <c r="C250" s="97" t="inlineStr">
        <is>
          <t>1-34 Bulan</t>
        </is>
      </c>
      <c r="D250" s="97" t="n">
        <v>11</v>
      </c>
      <c r="E250" s="97" t="n">
        <v>88</v>
      </c>
      <c r="F250" s="97" t="inlineStr">
        <is>
          <t>Berat Badan Normal</t>
        </is>
      </c>
      <c r="G250" s="97" t="inlineStr">
        <is>
          <t>Normal</t>
        </is>
      </c>
      <c r="H250" s="97" t="inlineStr">
        <is>
          <t>Gizi Baik</t>
        </is>
      </c>
      <c r="I250" s="98" t="inlineStr">
        <is>
          <t>Ya</t>
        </is>
      </c>
      <c r="J250" s="98">
        <f>IF(G250="Normal","Tidak",IF(G250="Pendek","Potensi Stunting",IF(G250="Sangat Pendek","Stunting","")))</f>
        <v/>
      </c>
    </row>
    <row r="251" ht="15.75" customHeight="1" s="95">
      <c r="A251" s="97" t="inlineStr">
        <is>
          <t>anonymus0250</t>
        </is>
      </c>
      <c r="B251" s="97" t="inlineStr">
        <is>
          <t xml:space="preserve">P </t>
        </is>
      </c>
      <c r="C251" s="97" t="inlineStr">
        <is>
          <t>1-34 Bulan</t>
        </is>
      </c>
      <c r="D251" s="97" t="n">
        <v>11</v>
      </c>
      <c r="E251" s="97" t="n">
        <v>92</v>
      </c>
      <c r="F251" s="97" t="inlineStr">
        <is>
          <t>Berat Badan Normal</t>
        </is>
      </c>
      <c r="G251" s="97" t="inlineStr">
        <is>
          <t>Normal</t>
        </is>
      </c>
      <c r="H251" s="97" t="inlineStr">
        <is>
          <t>Gizi baik</t>
        </is>
      </c>
      <c r="I251" s="98" t="inlineStr">
        <is>
          <t>Ya</t>
        </is>
      </c>
      <c r="J251" s="98">
        <f>IF(G251="Normal","Tidak",IF(G251="Pendek","Potensi Stunting",IF(G251="Sangat Pendek","Stunting","")))</f>
        <v/>
      </c>
    </row>
    <row r="252" ht="15.75" customHeight="1" s="95">
      <c r="A252" s="97" t="inlineStr">
        <is>
          <t>anonymus0251</t>
        </is>
      </c>
      <c r="B252" s="97" t="inlineStr">
        <is>
          <t>P</t>
        </is>
      </c>
      <c r="C252" s="97" t="inlineStr">
        <is>
          <t>35-69 Bulan</t>
        </is>
      </c>
      <c r="D252" s="97" t="n">
        <v>14.5</v>
      </c>
      <c r="E252" s="97" t="n">
        <v>106</v>
      </c>
      <c r="F252" s="97" t="inlineStr">
        <is>
          <t>Berat Badan Normal</t>
        </is>
      </c>
      <c r="G252" s="97" t="inlineStr">
        <is>
          <t>Normal</t>
        </is>
      </c>
      <c r="H252" s="97" t="inlineStr">
        <is>
          <t>Gizi Baik</t>
        </is>
      </c>
      <c r="I252" s="98" t="inlineStr">
        <is>
          <t>Ya</t>
        </is>
      </c>
      <c r="J252" s="98">
        <f>IF(G252="Normal","Tidak",IF(G252="Pendek","Potensi Stunting",IF(G252="Sangat Pendek","Stunting","")))</f>
        <v/>
      </c>
    </row>
    <row r="253" ht="15.75" customHeight="1" s="95">
      <c r="A253" s="97" t="inlineStr">
        <is>
          <t>anonymus0252</t>
        </is>
      </c>
      <c r="B253" s="97" t="inlineStr">
        <is>
          <t xml:space="preserve">P </t>
        </is>
      </c>
      <c r="C253" s="97" t="inlineStr">
        <is>
          <t>35-69 Bulan</t>
        </is>
      </c>
      <c r="D253" s="97" t="inlineStr">
        <is>
          <t>16.6</t>
        </is>
      </c>
      <c r="E253" s="97" t="n">
        <v>103</v>
      </c>
      <c r="F253" s="97" t="inlineStr">
        <is>
          <t>Berat Badan Normal</t>
        </is>
      </c>
      <c r="G253" s="97" t="inlineStr">
        <is>
          <t>Normal</t>
        </is>
      </c>
      <c r="H253" s="97" t="inlineStr">
        <is>
          <t>Gizi Baik</t>
        </is>
      </c>
      <c r="I253" s="98" t="inlineStr">
        <is>
          <t>Ya</t>
        </is>
      </c>
      <c r="J253" s="98">
        <f>IF(G253="Normal","Tidak",IF(G253="Pendek","Potensi Stunting",IF(G253="Sangat Pendek","Stunting","")))</f>
        <v/>
      </c>
    </row>
    <row r="254" ht="15.75" customHeight="1" s="95">
      <c r="A254" s="97" t="inlineStr">
        <is>
          <t>anonymus0253</t>
        </is>
      </c>
      <c r="B254" s="97" t="inlineStr">
        <is>
          <t>P</t>
        </is>
      </c>
      <c r="C254" s="97" t="inlineStr">
        <is>
          <t>1-34 Bulan</t>
        </is>
      </c>
      <c r="D254" s="97" t="n">
        <v>9.699999999999999</v>
      </c>
      <c r="E254" s="97" t="n">
        <v>89</v>
      </c>
      <c r="F254" s="97" t="inlineStr">
        <is>
          <t>Berat Badan Normal</t>
        </is>
      </c>
      <c r="G254" s="97" t="inlineStr">
        <is>
          <t>Normal</t>
        </is>
      </c>
      <c r="H254" s="97" t="inlineStr">
        <is>
          <t>Gizi Baik</t>
        </is>
      </c>
      <c r="I254" s="98" t="inlineStr">
        <is>
          <t>Ya</t>
        </is>
      </c>
      <c r="J254" s="98">
        <f>IF(G254="Normal","Tidak",IF(G254="Pendek","Potensi Stunting",IF(G254="Sangat Pendek","Stunting","")))</f>
        <v/>
      </c>
    </row>
    <row r="255" ht="15.75" customHeight="1" s="95">
      <c r="A255" s="97" t="inlineStr">
        <is>
          <t>anonymus0254</t>
        </is>
      </c>
      <c r="B255" s="97" t="inlineStr">
        <is>
          <t xml:space="preserve">P </t>
        </is>
      </c>
      <c r="C255" s="97" t="inlineStr">
        <is>
          <t>35-69 Bulan</t>
        </is>
      </c>
      <c r="D255" s="97" t="inlineStr">
        <is>
          <t>17.6</t>
        </is>
      </c>
      <c r="E255" s="97" t="n">
        <v>104</v>
      </c>
      <c r="F255" s="97" t="inlineStr">
        <is>
          <t>Berat Badan Normal</t>
        </is>
      </c>
      <c r="G255" s="97" t="inlineStr">
        <is>
          <t>Normal</t>
        </is>
      </c>
      <c r="H255" s="97" t="inlineStr">
        <is>
          <t>Gizi Baik</t>
        </is>
      </c>
      <c r="I255" s="98" t="inlineStr">
        <is>
          <t>Ya</t>
        </is>
      </c>
      <c r="J255" s="98">
        <f>IF(G255="Normal","Tidak",IF(G255="Pendek","Potensi Stunting",IF(G255="Sangat Pendek","Stunting","")))</f>
        <v/>
      </c>
    </row>
    <row r="256" ht="15.75" customHeight="1" s="95">
      <c r="A256" s="97" t="inlineStr">
        <is>
          <t>anonymus0255</t>
        </is>
      </c>
      <c r="B256" s="97" t="inlineStr">
        <is>
          <t>P</t>
        </is>
      </c>
      <c r="C256" s="97" t="inlineStr">
        <is>
          <t>1-34 Bulan</t>
        </is>
      </c>
      <c r="D256" s="97" t="n">
        <v>9.1</v>
      </c>
      <c r="E256" s="97" t="n">
        <v>91</v>
      </c>
      <c r="F256" s="97" t="inlineStr">
        <is>
          <t>Berat Badan Normal</t>
        </is>
      </c>
      <c r="G256" s="97" t="inlineStr">
        <is>
          <t>Normal</t>
        </is>
      </c>
      <c r="H256" s="97" t="inlineStr">
        <is>
          <t>Gizi Baik</t>
        </is>
      </c>
      <c r="I256" s="98" t="inlineStr">
        <is>
          <t>Ya</t>
        </is>
      </c>
      <c r="J256" s="98">
        <f>IF(G256="Normal","Tidak",IF(G256="Pendek","Potensi Stunting",IF(G256="Sangat Pendek","Stunting","")))</f>
        <v/>
      </c>
    </row>
    <row r="257" ht="15.75" customHeight="1" s="95">
      <c r="A257" s="97" t="inlineStr">
        <is>
          <t>anonymus0256</t>
        </is>
      </c>
      <c r="B257" s="97" t="inlineStr">
        <is>
          <t>P</t>
        </is>
      </c>
      <c r="C257" s="97" t="inlineStr">
        <is>
          <t>35-69 Bulan</t>
        </is>
      </c>
      <c r="D257" s="97" t="n">
        <v>9.01</v>
      </c>
      <c r="E257" s="97" t="n">
        <v>77.5</v>
      </c>
      <c r="F257" s="97" t="inlineStr">
        <is>
          <t>Sangat Kurang</t>
        </is>
      </c>
      <c r="G257" s="97" t="inlineStr">
        <is>
          <t>Sangat Pendek</t>
        </is>
      </c>
      <c r="H257" s="97" t="inlineStr">
        <is>
          <t>Gizi Baik</t>
        </is>
      </c>
      <c r="I257" s="98" t="inlineStr">
        <is>
          <t>Ya</t>
        </is>
      </c>
      <c r="J257" s="98">
        <f>IF(G257="Normal","Tidak",IF(G257="Pendek","Potensi Stunting",IF(G257="Sangat Pendek","Stunting","")))</f>
        <v/>
      </c>
    </row>
    <row r="258" ht="15.75" customHeight="1" s="95">
      <c r="A258" s="97" t="inlineStr">
        <is>
          <t>anonymus0257</t>
        </is>
      </c>
      <c r="B258" s="97" t="inlineStr">
        <is>
          <t xml:space="preserve">L </t>
        </is>
      </c>
      <c r="C258" s="97" t="inlineStr">
        <is>
          <t>1-34 Bulan</t>
        </is>
      </c>
      <c r="D258" s="97" t="n">
        <v>14</v>
      </c>
      <c r="E258" s="97" t="n">
        <v>94</v>
      </c>
      <c r="F258" s="97" t="inlineStr">
        <is>
          <t>Berat Badan Normal</t>
        </is>
      </c>
      <c r="G258" s="97" t="inlineStr">
        <is>
          <t>Normal</t>
        </is>
      </c>
      <c r="H258" s="97" t="inlineStr">
        <is>
          <t>Gizi Baik</t>
        </is>
      </c>
      <c r="I258" s="98" t="inlineStr">
        <is>
          <t>Ya</t>
        </is>
      </c>
      <c r="J258" s="98">
        <f>IF(G258="Normal","Tidak",IF(G258="Pendek","Potensi Stunting",IF(G258="Sangat Pendek","Stunting","")))</f>
        <v/>
      </c>
    </row>
    <row r="259" ht="15.75" customHeight="1" s="95">
      <c r="A259" s="97" t="inlineStr">
        <is>
          <t>anonymus0258</t>
        </is>
      </c>
      <c r="B259" s="97" t="inlineStr">
        <is>
          <t xml:space="preserve">L </t>
        </is>
      </c>
      <c r="C259" s="97" t="inlineStr">
        <is>
          <t>35-69 Bulan</t>
        </is>
      </c>
      <c r="D259" s="97" t="inlineStr">
        <is>
          <t>11.8</t>
        </is>
      </c>
      <c r="E259" s="97" t="n">
        <v>93</v>
      </c>
      <c r="F259" s="97" t="inlineStr">
        <is>
          <t>Kurang</t>
        </is>
      </c>
      <c r="G259" s="97" t="inlineStr">
        <is>
          <t>Pendek</t>
        </is>
      </c>
      <c r="H259" s="97" t="inlineStr">
        <is>
          <t>Gizi Baik</t>
        </is>
      </c>
      <c r="I259" s="98" t="inlineStr">
        <is>
          <t>Ya</t>
        </is>
      </c>
      <c r="J259" s="98">
        <f>IF(G259="Normal","Tidak",IF(G259="Pendek","Potensi Stunting",IF(G259="Sangat Pendek","Stunting","")))</f>
        <v/>
      </c>
    </row>
    <row r="260" ht="15.75" customHeight="1" s="95">
      <c r="A260" s="97" t="inlineStr">
        <is>
          <t>anonymus0259</t>
        </is>
      </c>
      <c r="B260" s="97" t="inlineStr">
        <is>
          <t xml:space="preserve">L </t>
        </is>
      </c>
      <c r="C260" s="97" t="inlineStr">
        <is>
          <t>35-69 Bulan</t>
        </is>
      </c>
      <c r="D260" s="97" t="inlineStr">
        <is>
          <t>16.8</t>
        </is>
      </c>
      <c r="E260" s="97" t="n">
        <v>100</v>
      </c>
      <c r="F260" s="97" t="inlineStr">
        <is>
          <t>Berat Badan Normal</t>
        </is>
      </c>
      <c r="G260" s="97" t="inlineStr">
        <is>
          <t>Normal</t>
        </is>
      </c>
      <c r="H260" s="97" t="inlineStr">
        <is>
          <t>Risiko Gizi Lebih</t>
        </is>
      </c>
      <c r="I260" s="98" t="inlineStr">
        <is>
          <t>Ya</t>
        </is>
      </c>
      <c r="J260" s="98">
        <f>IF(G260="Normal","Tidak",IF(G260="Pendek","Potensi Stunting",IF(G260="Sangat Pendek","Stunting","")))</f>
        <v/>
      </c>
    </row>
    <row r="261" ht="15.75" customHeight="1" s="95">
      <c r="A261" s="97" t="inlineStr">
        <is>
          <t>anonymus0260</t>
        </is>
      </c>
      <c r="B261" s="97" t="inlineStr">
        <is>
          <t>L</t>
        </is>
      </c>
      <c r="C261" s="97" t="inlineStr">
        <is>
          <t>1-34 Bulan</t>
        </is>
      </c>
      <c r="D261" s="97" t="n">
        <v>14.4</v>
      </c>
      <c r="E261" s="97" t="n">
        <v>90</v>
      </c>
      <c r="F261" s="97" t="inlineStr">
        <is>
          <t>Berat Badan Normal</t>
        </is>
      </c>
      <c r="G261" s="97" t="inlineStr">
        <is>
          <t>Normal</t>
        </is>
      </c>
      <c r="H261" s="97" t="inlineStr">
        <is>
          <t>Gizi Baik</t>
        </is>
      </c>
      <c r="I261" s="98" t="inlineStr">
        <is>
          <t>Ya</t>
        </is>
      </c>
      <c r="J261" s="98">
        <f>IF(G261="Normal","Tidak",IF(G261="Pendek","Potensi Stunting",IF(G261="Sangat Pendek","Stunting","")))</f>
        <v/>
      </c>
    </row>
    <row r="262" ht="15.75" customHeight="1" s="95">
      <c r="A262" s="97" t="inlineStr">
        <is>
          <t>anonymus0261</t>
        </is>
      </c>
      <c r="B262" s="97" t="inlineStr">
        <is>
          <t xml:space="preserve">L </t>
        </is>
      </c>
      <c r="C262" s="97" t="inlineStr">
        <is>
          <t>1-34 Bulan</t>
        </is>
      </c>
      <c r="D262" s="97" t="inlineStr">
        <is>
          <t>12.1</t>
        </is>
      </c>
      <c r="E262" s="97" t="n">
        <v>89</v>
      </c>
      <c r="F262" s="97" t="inlineStr">
        <is>
          <t>Berat Badan Normal</t>
        </is>
      </c>
      <c r="G262" s="97" t="inlineStr">
        <is>
          <t>Normal</t>
        </is>
      </c>
      <c r="H262" s="97" t="inlineStr">
        <is>
          <t>Gizi Baik</t>
        </is>
      </c>
      <c r="I262" s="98" t="inlineStr">
        <is>
          <t>Ya</t>
        </is>
      </c>
      <c r="J262" s="98">
        <f>IF(G262="Normal","Tidak",IF(G262="Pendek","Potensi Stunting",IF(G262="Sangat Pendek","Stunting","")))</f>
        <v/>
      </c>
    </row>
    <row r="263" ht="15.75" customHeight="1" s="95">
      <c r="A263" s="97" t="inlineStr">
        <is>
          <t>anonymus0262</t>
        </is>
      </c>
      <c r="B263" s="97" t="inlineStr">
        <is>
          <t>P</t>
        </is>
      </c>
      <c r="C263" s="97" t="inlineStr">
        <is>
          <t>35-69 Bulan</t>
        </is>
      </c>
      <c r="D263" s="97" t="n">
        <v>10.2</v>
      </c>
      <c r="E263" s="97" t="n">
        <v>113</v>
      </c>
      <c r="F263" s="97" t="inlineStr">
        <is>
          <t>Berat Badan Normal</t>
        </is>
      </c>
      <c r="G263" s="97" t="inlineStr">
        <is>
          <t>Normal</t>
        </is>
      </c>
      <c r="H263" s="97" t="inlineStr">
        <is>
          <t>Gizi Baik</t>
        </is>
      </c>
      <c r="I263" s="98" t="inlineStr">
        <is>
          <t>Ya</t>
        </is>
      </c>
      <c r="J263" s="98">
        <f>IF(G263="Normal","Tidak",IF(G263="Pendek","Potensi Stunting",IF(G263="Sangat Pendek","Stunting","")))</f>
        <v/>
      </c>
    </row>
    <row r="264" ht="15.75" customHeight="1" s="95">
      <c r="A264" s="97" t="inlineStr">
        <is>
          <t>anonymus0263</t>
        </is>
      </c>
      <c r="B264" s="97" t="inlineStr">
        <is>
          <t>L</t>
        </is>
      </c>
      <c r="C264" s="97" t="inlineStr">
        <is>
          <t>35-69 Bulan</t>
        </is>
      </c>
      <c r="D264" s="97" t="n">
        <v>10.5</v>
      </c>
      <c r="E264" s="97" t="n">
        <v>90</v>
      </c>
      <c r="F264" s="97" t="inlineStr">
        <is>
          <t>Berat Badan Normal</t>
        </is>
      </c>
      <c r="G264" s="97" t="inlineStr">
        <is>
          <t>Normal</t>
        </is>
      </c>
      <c r="H264" s="97" t="inlineStr">
        <is>
          <t>Gizi Baik</t>
        </is>
      </c>
      <c r="I264" s="98" t="inlineStr">
        <is>
          <t>Ya</t>
        </is>
      </c>
      <c r="J264" s="98">
        <f>IF(G264="Normal","Tidak",IF(G264="Pendek","Potensi Stunting",IF(G264="Sangat Pendek","Stunting","")))</f>
        <v/>
      </c>
    </row>
    <row r="265" ht="15.75" customHeight="1" s="95">
      <c r="A265" s="97" t="inlineStr">
        <is>
          <t>anonymus0264</t>
        </is>
      </c>
      <c r="B265" s="97" t="inlineStr">
        <is>
          <t>P</t>
        </is>
      </c>
      <c r="C265" s="97" t="inlineStr">
        <is>
          <t>1-34 Bulan</t>
        </is>
      </c>
      <c r="D265" s="97" t="n">
        <v>12.7</v>
      </c>
      <c r="E265" s="97" t="n">
        <v>95</v>
      </c>
      <c r="F265" s="97" t="inlineStr">
        <is>
          <t>Berat Badan Normal</t>
        </is>
      </c>
      <c r="G265" s="97" t="inlineStr">
        <is>
          <t>Normal</t>
        </is>
      </c>
      <c r="H265" s="97" t="inlineStr">
        <is>
          <t>Gizi Baik</t>
        </is>
      </c>
      <c r="I265" s="98" t="inlineStr">
        <is>
          <t>Ya</t>
        </is>
      </c>
      <c r="J265" s="98">
        <f>IF(G265="Normal","Tidak",IF(G265="Pendek","Potensi Stunting",IF(G265="Sangat Pendek","Stunting","")))</f>
        <v/>
      </c>
    </row>
    <row r="266" ht="15.75" customHeight="1" s="95">
      <c r="A266" s="97" t="inlineStr">
        <is>
          <t>anonymus0265</t>
        </is>
      </c>
      <c r="B266" s="97" t="inlineStr">
        <is>
          <t xml:space="preserve">L </t>
        </is>
      </c>
      <c r="C266" s="97" t="inlineStr">
        <is>
          <t>35-69 Bulan</t>
        </is>
      </c>
      <c r="D266" s="97" t="inlineStr">
        <is>
          <t>15.9</t>
        </is>
      </c>
      <c r="E266" s="97" t="n">
        <v>102</v>
      </c>
      <c r="F266" s="97" t="inlineStr">
        <is>
          <t>Berat Badan Normal</t>
        </is>
      </c>
      <c r="G266" s="97" t="inlineStr">
        <is>
          <t>Normal</t>
        </is>
      </c>
      <c r="H266" s="97" t="inlineStr">
        <is>
          <t>Gizi Baik</t>
        </is>
      </c>
      <c r="I266" s="98" t="inlineStr">
        <is>
          <t>Ya</t>
        </is>
      </c>
      <c r="J266" s="98">
        <f>IF(G266="Normal","Tidak",IF(G266="Pendek","Potensi Stunting",IF(G266="Sangat Pendek","Stunting","")))</f>
        <v/>
      </c>
    </row>
    <row r="267" ht="15.75" customHeight="1" s="95">
      <c r="A267" s="97" t="inlineStr">
        <is>
          <t>anonymus0266</t>
        </is>
      </c>
      <c r="B267" s="97" t="inlineStr">
        <is>
          <t>L</t>
        </is>
      </c>
      <c r="C267" s="97" t="inlineStr">
        <is>
          <t>35-69 Bulan</t>
        </is>
      </c>
      <c r="D267" s="97" t="n">
        <v>13</v>
      </c>
      <c r="E267" s="97" t="n">
        <v>100</v>
      </c>
      <c r="F267" s="97" t="inlineStr">
        <is>
          <t>Normal</t>
        </is>
      </c>
      <c r="G267" s="97" t="inlineStr">
        <is>
          <t>Normal</t>
        </is>
      </c>
      <c r="H267" s="97" t="inlineStr">
        <is>
          <t>Gizi Kurang</t>
        </is>
      </c>
      <c r="I267" s="98" t="inlineStr">
        <is>
          <t>Ya</t>
        </is>
      </c>
      <c r="J267" s="98">
        <f>IF(G267="Normal","Tidak",IF(G267="Pendek","Potensi Stunting",IF(G267="Sangat Pendek","Stunting","")))</f>
        <v/>
      </c>
    </row>
    <row r="268" ht="15.75" customHeight="1" s="95">
      <c r="A268" s="97" t="inlineStr">
        <is>
          <t>anonymus0267</t>
        </is>
      </c>
      <c r="B268" s="97" t="inlineStr">
        <is>
          <t xml:space="preserve">P </t>
        </is>
      </c>
      <c r="C268" s="97" t="inlineStr">
        <is>
          <t>35-69 Bulan</t>
        </is>
      </c>
      <c r="D268" s="97" t="inlineStr">
        <is>
          <t>13.3</t>
        </is>
      </c>
      <c r="E268" s="97" t="n">
        <v>98</v>
      </c>
      <c r="F268" s="97" t="inlineStr">
        <is>
          <t>Berat Badan Normal</t>
        </is>
      </c>
      <c r="G268" s="97" t="inlineStr">
        <is>
          <t>Normal</t>
        </is>
      </c>
      <c r="H268" s="97" t="inlineStr">
        <is>
          <t>Gizi Baik</t>
        </is>
      </c>
      <c r="I268" s="98" t="inlineStr">
        <is>
          <t>Ya</t>
        </is>
      </c>
      <c r="J268" s="98">
        <f>IF(G268="Normal","Tidak",IF(G268="Pendek","Potensi Stunting",IF(G268="Sangat Pendek","Stunting","")))</f>
        <v/>
      </c>
    </row>
    <row r="269" ht="15.75" customHeight="1" s="95">
      <c r="A269" s="97" t="inlineStr">
        <is>
          <t>anonymus0268</t>
        </is>
      </c>
      <c r="B269" s="97" t="inlineStr">
        <is>
          <t>L</t>
        </is>
      </c>
      <c r="C269" s="97" t="inlineStr">
        <is>
          <t>1-34 Bulan</t>
        </is>
      </c>
      <c r="D269" s="97" t="n">
        <v>14</v>
      </c>
      <c r="E269" s="97" t="n">
        <v>73</v>
      </c>
      <c r="F269" s="97" t="inlineStr">
        <is>
          <t>Berat Badan Normal</t>
        </is>
      </c>
      <c r="G269" s="97" t="inlineStr">
        <is>
          <t>Normal</t>
        </is>
      </c>
      <c r="H269" s="97" t="inlineStr">
        <is>
          <t>Gizi Baik</t>
        </is>
      </c>
      <c r="I269" s="98" t="inlineStr">
        <is>
          <t>Ya</t>
        </is>
      </c>
      <c r="J269" s="98">
        <f>IF(G269="Normal","Tidak",IF(G269="Pendek","Potensi Stunting",IF(G269="Sangat Pendek","Stunting","")))</f>
        <v/>
      </c>
    </row>
    <row r="270" ht="15.75" customHeight="1" s="95">
      <c r="A270" s="97" t="inlineStr">
        <is>
          <t>anonymus0269</t>
        </is>
      </c>
      <c r="B270" s="97" t="inlineStr">
        <is>
          <t>L</t>
        </is>
      </c>
      <c r="C270" s="97" t="inlineStr">
        <is>
          <t>1-34 Bulan</t>
        </is>
      </c>
      <c r="D270" s="97" t="n">
        <v>7</v>
      </c>
      <c r="E270" s="97" t="n">
        <v>70</v>
      </c>
      <c r="F270" s="97" t="inlineStr">
        <is>
          <t>Normal</t>
        </is>
      </c>
      <c r="G270" s="97" t="inlineStr">
        <is>
          <t>Normal</t>
        </is>
      </c>
      <c r="H270" s="97" t="inlineStr">
        <is>
          <t>Gizi Kurang</t>
        </is>
      </c>
      <c r="I270" s="98" t="inlineStr">
        <is>
          <t>Ya</t>
        </is>
      </c>
      <c r="J270" s="98">
        <f>IF(G270="Normal","Tidak",IF(G270="Pendek","Potensi Stunting",IF(G270="Sangat Pendek","Stunting","")))</f>
        <v/>
      </c>
    </row>
    <row r="271" ht="15.75" customHeight="1" s="95">
      <c r="A271" s="97" t="inlineStr">
        <is>
          <t>anonymus0270</t>
        </is>
      </c>
      <c r="B271" s="97" t="inlineStr">
        <is>
          <t>L</t>
        </is>
      </c>
      <c r="C271" s="97" t="inlineStr">
        <is>
          <t>35-69 Bulan</t>
        </is>
      </c>
      <c r="D271" s="97" t="n">
        <v>12.7</v>
      </c>
      <c r="E271" s="97" t="n">
        <v>102</v>
      </c>
      <c r="F271" s="97" t="inlineStr">
        <is>
          <t>Berat Badan Normal</t>
        </is>
      </c>
      <c r="G271" s="97" t="inlineStr">
        <is>
          <t>Normal</t>
        </is>
      </c>
      <c r="H271" s="97" t="inlineStr">
        <is>
          <t>Gizi Baik</t>
        </is>
      </c>
      <c r="I271" s="98" t="inlineStr">
        <is>
          <t>Ya</t>
        </is>
      </c>
      <c r="J271" s="98">
        <f>IF(G271="Normal","Tidak",IF(G271="Pendek","Potensi Stunting",IF(G271="Sangat Pendek","Stunting","")))</f>
        <v/>
      </c>
    </row>
    <row r="272" ht="15.75" customHeight="1" s="95">
      <c r="A272" s="97" t="inlineStr">
        <is>
          <t>anonymus0271</t>
        </is>
      </c>
      <c r="B272" s="97" t="inlineStr">
        <is>
          <t xml:space="preserve">L </t>
        </is>
      </c>
      <c r="C272" s="97" t="inlineStr">
        <is>
          <t>35-69 Bulan</t>
        </is>
      </c>
      <c r="D272" s="97" t="inlineStr">
        <is>
          <t>10.6</t>
        </is>
      </c>
      <c r="E272" s="97" t="n">
        <v>93</v>
      </c>
      <c r="F272" s="97" t="inlineStr">
        <is>
          <t>Kurang</t>
        </is>
      </c>
      <c r="G272" s="97" t="inlineStr">
        <is>
          <t>Normal</t>
        </is>
      </c>
      <c r="H272" s="97" t="inlineStr">
        <is>
          <t>Gizi Buruk</t>
        </is>
      </c>
      <c r="I272" s="98" t="inlineStr">
        <is>
          <t>Ya</t>
        </is>
      </c>
      <c r="J272" s="98">
        <f>IF(G272="Normal","Tidak",IF(G272="Pendek","Potensi Stunting",IF(G272="Sangat Pendek","Stunting","")))</f>
        <v/>
      </c>
    </row>
    <row r="273" ht="15.75" customHeight="1" s="95">
      <c r="A273" s="97" t="inlineStr">
        <is>
          <t>anonymus0272</t>
        </is>
      </c>
      <c r="B273" s="97" t="inlineStr">
        <is>
          <t>L</t>
        </is>
      </c>
      <c r="C273" s="97" t="inlineStr">
        <is>
          <t>35-69 Bulan</t>
        </is>
      </c>
      <c r="D273" s="97" t="n">
        <v>10.8</v>
      </c>
      <c r="E273" s="97" t="n">
        <v>90</v>
      </c>
      <c r="F273" s="97" t="inlineStr">
        <is>
          <t>Berat Badan Normal</t>
        </is>
      </c>
      <c r="G273" s="97" t="inlineStr">
        <is>
          <t>Normal</t>
        </is>
      </c>
      <c r="H273" s="97" t="inlineStr">
        <is>
          <t>Gizi Baik</t>
        </is>
      </c>
      <c r="I273" s="98" t="inlineStr">
        <is>
          <t>Ya</t>
        </is>
      </c>
      <c r="J273" s="98">
        <f>IF(G273="Normal","Tidak",IF(G273="Pendek","Potensi Stunting",IF(G273="Sangat Pendek","Stunting","")))</f>
        <v/>
      </c>
    </row>
    <row r="274" ht="15.75" customHeight="1" s="95">
      <c r="A274" s="97" t="inlineStr">
        <is>
          <t>anonymus0273</t>
        </is>
      </c>
      <c r="B274" s="97" t="inlineStr">
        <is>
          <t xml:space="preserve">L </t>
        </is>
      </c>
      <c r="C274" s="97" t="inlineStr">
        <is>
          <t>1-34 Bulan</t>
        </is>
      </c>
      <c r="D274" s="97" t="inlineStr">
        <is>
          <t>12.6</t>
        </is>
      </c>
      <c r="E274" s="97" t="n">
        <v>86</v>
      </c>
      <c r="F274" s="97" t="inlineStr">
        <is>
          <t>Berat Badan Normal</t>
        </is>
      </c>
      <c r="G274" s="97" t="inlineStr">
        <is>
          <t>Normal</t>
        </is>
      </c>
      <c r="H274" s="97" t="inlineStr">
        <is>
          <t>Gizi Baik</t>
        </is>
      </c>
      <c r="I274" s="98" t="inlineStr">
        <is>
          <t>Ya</t>
        </is>
      </c>
      <c r="J274" s="98">
        <f>IF(G274="Normal","Tidak",IF(G274="Pendek","Potensi Stunting",IF(G274="Sangat Pendek","Stunting","")))</f>
        <v/>
      </c>
    </row>
    <row r="275" ht="15.75" customHeight="1" s="95">
      <c r="A275" s="97" t="inlineStr">
        <is>
          <t>anonymus0274</t>
        </is>
      </c>
      <c r="B275" s="97" t="inlineStr">
        <is>
          <t xml:space="preserve">P </t>
        </is>
      </c>
      <c r="C275" s="97" t="inlineStr">
        <is>
          <t>35-69 Bulan</t>
        </is>
      </c>
      <c r="D275" s="97" t="n">
        <v>11</v>
      </c>
      <c r="E275" s="97" t="n">
        <v>92</v>
      </c>
      <c r="F275" s="97" t="inlineStr">
        <is>
          <t>Kurang</t>
        </is>
      </c>
      <c r="G275" s="97" t="inlineStr">
        <is>
          <t>Normal</t>
        </is>
      </c>
      <c r="H275" s="97" t="inlineStr">
        <is>
          <t>Gizi Kurang</t>
        </is>
      </c>
      <c r="I275" s="98" t="inlineStr">
        <is>
          <t>Ya</t>
        </is>
      </c>
      <c r="J275" s="98">
        <f>IF(G275="Normal","Tidak",IF(G275="Pendek","Potensi Stunting",IF(G275="Sangat Pendek","Stunting","")))</f>
        <v/>
      </c>
    </row>
    <row r="276" ht="15.75" customHeight="1" s="95">
      <c r="A276" s="97" t="inlineStr">
        <is>
          <t>anonymus0275</t>
        </is>
      </c>
      <c r="B276" s="97" t="inlineStr">
        <is>
          <t xml:space="preserve">P </t>
        </is>
      </c>
      <c r="C276" s="97" t="inlineStr">
        <is>
          <t>35-69 Bulan</t>
        </is>
      </c>
      <c r="D276" s="97" t="n">
        <v>18</v>
      </c>
      <c r="E276" s="97" t="n">
        <v>104</v>
      </c>
      <c r="F276" s="97" t="inlineStr">
        <is>
          <t>Berat Badan Normal</t>
        </is>
      </c>
      <c r="G276" s="97" t="inlineStr">
        <is>
          <t>Normal</t>
        </is>
      </c>
      <c r="H276" s="97" t="inlineStr">
        <is>
          <t>Gizi Baik</t>
        </is>
      </c>
      <c r="I276" s="98" t="inlineStr">
        <is>
          <t>Ya</t>
        </is>
      </c>
      <c r="J276" s="98">
        <f>IF(G276="Normal","Tidak",IF(G276="Pendek","Potensi Stunting",IF(G276="Sangat Pendek","Stunting","")))</f>
        <v/>
      </c>
    </row>
    <row r="277" ht="15.75" customHeight="1" s="95">
      <c r="A277" s="97" t="inlineStr">
        <is>
          <t>anonymus0276</t>
        </is>
      </c>
      <c r="B277" s="97" t="inlineStr">
        <is>
          <t>P</t>
        </is>
      </c>
      <c r="C277" s="97" t="inlineStr">
        <is>
          <t>35-69 Bulan</t>
        </is>
      </c>
      <c r="D277" s="97" t="n">
        <v>13.1</v>
      </c>
      <c r="E277" s="97" t="n">
        <v>103</v>
      </c>
      <c r="F277" s="97" t="inlineStr">
        <is>
          <t>Kurang</t>
        </is>
      </c>
      <c r="G277" s="97" t="inlineStr">
        <is>
          <t>Normal</t>
        </is>
      </c>
      <c r="H277" s="97" t="inlineStr">
        <is>
          <t>Gizi Kurang</t>
        </is>
      </c>
      <c r="I277" s="98" t="inlineStr">
        <is>
          <t>Ya</t>
        </is>
      </c>
      <c r="J277" s="98">
        <f>IF(G277="Normal","Tidak",IF(G277="Pendek","Potensi Stunting",IF(G277="Sangat Pendek","Stunting","")))</f>
        <v/>
      </c>
    </row>
    <row r="278" ht="15.75" customHeight="1" s="95">
      <c r="A278" s="97" t="inlineStr">
        <is>
          <t>anonymus0277</t>
        </is>
      </c>
      <c r="B278" s="97" t="inlineStr">
        <is>
          <t>P</t>
        </is>
      </c>
      <c r="C278" s="97" t="inlineStr">
        <is>
          <t>1-34 Bulan</t>
        </is>
      </c>
      <c r="D278" s="97" t="n">
        <v>13.9</v>
      </c>
      <c r="E278" s="97" t="n">
        <v>82</v>
      </c>
      <c r="F278" s="97" t="inlineStr">
        <is>
          <t>Berat Badan Normal</t>
        </is>
      </c>
      <c r="G278" s="97" t="inlineStr">
        <is>
          <t>Normal</t>
        </is>
      </c>
      <c r="H278" s="97" t="inlineStr">
        <is>
          <t>Gizi Baik</t>
        </is>
      </c>
      <c r="I278" s="98" t="inlineStr">
        <is>
          <t>Ya</t>
        </is>
      </c>
      <c r="J278" s="98">
        <f>IF(G278="Normal","Tidak",IF(G278="Pendek","Potensi Stunting",IF(G278="Sangat Pendek","Stunting","")))</f>
        <v/>
      </c>
    </row>
    <row r="279" ht="15.75" customHeight="1" s="95">
      <c r="A279" s="97" t="inlineStr">
        <is>
          <t>anonymus0278</t>
        </is>
      </c>
      <c r="B279" s="97" t="inlineStr">
        <is>
          <t>P</t>
        </is>
      </c>
      <c r="C279" s="97" t="inlineStr">
        <is>
          <t>35-69 Bulan</t>
        </is>
      </c>
      <c r="D279" s="97" t="n">
        <v>10.2</v>
      </c>
      <c r="E279" s="97" t="n">
        <v>87</v>
      </c>
      <c r="F279" s="97" t="inlineStr">
        <is>
          <t>Sangat Kurang</t>
        </is>
      </c>
      <c r="G279" s="97" t="inlineStr">
        <is>
          <t>Sangat Pendek</t>
        </is>
      </c>
      <c r="H279" s="97" t="inlineStr">
        <is>
          <t>Gizi Baik</t>
        </is>
      </c>
      <c r="I279" s="98" t="inlineStr">
        <is>
          <t>Ya</t>
        </is>
      </c>
      <c r="J279" s="98">
        <f>IF(G279="Normal","Tidak",IF(G279="Pendek","Potensi Stunting",IF(G279="Sangat Pendek","Stunting","")))</f>
        <v/>
      </c>
    </row>
    <row r="280" ht="15.75" customHeight="1" s="95">
      <c r="A280" s="97" t="inlineStr">
        <is>
          <t>anonymus0279</t>
        </is>
      </c>
      <c r="B280" s="97" t="inlineStr">
        <is>
          <t>L</t>
        </is>
      </c>
      <c r="C280" s="97" t="inlineStr">
        <is>
          <t>35-69 Bulan</t>
        </is>
      </c>
      <c r="D280" s="97" t="n">
        <v>15.8</v>
      </c>
      <c r="E280" s="97" t="n">
        <v>102</v>
      </c>
      <c r="F280" s="97" t="inlineStr">
        <is>
          <t>Berat Badan Normal</t>
        </is>
      </c>
      <c r="G280" s="97" t="inlineStr">
        <is>
          <t>Normal</t>
        </is>
      </c>
      <c r="H280" s="97" t="inlineStr">
        <is>
          <t>Gizi Baik</t>
        </is>
      </c>
      <c r="I280" s="98" t="inlineStr">
        <is>
          <t>Ya</t>
        </is>
      </c>
      <c r="J280" s="98">
        <f>IF(G280="Normal","Tidak",IF(G280="Pendek","Potensi Stunting",IF(G280="Sangat Pendek","Stunting","")))</f>
        <v/>
      </c>
    </row>
    <row r="281" ht="15.75" customHeight="1" s="95">
      <c r="A281" s="97" t="inlineStr">
        <is>
          <t>anonymus0280</t>
        </is>
      </c>
      <c r="B281" s="97" t="inlineStr">
        <is>
          <t xml:space="preserve">L </t>
        </is>
      </c>
      <c r="C281" s="97" t="inlineStr">
        <is>
          <t>1-34 Bulan</t>
        </is>
      </c>
      <c r="D281" s="97" t="inlineStr">
        <is>
          <t>9.3</t>
        </is>
      </c>
      <c r="E281" s="97" t="n">
        <v>75</v>
      </c>
      <c r="F281" s="97" t="inlineStr">
        <is>
          <t>Berat Badan Normal</t>
        </is>
      </c>
      <c r="G281" s="97" t="inlineStr">
        <is>
          <t>Normal</t>
        </is>
      </c>
      <c r="H281" s="97" t="inlineStr">
        <is>
          <t>Gizi Baik</t>
        </is>
      </c>
      <c r="I281" s="98" t="inlineStr">
        <is>
          <t>Ya</t>
        </is>
      </c>
      <c r="J281" s="98">
        <f>IF(G281="Normal","Tidak",IF(G281="Pendek","Potensi Stunting",IF(G281="Sangat Pendek","Stunting","")))</f>
        <v/>
      </c>
    </row>
    <row r="282" ht="15.75" customHeight="1" s="95">
      <c r="A282" s="97" t="inlineStr">
        <is>
          <t>anonymus0281</t>
        </is>
      </c>
      <c r="B282" s="97" t="inlineStr">
        <is>
          <t>L</t>
        </is>
      </c>
      <c r="C282" s="97" t="inlineStr">
        <is>
          <t>35-69 Bulan</t>
        </is>
      </c>
      <c r="D282" s="97" t="n">
        <v>18.5</v>
      </c>
      <c r="E282" s="97" t="n">
        <v>99</v>
      </c>
      <c r="F282" s="97" t="inlineStr">
        <is>
          <t>Risiko Lebih</t>
        </is>
      </c>
      <c r="G282" s="97" t="inlineStr">
        <is>
          <t>Normal</t>
        </is>
      </c>
      <c r="H282" s="97" t="inlineStr">
        <is>
          <t>Gizi Lebih</t>
        </is>
      </c>
      <c r="I282" s="98" t="inlineStr">
        <is>
          <t>Ya</t>
        </is>
      </c>
      <c r="J282" s="98">
        <f>IF(G282="Normal","Tidak",IF(G282="Pendek","Potensi Stunting",IF(G282="Sangat Pendek","Stunting","")))</f>
        <v/>
      </c>
    </row>
    <row r="283" ht="15.75" customHeight="1" s="95">
      <c r="A283" s="97" t="inlineStr">
        <is>
          <t>anonymus0282</t>
        </is>
      </c>
      <c r="B283" s="97" t="inlineStr">
        <is>
          <t xml:space="preserve">P </t>
        </is>
      </c>
      <c r="C283" s="97" t="inlineStr">
        <is>
          <t>1-34 Bulan</t>
        </is>
      </c>
      <c r="D283" s="97" t="n">
        <v>13</v>
      </c>
      <c r="E283" s="97" t="n">
        <v>89</v>
      </c>
      <c r="F283" s="97" t="inlineStr">
        <is>
          <t>Berat Badan Normal</t>
        </is>
      </c>
      <c r="G283" s="97" t="inlineStr">
        <is>
          <t>Normal</t>
        </is>
      </c>
      <c r="H283" s="97" t="inlineStr">
        <is>
          <t>Gizi Baik</t>
        </is>
      </c>
      <c r="I283" s="98" t="inlineStr">
        <is>
          <t>Ya</t>
        </is>
      </c>
      <c r="J283" s="98">
        <f>IF(G283="Normal","Tidak",IF(G283="Pendek","Potensi Stunting",IF(G283="Sangat Pendek","Stunting","")))</f>
        <v/>
      </c>
    </row>
    <row r="284" ht="15.75" customHeight="1" s="95">
      <c r="A284" s="97" t="inlineStr">
        <is>
          <t>anonymus0283</t>
        </is>
      </c>
      <c r="B284" s="97" t="inlineStr">
        <is>
          <t xml:space="preserve">L </t>
        </is>
      </c>
      <c r="C284" s="97" t="inlineStr">
        <is>
          <t>35-69 Bulan</t>
        </is>
      </c>
      <c r="D284" s="97" t="inlineStr">
        <is>
          <t>16.3</t>
        </is>
      </c>
      <c r="E284" s="97" t="n">
        <v>109</v>
      </c>
      <c r="F284" s="97" t="inlineStr">
        <is>
          <t>Berat Badan Normal</t>
        </is>
      </c>
      <c r="G284" s="97" t="inlineStr">
        <is>
          <t>Normal</t>
        </is>
      </c>
      <c r="H284" s="97" t="inlineStr">
        <is>
          <t>Gizi Baik</t>
        </is>
      </c>
      <c r="I284" s="98" t="inlineStr">
        <is>
          <t>Ya</t>
        </is>
      </c>
      <c r="J284" s="98">
        <f>IF(G284="Normal","Tidak",IF(G284="Pendek","Potensi Stunting",IF(G284="Sangat Pendek","Stunting","")))</f>
        <v/>
      </c>
    </row>
    <row r="285" ht="15.75" customHeight="1" s="95">
      <c r="A285" s="97" t="inlineStr">
        <is>
          <t>anonymus0284</t>
        </is>
      </c>
      <c r="B285" s="97" t="inlineStr">
        <is>
          <t>L</t>
        </is>
      </c>
      <c r="C285" s="97" t="inlineStr">
        <is>
          <t>35-69 Bulan</t>
        </is>
      </c>
      <c r="D285" s="97" t="n">
        <v>16.8</v>
      </c>
      <c r="E285" s="97" t="n">
        <v>99</v>
      </c>
      <c r="F285" s="97" t="inlineStr">
        <is>
          <t>Berat Badan Normal</t>
        </is>
      </c>
      <c r="G285" s="97" t="inlineStr">
        <is>
          <t>Normal</t>
        </is>
      </c>
      <c r="H285" s="97" t="inlineStr">
        <is>
          <t>Gizi Baik</t>
        </is>
      </c>
      <c r="I285" s="98" t="inlineStr">
        <is>
          <t>Ya</t>
        </is>
      </c>
      <c r="J285" s="98">
        <f>IF(G285="Normal","Tidak",IF(G285="Pendek","Potensi Stunting",IF(G285="Sangat Pendek","Stunting","")))</f>
        <v/>
      </c>
    </row>
    <row r="286" ht="15.75" customHeight="1" s="95">
      <c r="A286" s="97" t="inlineStr">
        <is>
          <t>anonymus0285</t>
        </is>
      </c>
      <c r="B286" s="97" t="inlineStr">
        <is>
          <t>P</t>
        </is>
      </c>
      <c r="C286" s="97" t="inlineStr">
        <is>
          <t>35-69 Bulan</t>
        </is>
      </c>
      <c r="D286" s="97" t="n">
        <v>11.4</v>
      </c>
      <c r="E286" s="97" t="n">
        <v>90</v>
      </c>
      <c r="F286" s="97" t="inlineStr">
        <is>
          <t>Sangat Kurang</t>
        </is>
      </c>
      <c r="G286" s="97" t="inlineStr">
        <is>
          <t>Sangat Pendek</t>
        </is>
      </c>
      <c r="H286" s="97" t="inlineStr">
        <is>
          <t>Gizi Baik</t>
        </is>
      </c>
      <c r="I286" s="98" t="inlineStr">
        <is>
          <t>Ya</t>
        </is>
      </c>
      <c r="J286" s="98">
        <f>IF(G286="Normal","Tidak",IF(G286="Pendek","Potensi Stunting",IF(G286="Sangat Pendek","Stunting","")))</f>
        <v/>
      </c>
    </row>
    <row r="287" ht="15.75" customHeight="1" s="95">
      <c r="A287" s="97" t="inlineStr">
        <is>
          <t>anonymus0286</t>
        </is>
      </c>
      <c r="B287" s="97" t="inlineStr">
        <is>
          <t>L</t>
        </is>
      </c>
      <c r="C287" s="97" t="inlineStr">
        <is>
          <t>35-69 Bulan</t>
        </is>
      </c>
      <c r="D287" s="97" t="n">
        <v>19.8</v>
      </c>
      <c r="E287" s="97" t="n">
        <v>107</v>
      </c>
      <c r="F287" s="97" t="inlineStr">
        <is>
          <t>Risiko Lebih</t>
        </is>
      </c>
      <c r="G287" s="97" t="inlineStr">
        <is>
          <t>Normal</t>
        </is>
      </c>
      <c r="H287" s="97" t="inlineStr">
        <is>
          <t>Gizi Lebih</t>
        </is>
      </c>
      <c r="I287" s="98" t="inlineStr">
        <is>
          <t>Ya</t>
        </is>
      </c>
      <c r="J287" s="98">
        <f>IF(G287="Normal","Tidak",IF(G287="Pendek","Potensi Stunting",IF(G287="Sangat Pendek","Stunting","")))</f>
        <v/>
      </c>
    </row>
    <row r="288" ht="15.75" customHeight="1" s="95">
      <c r="A288" s="97" t="inlineStr">
        <is>
          <t>anonymus0287</t>
        </is>
      </c>
      <c r="B288" s="97" t="inlineStr">
        <is>
          <t xml:space="preserve">P </t>
        </is>
      </c>
      <c r="C288" s="97" t="inlineStr">
        <is>
          <t>35-69 Bulan</t>
        </is>
      </c>
      <c r="D288" s="97" t="inlineStr">
        <is>
          <t>17.5</t>
        </is>
      </c>
      <c r="E288" s="97" t="n">
        <v>103</v>
      </c>
      <c r="F288" s="97" t="inlineStr">
        <is>
          <t>Berat Badan Normal</t>
        </is>
      </c>
      <c r="G288" s="97" t="inlineStr">
        <is>
          <t>Normal</t>
        </is>
      </c>
      <c r="H288" s="97" t="inlineStr">
        <is>
          <t>Gizi Baik</t>
        </is>
      </c>
      <c r="I288" s="98" t="inlineStr">
        <is>
          <t>Ya</t>
        </is>
      </c>
      <c r="J288" s="98">
        <f>IF(G288="Normal","Tidak",IF(G288="Pendek","Potensi Stunting",IF(G288="Sangat Pendek","Stunting","")))</f>
        <v/>
      </c>
    </row>
    <row r="289" ht="15.75" customHeight="1" s="95">
      <c r="A289" s="97" t="inlineStr">
        <is>
          <t>anonymus0288</t>
        </is>
      </c>
      <c r="B289" s="97" t="inlineStr">
        <is>
          <t>P</t>
        </is>
      </c>
      <c r="C289" s="97" t="inlineStr">
        <is>
          <t>1-34 Bulan</t>
        </is>
      </c>
      <c r="D289" s="97" t="n">
        <v>10</v>
      </c>
      <c r="E289" s="97" t="n">
        <v>89.5</v>
      </c>
      <c r="F289" s="97" t="inlineStr">
        <is>
          <t>Kurang</t>
        </is>
      </c>
      <c r="G289" s="97" t="inlineStr">
        <is>
          <t>Normal</t>
        </is>
      </c>
      <c r="H289" s="97" t="inlineStr">
        <is>
          <t>Gizi Kurang</t>
        </is>
      </c>
      <c r="I289" s="98" t="inlineStr">
        <is>
          <t>Ya</t>
        </is>
      </c>
      <c r="J289" s="98">
        <f>IF(G289="Normal","Tidak",IF(G289="Pendek","Potensi Stunting",IF(G289="Sangat Pendek","Stunting","")))</f>
        <v/>
      </c>
    </row>
    <row r="290" ht="15.75" customHeight="1" s="95">
      <c r="A290" s="97" t="inlineStr">
        <is>
          <t>anonymus0289</t>
        </is>
      </c>
      <c r="B290" s="97" t="inlineStr">
        <is>
          <t xml:space="preserve">P </t>
        </is>
      </c>
      <c r="C290" s="97" t="inlineStr">
        <is>
          <t>35-69 Bulan</t>
        </is>
      </c>
      <c r="D290" s="97" t="inlineStr">
        <is>
          <t>11.9</t>
        </is>
      </c>
      <c r="E290" s="97" t="n">
        <v>95</v>
      </c>
      <c r="F290" s="97" t="inlineStr">
        <is>
          <t>Berat Badan Normal</t>
        </is>
      </c>
      <c r="G290" s="97" t="inlineStr">
        <is>
          <t>Normal</t>
        </is>
      </c>
      <c r="H290" s="97" t="inlineStr">
        <is>
          <t>Gizi Baik</t>
        </is>
      </c>
      <c r="I290" s="98" t="inlineStr">
        <is>
          <t>Ya</t>
        </is>
      </c>
      <c r="J290" s="98">
        <f>IF(G290="Normal","Tidak",IF(G290="Pendek","Potensi Stunting",IF(G290="Sangat Pendek","Stunting","")))</f>
        <v/>
      </c>
    </row>
    <row r="291" ht="15.75" customHeight="1" s="95">
      <c r="A291" s="97" t="inlineStr">
        <is>
          <t>anonymus0290</t>
        </is>
      </c>
      <c r="B291" s="97" t="inlineStr">
        <is>
          <t>L</t>
        </is>
      </c>
      <c r="C291" s="97" t="inlineStr">
        <is>
          <t>1-34 Bulan</t>
        </is>
      </c>
      <c r="D291" s="97" t="n">
        <v>10.3</v>
      </c>
      <c r="E291" s="97" t="n">
        <v>74</v>
      </c>
      <c r="F291" s="97" t="inlineStr">
        <is>
          <t>Normal</t>
        </is>
      </c>
      <c r="G291" s="97" t="inlineStr">
        <is>
          <t>Sangat Pendek</t>
        </is>
      </c>
      <c r="H291" s="97" t="inlineStr">
        <is>
          <t>Risiko Gizi Lebih</t>
        </is>
      </c>
      <c r="I291" s="98" t="inlineStr">
        <is>
          <t>Ya</t>
        </is>
      </c>
      <c r="J291" s="98">
        <f>IF(G291="Normal","Tidak",IF(G291="Pendek","Potensi Stunting",IF(G291="Sangat Pendek","Stunting","")))</f>
        <v/>
      </c>
    </row>
    <row r="292" ht="15.75" customHeight="1" s="95">
      <c r="A292" s="97" t="inlineStr">
        <is>
          <t>anonymus0291</t>
        </is>
      </c>
      <c r="B292" s="97" t="inlineStr">
        <is>
          <t>L</t>
        </is>
      </c>
      <c r="C292" s="97" t="inlineStr">
        <is>
          <t>1-34 Bulan</t>
        </is>
      </c>
      <c r="D292" s="97" t="n">
        <v>9.1</v>
      </c>
      <c r="E292" s="97" t="n">
        <v>81</v>
      </c>
      <c r="F292" s="97" t="inlineStr">
        <is>
          <t>Kurang</t>
        </is>
      </c>
      <c r="G292" s="97" t="inlineStr">
        <is>
          <t>Pendek</t>
        </is>
      </c>
      <c r="H292" s="97" t="inlineStr">
        <is>
          <t>Gizi Kurang</t>
        </is>
      </c>
      <c r="I292" s="98" t="inlineStr">
        <is>
          <t>Ya</t>
        </is>
      </c>
      <c r="J292" s="98">
        <f>IF(G292="Normal","Tidak",IF(G292="Pendek","Potensi Stunting",IF(G292="Sangat Pendek","Stunting","")))</f>
        <v/>
      </c>
    </row>
    <row r="293" ht="15.75" customHeight="1" s="95">
      <c r="A293" s="97" t="inlineStr">
        <is>
          <t>anonymus0292</t>
        </is>
      </c>
      <c r="B293" s="97" t="inlineStr">
        <is>
          <t xml:space="preserve">L </t>
        </is>
      </c>
      <c r="C293" s="97" t="inlineStr">
        <is>
          <t>1-34 Bulan</t>
        </is>
      </c>
      <c r="D293" s="97" t="inlineStr">
        <is>
          <t>9.9</t>
        </is>
      </c>
      <c r="E293" s="97" t="n">
        <v>87</v>
      </c>
      <c r="F293" s="97" t="inlineStr">
        <is>
          <t>Kurang</t>
        </is>
      </c>
      <c r="G293" s="97" t="inlineStr">
        <is>
          <t>Normal</t>
        </is>
      </c>
      <c r="H293" s="97" t="inlineStr">
        <is>
          <t>Gizi Kurang</t>
        </is>
      </c>
      <c r="I293" s="98" t="inlineStr">
        <is>
          <t>Ya</t>
        </is>
      </c>
      <c r="J293" s="98">
        <f>IF(G293="Normal","Tidak",IF(G293="Pendek","Potensi Stunting",IF(G293="Sangat Pendek","Stunting","")))</f>
        <v/>
      </c>
    </row>
    <row r="294" ht="15.75" customHeight="1" s="95">
      <c r="A294" s="97" t="inlineStr">
        <is>
          <t>anonymus0293</t>
        </is>
      </c>
      <c r="B294" s="97" t="inlineStr">
        <is>
          <t>L</t>
        </is>
      </c>
      <c r="C294" s="97" t="inlineStr">
        <is>
          <t>35-69 Bulan</t>
        </is>
      </c>
      <c r="D294" s="97" t="n">
        <v>7.5</v>
      </c>
      <c r="E294" s="97" t="n">
        <v>76</v>
      </c>
      <c r="F294" s="97" t="inlineStr">
        <is>
          <t>Sangat Kurang</t>
        </is>
      </c>
      <c r="G294" s="97" t="inlineStr">
        <is>
          <t>Pendek</t>
        </is>
      </c>
      <c r="H294" s="97" t="inlineStr">
        <is>
          <t>Gizi Buruk</t>
        </is>
      </c>
      <c r="I294" s="98" t="inlineStr">
        <is>
          <t>Ya</t>
        </is>
      </c>
      <c r="J294" s="98">
        <f>IF(G294="Normal","Tidak",IF(G294="Pendek","Potensi Stunting",IF(G294="Sangat Pendek","Stunting","")))</f>
        <v/>
      </c>
    </row>
    <row r="295" ht="15.75" customHeight="1" s="95">
      <c r="A295" s="97" t="inlineStr">
        <is>
          <t>anonymus0294</t>
        </is>
      </c>
      <c r="B295" s="97" t="inlineStr">
        <is>
          <t xml:space="preserve">P </t>
        </is>
      </c>
      <c r="C295" s="97" t="inlineStr">
        <is>
          <t>1-34 Bulan</t>
        </is>
      </c>
      <c r="D295" s="97" t="inlineStr">
        <is>
          <t>11.6</t>
        </is>
      </c>
      <c r="E295" s="97" t="n">
        <v>89</v>
      </c>
      <c r="F295" s="97" t="inlineStr">
        <is>
          <t>Berat Badan Normal</t>
        </is>
      </c>
      <c r="G295" s="97" t="inlineStr">
        <is>
          <t>Normal</t>
        </is>
      </c>
      <c r="H295" s="97" t="inlineStr">
        <is>
          <t>Gizi Baik</t>
        </is>
      </c>
      <c r="I295" s="98" t="inlineStr">
        <is>
          <t>Ya</t>
        </is>
      </c>
      <c r="J295" s="98">
        <f>IF(G295="Normal","Tidak",IF(G295="Pendek","Potensi Stunting",IF(G295="Sangat Pendek","Stunting","")))</f>
        <v/>
      </c>
    </row>
    <row r="296" ht="15.75" customHeight="1" s="95">
      <c r="A296" s="97" t="inlineStr">
        <is>
          <t>anonymus0295</t>
        </is>
      </c>
      <c r="B296" s="97" t="inlineStr">
        <is>
          <t xml:space="preserve">L </t>
        </is>
      </c>
      <c r="C296" s="97" t="inlineStr">
        <is>
          <t>35-69 Bulan</t>
        </is>
      </c>
      <c r="D296" s="97" t="inlineStr">
        <is>
          <t>14.1</t>
        </is>
      </c>
      <c r="E296" s="97" t="n">
        <v>90</v>
      </c>
      <c r="F296" s="97" t="inlineStr">
        <is>
          <t>Berat Badan Normal</t>
        </is>
      </c>
      <c r="G296" s="97" t="inlineStr">
        <is>
          <t>Normal</t>
        </is>
      </c>
      <c r="H296" s="97" t="inlineStr">
        <is>
          <t>Risiko Gizi Lebih</t>
        </is>
      </c>
      <c r="I296" s="98" t="inlineStr">
        <is>
          <t>Ya</t>
        </is>
      </c>
      <c r="J296" s="98">
        <f>IF(G296="Normal","Tidak",IF(G296="Pendek","Potensi Stunting",IF(G296="Sangat Pendek","Stunting","")))</f>
        <v/>
      </c>
    </row>
    <row r="297" ht="15.75" customHeight="1" s="95">
      <c r="A297" s="97" t="inlineStr">
        <is>
          <t>anonymus0296</t>
        </is>
      </c>
      <c r="B297" s="97" t="inlineStr">
        <is>
          <t>L</t>
        </is>
      </c>
      <c r="C297" s="97" t="inlineStr">
        <is>
          <t>35-69 Bulan</t>
        </is>
      </c>
      <c r="D297" s="97" t="n">
        <v>13</v>
      </c>
      <c r="E297" s="97" t="n">
        <v>104</v>
      </c>
      <c r="F297" s="97" t="inlineStr">
        <is>
          <t>Normal</t>
        </is>
      </c>
      <c r="G297" s="97" t="inlineStr">
        <is>
          <t>Normal</t>
        </is>
      </c>
      <c r="H297" s="97" t="inlineStr">
        <is>
          <t>Gizi Kurang</t>
        </is>
      </c>
      <c r="I297" s="98" t="inlineStr">
        <is>
          <t>Ya</t>
        </is>
      </c>
      <c r="J297" s="98">
        <f>IF(G297="Normal","Tidak",IF(G297="Pendek","Potensi Stunting",IF(G297="Sangat Pendek","Stunting","")))</f>
        <v/>
      </c>
    </row>
    <row r="298" ht="15.75" customHeight="1" s="95">
      <c r="A298" s="97" t="inlineStr">
        <is>
          <t>anonymus0297</t>
        </is>
      </c>
      <c r="B298" s="97" t="inlineStr">
        <is>
          <t>P</t>
        </is>
      </c>
      <c r="C298" s="97" t="inlineStr">
        <is>
          <t>35-69 Bulan</t>
        </is>
      </c>
      <c r="D298" s="97" t="n">
        <v>10.5</v>
      </c>
      <c r="E298" s="97" t="n">
        <v>85</v>
      </c>
      <c r="F298" s="97" t="inlineStr">
        <is>
          <t>Normal</t>
        </is>
      </c>
      <c r="G298" s="97" t="inlineStr">
        <is>
          <t>Pendek</t>
        </is>
      </c>
      <c r="H298" s="97" t="inlineStr">
        <is>
          <t>Gizi Baik</t>
        </is>
      </c>
      <c r="I298" s="98" t="inlineStr">
        <is>
          <t>Ya</t>
        </is>
      </c>
      <c r="J298" s="98">
        <f>IF(G298="Normal","Tidak",IF(G298="Pendek","Potensi Stunting",IF(G298="Sangat Pendek","Stunting","")))</f>
        <v/>
      </c>
    </row>
    <row r="299" ht="15.75" customHeight="1" s="95">
      <c r="A299" s="97" t="inlineStr">
        <is>
          <t>anonymus0298</t>
        </is>
      </c>
      <c r="B299" s="97" t="inlineStr">
        <is>
          <t>P</t>
        </is>
      </c>
      <c r="C299" s="97" t="inlineStr">
        <is>
          <t>35-69 Bulan</t>
        </is>
      </c>
      <c r="D299" s="97" t="n">
        <v>9.300000000000001</v>
      </c>
      <c r="E299" s="97" t="n">
        <v>78</v>
      </c>
      <c r="F299" s="97" t="inlineStr">
        <is>
          <t>Normal</t>
        </is>
      </c>
      <c r="G299" s="97" t="inlineStr">
        <is>
          <t>Pendek</t>
        </is>
      </c>
      <c r="H299" s="97" t="inlineStr">
        <is>
          <t>Gizi Baik</t>
        </is>
      </c>
      <c r="I299" s="98" t="inlineStr">
        <is>
          <t>Ya</t>
        </is>
      </c>
      <c r="J299" s="98">
        <f>IF(G299="Normal","Tidak",IF(G299="Pendek","Potensi Stunting",IF(G299="Sangat Pendek","Stunting","")))</f>
        <v/>
      </c>
    </row>
    <row r="300" ht="15.75" customHeight="1" s="95">
      <c r="A300" s="97" t="inlineStr">
        <is>
          <t>anonymus0299</t>
        </is>
      </c>
      <c r="B300" s="97" t="inlineStr">
        <is>
          <t>L</t>
        </is>
      </c>
      <c r="C300" s="97" t="inlineStr">
        <is>
          <t>35-69 Bulan</t>
        </is>
      </c>
      <c r="D300" s="97" t="n">
        <v>12.6</v>
      </c>
      <c r="E300" s="97" t="n">
        <v>119</v>
      </c>
      <c r="F300" s="97" t="inlineStr">
        <is>
          <t>Berat Badan Normal</t>
        </is>
      </c>
      <c r="G300" s="97" t="inlineStr">
        <is>
          <t>Normal</t>
        </is>
      </c>
      <c r="H300" s="97" t="inlineStr">
        <is>
          <t>Gizi Baik</t>
        </is>
      </c>
      <c r="I300" s="98" t="inlineStr">
        <is>
          <t>Ya</t>
        </is>
      </c>
      <c r="J300" s="98">
        <f>IF(G300="Normal","Tidak",IF(G300="Pendek","Potensi Stunting",IF(G300="Sangat Pendek","Stunting","")))</f>
        <v/>
      </c>
    </row>
    <row r="301" ht="15.75" customHeight="1" s="95">
      <c r="A301" s="97" t="inlineStr">
        <is>
          <t>anonymus0300</t>
        </is>
      </c>
      <c r="B301" s="97" t="inlineStr">
        <is>
          <t>L</t>
        </is>
      </c>
      <c r="C301" s="97" t="inlineStr">
        <is>
          <t>35-69 Bulan</t>
        </is>
      </c>
      <c r="D301" s="97" t="n">
        <v>14.8</v>
      </c>
      <c r="E301" s="97" t="n">
        <v>108</v>
      </c>
      <c r="F301" s="97" t="inlineStr">
        <is>
          <t>Normal</t>
        </is>
      </c>
      <c r="G301" s="97" t="inlineStr">
        <is>
          <t>Normal</t>
        </is>
      </c>
      <c r="H301" s="97" t="inlineStr">
        <is>
          <t>Gizi Kurang</t>
        </is>
      </c>
      <c r="I301" s="98" t="inlineStr">
        <is>
          <t>Ya</t>
        </is>
      </c>
      <c r="J301" s="98">
        <f>IF(G301="Normal","Tidak",IF(G301="Pendek","Potensi Stunting",IF(G301="Sangat Pendek","Stunting","")))</f>
        <v/>
      </c>
    </row>
    <row r="302" ht="15.75" customHeight="1" s="95">
      <c r="A302" s="97" t="inlineStr">
        <is>
          <t>anonymus0301</t>
        </is>
      </c>
      <c r="B302" s="97" t="inlineStr">
        <is>
          <t>L</t>
        </is>
      </c>
      <c r="C302" s="97" t="inlineStr">
        <is>
          <t>1-34 Bulan</t>
        </is>
      </c>
      <c r="D302" s="97" t="n">
        <v>2.7</v>
      </c>
      <c r="E302" s="97" t="n">
        <v>48</v>
      </c>
      <c r="F302" s="97" t="inlineStr">
        <is>
          <t>Kurang</t>
        </is>
      </c>
      <c r="G302" s="97" t="inlineStr">
        <is>
          <t>Pendek</t>
        </is>
      </c>
      <c r="H302" s="97" t="inlineStr">
        <is>
          <t>Gizi Baik</t>
        </is>
      </c>
      <c r="I302" s="98" t="inlineStr">
        <is>
          <t>Ya</t>
        </is>
      </c>
      <c r="J302" s="98">
        <f>IF(G302="Normal","Tidak",IF(G302="Pendek","Potensi Stunting",IF(G302="Sangat Pendek","Stunting","")))</f>
        <v/>
      </c>
    </row>
    <row r="303" ht="15.75" customHeight="1" s="95">
      <c r="A303" s="97" t="inlineStr">
        <is>
          <t>anonymus0302</t>
        </is>
      </c>
      <c r="B303" s="97" t="inlineStr">
        <is>
          <t>L</t>
        </is>
      </c>
      <c r="C303" s="97" t="inlineStr">
        <is>
          <t>35-69 Bulan</t>
        </is>
      </c>
      <c r="D303" s="97" t="n">
        <v>12</v>
      </c>
      <c r="E303" s="97" t="n">
        <v>90</v>
      </c>
      <c r="F303" s="97" t="inlineStr">
        <is>
          <t>Normal</t>
        </is>
      </c>
      <c r="G303" s="97" t="inlineStr">
        <is>
          <t>Pendek</t>
        </is>
      </c>
      <c r="H303" s="97" t="inlineStr">
        <is>
          <t>Gizi Baik</t>
        </is>
      </c>
      <c r="I303" s="98" t="inlineStr">
        <is>
          <t>Ya</t>
        </is>
      </c>
      <c r="J303" s="98">
        <f>IF(G303="Normal","Tidak",IF(G303="Pendek","Potensi Stunting",IF(G303="Sangat Pendek","Stunting","")))</f>
        <v/>
      </c>
    </row>
    <row r="304" ht="15.75" customHeight="1" s="95">
      <c r="A304" s="97" t="inlineStr">
        <is>
          <t>anonymus0303</t>
        </is>
      </c>
      <c r="B304" s="97" t="inlineStr">
        <is>
          <t>L</t>
        </is>
      </c>
      <c r="C304" s="97" t="inlineStr">
        <is>
          <t>1-34 Bulan</t>
        </is>
      </c>
      <c r="D304" s="97" t="n">
        <v>6.3</v>
      </c>
      <c r="E304" s="97" t="n">
        <v>70</v>
      </c>
      <c r="F304" s="97" t="inlineStr">
        <is>
          <t>Kurang</t>
        </is>
      </c>
      <c r="G304" s="97" t="inlineStr">
        <is>
          <t>Normal</t>
        </is>
      </c>
      <c r="H304" s="97" t="inlineStr">
        <is>
          <t>Gizi Kurang</t>
        </is>
      </c>
      <c r="I304" s="98" t="inlineStr">
        <is>
          <t>Ya</t>
        </is>
      </c>
      <c r="J304" s="98">
        <f>IF(G304="Normal","Tidak",IF(G304="Pendek","Potensi Stunting",IF(G304="Sangat Pendek","Stunting","")))</f>
        <v/>
      </c>
    </row>
    <row r="305" ht="15.75" customHeight="1" s="95">
      <c r="A305" s="97" t="inlineStr">
        <is>
          <t>anonymus0304</t>
        </is>
      </c>
      <c r="B305" s="97" t="inlineStr">
        <is>
          <t>L</t>
        </is>
      </c>
      <c r="C305" s="97" t="inlineStr">
        <is>
          <t>1-34 Bulan</t>
        </is>
      </c>
      <c r="D305" s="97" t="n">
        <v>8.5</v>
      </c>
      <c r="E305" s="97" t="n">
        <v>99</v>
      </c>
      <c r="F305" s="97" t="inlineStr">
        <is>
          <t>Kurang</t>
        </is>
      </c>
      <c r="G305" s="97" t="inlineStr">
        <is>
          <t>Normal</t>
        </is>
      </c>
      <c r="H305" s="97" t="inlineStr">
        <is>
          <t>Gizi Kurang</t>
        </is>
      </c>
      <c r="I305" s="98" t="inlineStr">
        <is>
          <t>Ya</t>
        </is>
      </c>
      <c r="J305" s="98">
        <f>IF(G305="Normal","Tidak",IF(G305="Pendek","Potensi Stunting",IF(G305="Sangat Pendek","Stunting","")))</f>
        <v/>
      </c>
    </row>
    <row r="306" ht="15.75" customHeight="1" s="95">
      <c r="A306" s="97" t="inlineStr">
        <is>
          <t>anonymus0305</t>
        </is>
      </c>
      <c r="B306" s="97" t="inlineStr">
        <is>
          <t>P</t>
        </is>
      </c>
      <c r="C306" s="97" t="inlineStr">
        <is>
          <t>35-69 Bulan</t>
        </is>
      </c>
      <c r="D306" s="97" t="n">
        <v>8.300000000000001</v>
      </c>
      <c r="E306" s="97" t="n">
        <v>78.90000000000001</v>
      </c>
      <c r="F306" s="97" t="inlineStr">
        <is>
          <t>Sangat Kurang</t>
        </is>
      </c>
      <c r="G306" s="97" t="inlineStr">
        <is>
          <t>Pendek</t>
        </is>
      </c>
      <c r="H306" s="97" t="inlineStr">
        <is>
          <t>Gizi Kurang</t>
        </is>
      </c>
      <c r="I306" s="98" t="inlineStr">
        <is>
          <t>Ya</t>
        </is>
      </c>
      <c r="J306" s="98">
        <f>IF(G306="Normal","Tidak",IF(G306="Pendek","Potensi Stunting",IF(G306="Sangat Pendek","Stunting","")))</f>
        <v/>
      </c>
    </row>
    <row r="307" ht="15.75" customHeight="1" s="95">
      <c r="A307" s="97" t="inlineStr">
        <is>
          <t>anonymus0306</t>
        </is>
      </c>
      <c r="B307" s="97" t="inlineStr">
        <is>
          <t xml:space="preserve">L </t>
        </is>
      </c>
      <c r="C307" s="97" t="inlineStr">
        <is>
          <t>35-69 Bulan</t>
        </is>
      </c>
      <c r="D307" s="97" t="inlineStr">
        <is>
          <t>17.6</t>
        </is>
      </c>
      <c r="E307" s="97" t="n">
        <v>105</v>
      </c>
      <c r="F307" s="97" t="inlineStr">
        <is>
          <t>Berat Badan Normal</t>
        </is>
      </c>
      <c r="G307" s="97" t="inlineStr">
        <is>
          <t>Normal</t>
        </is>
      </c>
      <c r="H307" s="97" t="inlineStr">
        <is>
          <t>Gizi Baik</t>
        </is>
      </c>
      <c r="I307" s="98" t="inlineStr">
        <is>
          <t>Ya</t>
        </is>
      </c>
      <c r="J307" s="98">
        <f>IF(G307="Normal","Tidak",IF(G307="Pendek","Potensi Stunting",IF(G307="Sangat Pendek","Stunting","")))</f>
        <v/>
      </c>
    </row>
    <row r="308" ht="15.75" customHeight="1" s="95">
      <c r="A308" s="97" t="inlineStr">
        <is>
          <t>anonymus0307</t>
        </is>
      </c>
      <c r="B308" s="97" t="inlineStr">
        <is>
          <t>L</t>
        </is>
      </c>
      <c r="C308" s="97" t="inlineStr">
        <is>
          <t>35-69 Bulan</t>
        </is>
      </c>
      <c r="D308" s="97" t="n">
        <v>10.3</v>
      </c>
      <c r="E308" s="97" t="n">
        <v>87</v>
      </c>
      <c r="F308" s="97" t="inlineStr">
        <is>
          <t>Kurang</t>
        </is>
      </c>
      <c r="G308" s="97" t="inlineStr">
        <is>
          <t>Pendek</t>
        </is>
      </c>
      <c r="H308" s="97" t="inlineStr">
        <is>
          <t>Gizi Kurang</t>
        </is>
      </c>
      <c r="I308" s="98" t="inlineStr">
        <is>
          <t>Ya</t>
        </is>
      </c>
      <c r="J308" s="98">
        <f>IF(G308="Normal","Tidak",IF(G308="Pendek","Potensi Stunting",IF(G308="Sangat Pendek","Stunting","")))</f>
        <v/>
      </c>
    </row>
    <row r="309" ht="15.75" customHeight="1" s="95">
      <c r="A309" s="97" t="inlineStr">
        <is>
          <t>anonymus0308</t>
        </is>
      </c>
      <c r="B309" s="97" t="inlineStr">
        <is>
          <t>L</t>
        </is>
      </c>
      <c r="C309" s="97" t="inlineStr">
        <is>
          <t>1-34 Bulan</t>
        </is>
      </c>
      <c r="D309" s="97" t="n">
        <v>9.6</v>
      </c>
      <c r="E309" s="97" t="n">
        <v>99</v>
      </c>
      <c r="F309" s="97" t="inlineStr">
        <is>
          <t>Berat Badan Normal</t>
        </is>
      </c>
      <c r="G309" s="97" t="inlineStr">
        <is>
          <t>Normal</t>
        </is>
      </c>
      <c r="H309" s="97" t="inlineStr">
        <is>
          <t>Gizi Baik</t>
        </is>
      </c>
      <c r="I309" s="98" t="inlineStr">
        <is>
          <t>Ya</t>
        </is>
      </c>
      <c r="J309" s="98">
        <f>IF(G309="Normal","Tidak",IF(G309="Pendek","Potensi Stunting",IF(G309="Sangat Pendek","Stunting","")))</f>
        <v/>
      </c>
    </row>
    <row r="310" ht="15.75" customHeight="1" s="95">
      <c r="A310" s="97" t="inlineStr">
        <is>
          <t>anonymus0309</t>
        </is>
      </c>
      <c r="B310" s="97" t="inlineStr">
        <is>
          <t>L</t>
        </is>
      </c>
      <c r="C310" s="97" t="inlineStr">
        <is>
          <t>1-34 Bulan</t>
        </is>
      </c>
      <c r="D310" s="97" t="n">
        <v>10</v>
      </c>
      <c r="E310" s="97" t="n">
        <v>97</v>
      </c>
      <c r="F310" s="97" t="inlineStr">
        <is>
          <t>Berat Badan Normal</t>
        </is>
      </c>
      <c r="G310" s="97" t="inlineStr">
        <is>
          <t>Normal</t>
        </is>
      </c>
      <c r="H310" s="97" t="inlineStr">
        <is>
          <t>Gizi Baik</t>
        </is>
      </c>
      <c r="I310" s="98" t="inlineStr">
        <is>
          <t>Ya</t>
        </is>
      </c>
      <c r="J310" s="98">
        <f>IF(G310="Normal","Tidak",IF(G310="Pendek","Potensi Stunting",IF(G310="Sangat Pendek","Stunting","")))</f>
        <v/>
      </c>
    </row>
    <row r="311" ht="15.75" customHeight="1" s="95">
      <c r="A311" s="97" t="inlineStr">
        <is>
          <t>anonymus0310</t>
        </is>
      </c>
      <c r="B311" s="97" t="inlineStr">
        <is>
          <t xml:space="preserve">P </t>
        </is>
      </c>
      <c r="C311" s="97" t="inlineStr">
        <is>
          <t>1-34 Bulan</t>
        </is>
      </c>
      <c r="D311" s="97" t="inlineStr">
        <is>
          <t>3.2</t>
        </is>
      </c>
      <c r="E311" s="97" t="n">
        <v>50</v>
      </c>
      <c r="F311" s="97" t="inlineStr">
        <is>
          <t>Berat Badan Normal</t>
        </is>
      </c>
      <c r="G311" s="97" t="inlineStr">
        <is>
          <t>Normal</t>
        </is>
      </c>
      <c r="H311" s="97" t="inlineStr">
        <is>
          <t>Gizi Baik</t>
        </is>
      </c>
      <c r="I311" s="98" t="inlineStr">
        <is>
          <t>Ya</t>
        </is>
      </c>
      <c r="J311" s="98">
        <f>IF(G311="Normal","Tidak",IF(G311="Pendek","Potensi Stunting",IF(G311="Sangat Pendek","Stunting","")))</f>
        <v/>
      </c>
    </row>
    <row r="312" ht="15.75" customHeight="1" s="95">
      <c r="A312" s="97" t="inlineStr">
        <is>
          <t>anonymus0311</t>
        </is>
      </c>
      <c r="B312" s="97" t="inlineStr">
        <is>
          <t>L</t>
        </is>
      </c>
      <c r="C312" s="97" t="inlineStr">
        <is>
          <t>35-69 Bulan</t>
        </is>
      </c>
      <c r="D312" s="97" t="n">
        <v>19.7</v>
      </c>
      <c r="E312" s="97" t="n">
        <v>113</v>
      </c>
      <c r="F312" s="97" t="inlineStr">
        <is>
          <t>Risiko Lebih</t>
        </is>
      </c>
      <c r="G312" s="97" t="inlineStr">
        <is>
          <t>Normal</t>
        </is>
      </c>
      <c r="H312" s="97" t="inlineStr">
        <is>
          <t>Gizi Lebih</t>
        </is>
      </c>
      <c r="I312" s="98" t="inlineStr">
        <is>
          <t>Ya</t>
        </is>
      </c>
      <c r="J312" s="98">
        <f>IF(G312="Normal","Tidak",IF(G312="Pendek","Potensi Stunting",IF(G312="Sangat Pendek","Stunting","")))</f>
        <v/>
      </c>
    </row>
    <row r="313" ht="15.75" customHeight="1" s="95">
      <c r="A313" s="97" t="inlineStr">
        <is>
          <t>anonymus0312</t>
        </is>
      </c>
      <c r="B313" s="97" t="inlineStr">
        <is>
          <t>P</t>
        </is>
      </c>
      <c r="C313" s="97" t="inlineStr">
        <is>
          <t>35-69 Bulan</t>
        </is>
      </c>
      <c r="D313" s="97" t="n">
        <v>17.9</v>
      </c>
      <c r="E313" s="97" t="n">
        <v>116</v>
      </c>
      <c r="F313" s="97" t="inlineStr">
        <is>
          <t>Risiko Lebih</t>
        </is>
      </c>
      <c r="G313" s="97" t="inlineStr">
        <is>
          <t>Normal</t>
        </is>
      </c>
      <c r="H313" s="97" t="inlineStr">
        <is>
          <t>Gizi Lebih</t>
        </is>
      </c>
      <c r="I313" s="98" t="inlineStr">
        <is>
          <t>Ya</t>
        </is>
      </c>
      <c r="J313" s="98">
        <f>IF(G313="Normal","Tidak",IF(G313="Pendek","Potensi Stunting",IF(G313="Sangat Pendek","Stunting","")))</f>
        <v/>
      </c>
    </row>
    <row r="314" ht="15.75" customHeight="1" s="95">
      <c r="A314" s="97" t="inlineStr">
        <is>
          <t>anonymus0313</t>
        </is>
      </c>
      <c r="B314" s="97" t="inlineStr">
        <is>
          <t>P</t>
        </is>
      </c>
      <c r="C314" s="97" t="inlineStr">
        <is>
          <t>1-34 Bulan</t>
        </is>
      </c>
      <c r="D314" s="97" t="n">
        <v>8.1</v>
      </c>
      <c r="E314" s="97" t="n">
        <v>94</v>
      </c>
      <c r="F314" s="97" t="inlineStr">
        <is>
          <t>Kurang</t>
        </is>
      </c>
      <c r="G314" s="97" t="inlineStr">
        <is>
          <t>Normal</t>
        </is>
      </c>
      <c r="H314" s="97" t="inlineStr">
        <is>
          <t>Gizi Kurang</t>
        </is>
      </c>
      <c r="I314" s="98" t="inlineStr">
        <is>
          <t>Ya</t>
        </is>
      </c>
      <c r="J314" s="98">
        <f>IF(G314="Normal","Tidak",IF(G314="Pendek","Potensi Stunting",IF(G314="Sangat Pendek","Stunting","")))</f>
        <v/>
      </c>
    </row>
    <row r="315" ht="15.75" customHeight="1" s="95">
      <c r="A315" s="97" t="inlineStr">
        <is>
          <t>anonymus0314</t>
        </is>
      </c>
      <c r="B315" s="97" t="inlineStr">
        <is>
          <t>L</t>
        </is>
      </c>
      <c r="C315" s="97" t="inlineStr">
        <is>
          <t>1-34 Bulan</t>
        </is>
      </c>
      <c r="D315" s="97" t="n">
        <v>9.300000000000001</v>
      </c>
      <c r="E315" s="97" t="n">
        <v>88</v>
      </c>
      <c r="F315" s="97" t="inlineStr">
        <is>
          <t>Berat Badan Normal</t>
        </is>
      </c>
      <c r="G315" s="97" t="inlineStr">
        <is>
          <t>Normal</t>
        </is>
      </c>
      <c r="H315" s="97" t="inlineStr">
        <is>
          <t>Gizi Baik</t>
        </is>
      </c>
      <c r="I315" s="98" t="inlineStr">
        <is>
          <t>Ya</t>
        </is>
      </c>
      <c r="J315" s="98">
        <f>IF(G315="Normal","Tidak",IF(G315="Pendek","Potensi Stunting",IF(G315="Sangat Pendek","Stunting","")))</f>
        <v/>
      </c>
    </row>
    <row r="316" ht="15.75" customHeight="1" s="95">
      <c r="A316" s="97" t="inlineStr">
        <is>
          <t>anonymus0315</t>
        </is>
      </c>
      <c r="B316" s="97" t="inlineStr">
        <is>
          <t>P</t>
        </is>
      </c>
      <c r="C316" s="97" t="inlineStr">
        <is>
          <t>35-69 Bulan</t>
        </is>
      </c>
      <c r="D316" s="97" t="n">
        <v>9.800000000000001</v>
      </c>
      <c r="E316" s="97" t="n">
        <v>86.2</v>
      </c>
      <c r="F316" s="97" t="inlineStr">
        <is>
          <t>Sangat Kurang</t>
        </is>
      </c>
      <c r="G316" s="97" t="inlineStr">
        <is>
          <t>Sangat Pendek</t>
        </is>
      </c>
      <c r="H316" s="97" t="inlineStr">
        <is>
          <t>Gizi Kurang</t>
        </is>
      </c>
      <c r="I316" s="98" t="inlineStr">
        <is>
          <t>Ya</t>
        </is>
      </c>
      <c r="J316" s="98">
        <f>IF(G316="Normal","Tidak",IF(G316="Pendek","Potensi Stunting",IF(G316="Sangat Pendek","Stunting","")))</f>
        <v/>
      </c>
    </row>
    <row r="317" ht="15.75" customHeight="1" s="95">
      <c r="A317" s="97" t="inlineStr">
        <is>
          <t>anonymus0316</t>
        </is>
      </c>
      <c r="B317" s="97" t="inlineStr">
        <is>
          <t>L</t>
        </is>
      </c>
      <c r="C317" s="97" t="inlineStr">
        <is>
          <t>35-69 Bulan</t>
        </is>
      </c>
      <c r="D317" s="97" t="n">
        <v>9.699999999999999</v>
      </c>
      <c r="E317" s="97" t="n">
        <v>89</v>
      </c>
      <c r="F317" s="97" t="inlineStr">
        <is>
          <t>Sangat Kurang</t>
        </is>
      </c>
      <c r="G317" s="97" t="inlineStr">
        <is>
          <t>Pendek</t>
        </is>
      </c>
      <c r="H317" s="97" t="inlineStr">
        <is>
          <t>Gizi Buruk</t>
        </is>
      </c>
      <c r="I317" s="98" t="inlineStr">
        <is>
          <t>Ya</t>
        </is>
      </c>
      <c r="J317" s="98">
        <f>IF(G317="Normal","Tidak",IF(G317="Pendek","Potensi Stunting",IF(G317="Sangat Pendek","Stunting","")))</f>
        <v/>
      </c>
    </row>
    <row r="318" ht="15.75" customHeight="1" s="95">
      <c r="A318" s="97" t="inlineStr">
        <is>
          <t>anonymus0317</t>
        </is>
      </c>
      <c r="B318" s="97" t="inlineStr">
        <is>
          <t xml:space="preserve">P </t>
        </is>
      </c>
      <c r="C318" s="97" t="inlineStr">
        <is>
          <t>1-34 Bulan</t>
        </is>
      </c>
      <c r="D318" s="97" t="inlineStr">
        <is>
          <t>7.5</t>
        </is>
      </c>
      <c r="E318" s="97" t="n">
        <v>72</v>
      </c>
      <c r="F318" s="97" t="inlineStr">
        <is>
          <t>Berat Badan Normal</t>
        </is>
      </c>
      <c r="G318" s="97" t="inlineStr">
        <is>
          <t>Normal</t>
        </is>
      </c>
      <c r="H318" s="97" t="inlineStr">
        <is>
          <t>Gizi Baik</t>
        </is>
      </c>
      <c r="I318" s="98" t="inlineStr">
        <is>
          <t>Ya</t>
        </is>
      </c>
      <c r="J318" s="98">
        <f>IF(G318="Normal","Tidak",IF(G318="Pendek","Potensi Stunting",IF(G318="Sangat Pendek","Stunting","")))</f>
        <v/>
      </c>
    </row>
    <row r="319" ht="15.75" customHeight="1" s="95">
      <c r="A319" s="97" t="inlineStr">
        <is>
          <t>anonymus0318</t>
        </is>
      </c>
      <c r="B319" s="97" t="inlineStr">
        <is>
          <t xml:space="preserve">L </t>
        </is>
      </c>
      <c r="C319" s="97" t="inlineStr">
        <is>
          <t>35-69 Bulan</t>
        </is>
      </c>
      <c r="D319" s="97" t="inlineStr">
        <is>
          <t>17.5</t>
        </is>
      </c>
      <c r="E319" s="97" t="n">
        <v>106</v>
      </c>
      <c r="F319" s="97" t="inlineStr">
        <is>
          <t>Berat Badan Normal</t>
        </is>
      </c>
      <c r="G319" s="97" t="inlineStr">
        <is>
          <t>Normal</t>
        </is>
      </c>
      <c r="H319" s="97" t="inlineStr">
        <is>
          <t>Gizi Baik</t>
        </is>
      </c>
      <c r="I319" s="98" t="inlineStr">
        <is>
          <t>Ya</t>
        </is>
      </c>
      <c r="J319" s="98">
        <f>IF(G319="Normal","Tidak",IF(G319="Pendek","Potensi Stunting",IF(G319="Sangat Pendek","Stunting","")))</f>
        <v/>
      </c>
    </row>
    <row r="320" ht="15.75" customHeight="1" s="95">
      <c r="A320" s="97" t="inlineStr">
        <is>
          <t>anonymus0319</t>
        </is>
      </c>
      <c r="B320" s="97" t="inlineStr">
        <is>
          <t>L</t>
        </is>
      </c>
      <c r="C320" s="97" t="inlineStr">
        <is>
          <t>35-69 Bulan</t>
        </is>
      </c>
      <c r="D320" s="97" t="n">
        <v>18.6</v>
      </c>
      <c r="E320" s="97" t="n">
        <v>109</v>
      </c>
      <c r="F320" s="97" t="inlineStr">
        <is>
          <t>Risiko Lebih</t>
        </is>
      </c>
      <c r="G320" s="97" t="inlineStr">
        <is>
          <t>Normal</t>
        </is>
      </c>
      <c r="H320" s="97" t="inlineStr">
        <is>
          <t>Gizi Lebih</t>
        </is>
      </c>
      <c r="I320" s="98" t="inlineStr">
        <is>
          <t>Ya</t>
        </is>
      </c>
      <c r="J320" s="98">
        <f>IF(G320="Normal","Tidak",IF(G320="Pendek","Potensi Stunting",IF(G320="Sangat Pendek","Stunting","")))</f>
        <v/>
      </c>
    </row>
    <row r="321" ht="15.75" customHeight="1" s="95">
      <c r="A321" s="97" t="inlineStr">
        <is>
          <t>anonymus0320</t>
        </is>
      </c>
      <c r="B321" s="97" t="inlineStr">
        <is>
          <t>P</t>
        </is>
      </c>
      <c r="C321" s="97" t="inlineStr">
        <is>
          <t>35-69 Bulan</t>
        </is>
      </c>
      <c r="D321" s="97" t="n">
        <v>9.4</v>
      </c>
      <c r="E321" s="97" t="n">
        <v>87.59999999999999</v>
      </c>
      <c r="F321" s="97" t="inlineStr">
        <is>
          <t>Sangat Kurang</t>
        </is>
      </c>
      <c r="G321" s="97" t="inlineStr">
        <is>
          <t>Sangat Pendek</t>
        </is>
      </c>
      <c r="H321" s="97" t="inlineStr">
        <is>
          <t>Gizi Kurang</t>
        </is>
      </c>
      <c r="I321" s="98" t="inlineStr">
        <is>
          <t>Ya</t>
        </is>
      </c>
      <c r="J321" s="98">
        <f>IF(G321="Normal","Tidak",IF(G321="Pendek","Potensi Stunting",IF(G321="Sangat Pendek","Stunting","")))</f>
        <v/>
      </c>
    </row>
    <row r="322" ht="15.75" customHeight="1" s="95">
      <c r="A322" s="97" t="inlineStr">
        <is>
          <t>anonymus0321</t>
        </is>
      </c>
      <c r="B322" s="97" t="inlineStr">
        <is>
          <t>P</t>
        </is>
      </c>
      <c r="C322" s="97" t="inlineStr">
        <is>
          <t>35-69 Bulan</t>
        </is>
      </c>
      <c r="D322" s="97" t="n">
        <v>14.6</v>
      </c>
      <c r="E322" s="97" t="n">
        <v>112</v>
      </c>
      <c r="F322" s="97" t="inlineStr">
        <is>
          <t>Berat Badan Normal</t>
        </is>
      </c>
      <c r="G322" s="97" t="inlineStr">
        <is>
          <t>Normal</t>
        </is>
      </c>
      <c r="H322" s="97" t="inlineStr">
        <is>
          <t>Gizi Baik</t>
        </is>
      </c>
      <c r="I322" s="98" t="inlineStr">
        <is>
          <t>Ya</t>
        </is>
      </c>
      <c r="J322" s="98">
        <f>IF(G322="Normal","Tidak",IF(G322="Pendek","Potensi Stunting",IF(G322="Sangat Pendek","Stunting","")))</f>
        <v/>
      </c>
    </row>
    <row r="323" ht="15.75" customHeight="1" s="95">
      <c r="A323" s="97" t="inlineStr">
        <is>
          <t>anonymus0322</t>
        </is>
      </c>
      <c r="B323" s="97" t="inlineStr">
        <is>
          <t>P</t>
        </is>
      </c>
      <c r="C323" s="97" t="inlineStr">
        <is>
          <t>35-69 Bulan</t>
        </is>
      </c>
      <c r="D323" s="97" t="n">
        <v>16.6</v>
      </c>
      <c r="E323" s="97" t="n">
        <v>113</v>
      </c>
      <c r="F323" s="97" t="inlineStr">
        <is>
          <t>Berat Badan Normal</t>
        </is>
      </c>
      <c r="G323" s="97" t="inlineStr">
        <is>
          <t>Normal</t>
        </is>
      </c>
      <c r="H323" s="97" t="inlineStr">
        <is>
          <t>Gizi Baik</t>
        </is>
      </c>
      <c r="I323" s="98" t="inlineStr">
        <is>
          <t>Ya</t>
        </is>
      </c>
      <c r="J323" s="98">
        <f>IF(G323="Normal","Tidak",IF(G323="Pendek","Potensi Stunting",IF(G323="Sangat Pendek","Stunting","")))</f>
        <v/>
      </c>
    </row>
    <row r="324" ht="15.75" customHeight="1" s="95">
      <c r="A324" s="97" t="inlineStr">
        <is>
          <t>anonymus0323</t>
        </is>
      </c>
      <c r="B324" s="97" t="inlineStr">
        <is>
          <t>P</t>
        </is>
      </c>
      <c r="C324" s="97" t="inlineStr">
        <is>
          <t>1-34 Bulan</t>
        </is>
      </c>
      <c r="D324" s="97" t="n">
        <v>4</v>
      </c>
      <c r="E324" s="97" t="n">
        <v>50</v>
      </c>
      <c r="F324" s="97" t="inlineStr">
        <is>
          <t>Sangat Kurang</t>
        </is>
      </c>
      <c r="G324" s="97" t="inlineStr">
        <is>
          <t>Sangat Pendek</t>
        </is>
      </c>
      <c r="H324" s="97" t="inlineStr">
        <is>
          <t>Risiko Gizi Lebih</t>
        </is>
      </c>
      <c r="I324" s="98" t="inlineStr">
        <is>
          <t>Ya</t>
        </is>
      </c>
      <c r="J324" s="98">
        <f>IF(G324="Normal","Tidak",IF(G324="Pendek","Potensi Stunting",IF(G324="Sangat Pendek","Stunting","")))</f>
        <v/>
      </c>
    </row>
    <row r="325" ht="15.75" customHeight="1" s="95">
      <c r="A325" s="97" t="inlineStr">
        <is>
          <t>anonymus0324</t>
        </is>
      </c>
      <c r="B325" s="97" t="inlineStr">
        <is>
          <t>L</t>
        </is>
      </c>
      <c r="C325" s="97" t="inlineStr">
        <is>
          <t>35-69 Bulan</t>
        </is>
      </c>
      <c r="D325" s="97" t="n">
        <v>10.7</v>
      </c>
      <c r="E325" s="97" t="n">
        <v>116</v>
      </c>
      <c r="F325" s="97" t="inlineStr">
        <is>
          <t>Berat Badan Normal</t>
        </is>
      </c>
      <c r="G325" s="97" t="inlineStr">
        <is>
          <t>Normal</t>
        </is>
      </c>
      <c r="H325" s="97" t="inlineStr">
        <is>
          <t>Gizi Baik</t>
        </is>
      </c>
      <c r="I325" s="98" t="inlineStr">
        <is>
          <t>Ya</t>
        </is>
      </c>
      <c r="J325" s="98">
        <f>IF(G325="Normal","Tidak",IF(G325="Pendek","Potensi Stunting",IF(G325="Sangat Pendek","Stunting","")))</f>
        <v/>
      </c>
    </row>
    <row r="326" ht="15.75" customHeight="1" s="95">
      <c r="A326" s="97" t="inlineStr">
        <is>
          <t>anonymus0325</t>
        </is>
      </c>
      <c r="B326" s="97" t="inlineStr">
        <is>
          <t xml:space="preserve">L </t>
        </is>
      </c>
      <c r="C326" s="97" t="inlineStr">
        <is>
          <t>35-69 Bulan</t>
        </is>
      </c>
      <c r="D326" s="97" t="inlineStr">
        <is>
          <t>14.1</t>
        </is>
      </c>
      <c r="E326" s="97" t="n">
        <v>90</v>
      </c>
      <c r="F326" s="97" t="inlineStr">
        <is>
          <t>Berat Badan Normal</t>
        </is>
      </c>
      <c r="G326" s="97" t="inlineStr">
        <is>
          <t>Normal</t>
        </is>
      </c>
      <c r="H326" s="97" t="inlineStr">
        <is>
          <t>Risiko Gizi Lebih</t>
        </is>
      </c>
      <c r="I326" s="98" t="inlineStr">
        <is>
          <t>Ya</t>
        </is>
      </c>
      <c r="J326" s="98">
        <f>IF(G326="Normal","Tidak",IF(G326="Pendek","Potensi Stunting",IF(G326="Sangat Pendek","Stunting","")))</f>
        <v/>
      </c>
    </row>
    <row r="327" ht="15.75" customHeight="1" s="95">
      <c r="A327" s="97" t="inlineStr">
        <is>
          <t>anonymus0326</t>
        </is>
      </c>
      <c r="B327" s="97" t="inlineStr">
        <is>
          <t xml:space="preserve">P </t>
        </is>
      </c>
      <c r="C327" s="97" t="inlineStr">
        <is>
          <t>1-34 Bulan</t>
        </is>
      </c>
      <c r="D327" s="97" t="inlineStr">
        <is>
          <t>9.3</t>
        </is>
      </c>
      <c r="E327" s="97" t="n">
        <v>72</v>
      </c>
      <c r="F327" s="97" t="inlineStr">
        <is>
          <t>Berat Badan Normal</t>
        </is>
      </c>
      <c r="G327" s="97" t="inlineStr">
        <is>
          <t>Normal</t>
        </is>
      </c>
      <c r="H327" s="97" t="inlineStr">
        <is>
          <t>Gizi Baik</t>
        </is>
      </c>
      <c r="I327" s="98" t="inlineStr">
        <is>
          <t>Ya</t>
        </is>
      </c>
      <c r="J327" s="98">
        <f>IF(G327="Normal","Tidak",IF(G327="Pendek","Potensi Stunting",IF(G327="Sangat Pendek","Stunting","")))</f>
        <v/>
      </c>
    </row>
    <row r="328" ht="15.75" customHeight="1" s="95">
      <c r="A328" s="97" t="inlineStr">
        <is>
          <t>anonymus0327</t>
        </is>
      </c>
      <c r="B328" s="97" t="inlineStr">
        <is>
          <t>L</t>
        </is>
      </c>
      <c r="C328" s="97" t="inlineStr">
        <is>
          <t>1-34 Bulan</t>
        </is>
      </c>
      <c r="D328" s="97" t="n">
        <v>8.300000000000001</v>
      </c>
      <c r="E328" s="97" t="n">
        <v>76.7</v>
      </c>
      <c r="F328" s="97" t="inlineStr">
        <is>
          <t>Normal</t>
        </is>
      </c>
      <c r="G328" s="97" t="inlineStr">
        <is>
          <t>Normal</t>
        </is>
      </c>
      <c r="H328" s="97" t="inlineStr">
        <is>
          <t>Gizi Kurang</t>
        </is>
      </c>
      <c r="I328" s="98" t="inlineStr">
        <is>
          <t>Ya</t>
        </is>
      </c>
      <c r="J328" s="98">
        <f>IF(G328="Normal","Tidak",IF(G328="Pendek","Potensi Stunting",IF(G328="Sangat Pendek","Stunting","")))</f>
        <v/>
      </c>
    </row>
    <row r="329" ht="15.75" customHeight="1" s="95">
      <c r="A329" s="97" t="inlineStr">
        <is>
          <t>anonymus0328</t>
        </is>
      </c>
      <c r="B329" s="97" t="inlineStr">
        <is>
          <t>P</t>
        </is>
      </c>
      <c r="C329" s="97" t="inlineStr">
        <is>
          <t>1-34 Bulan</t>
        </is>
      </c>
      <c r="D329" s="97" t="n">
        <v>7</v>
      </c>
      <c r="E329" s="97" t="n">
        <v>85</v>
      </c>
      <c r="F329" s="97" t="inlineStr">
        <is>
          <t>Kurang</t>
        </is>
      </c>
      <c r="G329" s="97" t="inlineStr">
        <is>
          <t>Normal</t>
        </is>
      </c>
      <c r="H329" s="97" t="inlineStr">
        <is>
          <t>Gizi Kurang</t>
        </is>
      </c>
      <c r="I329" s="98" t="inlineStr">
        <is>
          <t>Ya</t>
        </is>
      </c>
      <c r="J329" s="98">
        <f>IF(G329="Normal","Tidak",IF(G329="Pendek","Potensi Stunting",IF(G329="Sangat Pendek","Stunting","")))</f>
        <v/>
      </c>
    </row>
    <row r="330" ht="15.75" customHeight="1" s="95">
      <c r="A330" s="97" t="inlineStr">
        <is>
          <t>anonymus0329</t>
        </is>
      </c>
      <c r="B330" s="97" t="inlineStr">
        <is>
          <t>P</t>
        </is>
      </c>
      <c r="C330" s="97" t="inlineStr">
        <is>
          <t>1-34 Bulan</t>
        </is>
      </c>
      <c r="D330" s="97" t="n">
        <v>8.6</v>
      </c>
      <c r="E330" s="97" t="n">
        <v>81</v>
      </c>
      <c r="F330" s="97" t="inlineStr">
        <is>
          <t>Normal</t>
        </is>
      </c>
      <c r="G330" s="97" t="inlineStr">
        <is>
          <t>Normal</t>
        </is>
      </c>
      <c r="H330" s="97" t="inlineStr">
        <is>
          <t>Gizi Kurang</t>
        </is>
      </c>
      <c r="I330" s="98" t="inlineStr">
        <is>
          <t>Ya</t>
        </is>
      </c>
      <c r="J330" s="98">
        <f>IF(G330="Normal","Tidak",IF(G330="Pendek","Potensi Stunting",IF(G330="Sangat Pendek","Stunting","")))</f>
        <v/>
      </c>
    </row>
    <row r="331" ht="15.75" customHeight="1" s="95">
      <c r="A331" s="97" t="inlineStr">
        <is>
          <t>anonymus0330</t>
        </is>
      </c>
      <c r="B331" s="97" t="inlineStr">
        <is>
          <t xml:space="preserve">L </t>
        </is>
      </c>
      <c r="C331" s="97" t="inlineStr">
        <is>
          <t>1-34 Bulan</t>
        </is>
      </c>
      <c r="D331" s="97" t="inlineStr">
        <is>
          <t>10.6</t>
        </is>
      </c>
      <c r="E331" s="97" t="n">
        <v>82</v>
      </c>
      <c r="F331" s="97" t="inlineStr">
        <is>
          <t>Berat Badan Normal</t>
        </is>
      </c>
      <c r="G331" s="97" t="inlineStr">
        <is>
          <t>Normal</t>
        </is>
      </c>
      <c r="H331" s="97" t="inlineStr">
        <is>
          <t>Gizi Baik</t>
        </is>
      </c>
      <c r="I331" s="98" t="inlineStr">
        <is>
          <t>Ya</t>
        </is>
      </c>
      <c r="J331" s="98">
        <f>IF(G331="Normal","Tidak",IF(G331="Pendek","Potensi Stunting",IF(G331="Sangat Pendek","Stunting","")))</f>
        <v/>
      </c>
    </row>
    <row r="332" ht="15.75" customHeight="1" s="95">
      <c r="A332" s="97" t="inlineStr">
        <is>
          <t>anonymus0331</t>
        </is>
      </c>
      <c r="B332" s="97" t="inlineStr">
        <is>
          <t>L</t>
        </is>
      </c>
      <c r="C332" s="97" t="inlineStr">
        <is>
          <t>1-34 Bulan</t>
        </is>
      </c>
      <c r="D332" s="97" t="n">
        <v>9.5</v>
      </c>
      <c r="E332" s="97" t="n">
        <v>81</v>
      </c>
      <c r="F332" s="97" t="inlineStr">
        <is>
          <t>Berat Badan Normal</t>
        </is>
      </c>
      <c r="G332" s="97" t="inlineStr">
        <is>
          <t>Normal</t>
        </is>
      </c>
      <c r="H332" s="97" t="inlineStr">
        <is>
          <t>Gizi Baik</t>
        </is>
      </c>
      <c r="I332" s="98" t="inlineStr">
        <is>
          <t>Ya</t>
        </is>
      </c>
      <c r="J332" s="98">
        <f>IF(G332="Normal","Tidak",IF(G332="Pendek","Potensi Stunting",IF(G332="Sangat Pendek","Stunting","")))</f>
        <v/>
      </c>
    </row>
    <row r="333" ht="15.75" customHeight="1" s="95">
      <c r="A333" s="97" t="inlineStr">
        <is>
          <t>anonymus0332</t>
        </is>
      </c>
      <c r="B333" s="97" t="inlineStr">
        <is>
          <t xml:space="preserve">L </t>
        </is>
      </c>
      <c r="C333" s="97" t="inlineStr">
        <is>
          <t>35-69 Bulan</t>
        </is>
      </c>
      <c r="D333" s="97" t="inlineStr">
        <is>
          <t>12.9</t>
        </is>
      </c>
      <c r="E333" s="97" t="n">
        <v>96</v>
      </c>
      <c r="F333" s="97" t="inlineStr">
        <is>
          <t>Berat Badan Normal</t>
        </is>
      </c>
      <c r="G333" s="97" t="inlineStr">
        <is>
          <t>Normal</t>
        </is>
      </c>
      <c r="H333" s="97" t="inlineStr">
        <is>
          <t>Gizi Baik</t>
        </is>
      </c>
      <c r="I333" s="98" t="inlineStr">
        <is>
          <t>Ya</t>
        </is>
      </c>
      <c r="J333" s="98">
        <f>IF(G333="Normal","Tidak",IF(G333="Pendek","Potensi Stunting",IF(G333="Sangat Pendek","Stunting","")))</f>
        <v/>
      </c>
    </row>
    <row r="334" ht="15.75" customHeight="1" s="95">
      <c r="A334" s="97" t="inlineStr">
        <is>
          <t>anonymus0333</t>
        </is>
      </c>
      <c r="B334" s="97" t="inlineStr">
        <is>
          <t>P</t>
        </is>
      </c>
      <c r="C334" s="97" t="inlineStr">
        <is>
          <t>35-69 Bulan</t>
        </is>
      </c>
      <c r="D334" s="97" t="n">
        <v>11.5</v>
      </c>
      <c r="E334" s="97" t="n">
        <v>80</v>
      </c>
      <c r="F334" s="97" t="inlineStr">
        <is>
          <t>Normal</t>
        </is>
      </c>
      <c r="G334" s="97" t="inlineStr">
        <is>
          <t>Pendek</t>
        </is>
      </c>
      <c r="H334" s="97" t="inlineStr">
        <is>
          <t>Risiko Gizi Lebih</t>
        </is>
      </c>
      <c r="I334" s="98" t="inlineStr">
        <is>
          <t>Ya</t>
        </is>
      </c>
      <c r="J334" s="98">
        <f>IF(G334="Normal","Tidak",IF(G334="Pendek","Potensi Stunting",IF(G334="Sangat Pendek","Stunting","")))</f>
        <v/>
      </c>
    </row>
    <row r="335" ht="15.75" customHeight="1" s="95">
      <c r="A335" s="97" t="inlineStr">
        <is>
          <t>anonymus0334</t>
        </is>
      </c>
      <c r="B335" s="97" t="inlineStr">
        <is>
          <t>L</t>
        </is>
      </c>
      <c r="C335" s="97" t="inlineStr">
        <is>
          <t>1-34 Bulan</t>
        </is>
      </c>
      <c r="D335" s="97" t="n">
        <v>10</v>
      </c>
      <c r="E335" s="97" t="n">
        <v>85.7</v>
      </c>
      <c r="F335" s="97" t="inlineStr">
        <is>
          <t>Kurang</t>
        </is>
      </c>
      <c r="G335" s="97" t="inlineStr">
        <is>
          <t>Normal</t>
        </is>
      </c>
      <c r="H335" s="97" t="inlineStr">
        <is>
          <t>Gizi Kurang</t>
        </is>
      </c>
      <c r="I335" s="98" t="inlineStr">
        <is>
          <t>Ya</t>
        </is>
      </c>
      <c r="J335" s="98">
        <f>IF(G335="Normal","Tidak",IF(G335="Pendek","Potensi Stunting",IF(G335="Sangat Pendek","Stunting","")))</f>
        <v/>
      </c>
    </row>
    <row r="336" ht="15.75" customHeight="1" s="95">
      <c r="A336" s="97" t="inlineStr">
        <is>
          <t>anonymus0335</t>
        </is>
      </c>
      <c r="B336" s="97" t="inlineStr">
        <is>
          <t>L</t>
        </is>
      </c>
      <c r="C336" s="97" t="inlineStr">
        <is>
          <t>1-34 Bulan</t>
        </is>
      </c>
      <c r="D336" s="97" t="n">
        <v>3</v>
      </c>
      <c r="E336" s="97" t="n">
        <v>49</v>
      </c>
      <c r="F336" s="97" t="inlineStr">
        <is>
          <t>Kurang</t>
        </is>
      </c>
      <c r="G336" s="97" t="inlineStr">
        <is>
          <t>Pendek</t>
        </is>
      </c>
      <c r="H336" s="97" t="inlineStr">
        <is>
          <t>Gizi Baik</t>
        </is>
      </c>
      <c r="I336" s="98" t="inlineStr">
        <is>
          <t>Ya</t>
        </is>
      </c>
      <c r="J336" s="98">
        <f>IF(G336="Normal","Tidak",IF(G336="Pendek","Potensi Stunting",IF(G336="Sangat Pendek","Stunting","")))</f>
        <v/>
      </c>
    </row>
    <row r="337" ht="15.75" customHeight="1" s="95">
      <c r="A337" s="97" t="inlineStr">
        <is>
          <t>anonymus0336</t>
        </is>
      </c>
      <c r="B337" s="97" t="inlineStr">
        <is>
          <t>L</t>
        </is>
      </c>
      <c r="C337" s="97" t="inlineStr">
        <is>
          <t>1-34 Bulan</t>
        </is>
      </c>
      <c r="D337" s="97" t="n">
        <v>9.800000000000001</v>
      </c>
      <c r="E337" s="97" t="n">
        <v>76</v>
      </c>
      <c r="F337" s="97" t="inlineStr">
        <is>
          <t>Normal</t>
        </is>
      </c>
      <c r="G337" s="97" t="inlineStr">
        <is>
          <t>Sangat Pendek</t>
        </is>
      </c>
      <c r="H337" s="97" t="inlineStr">
        <is>
          <t>Gizi Baik</t>
        </is>
      </c>
      <c r="I337" s="98" t="inlineStr">
        <is>
          <t>Ya</t>
        </is>
      </c>
      <c r="J337" s="98">
        <f>IF(G337="Normal","Tidak",IF(G337="Pendek","Potensi Stunting",IF(G337="Sangat Pendek","Stunting","")))</f>
        <v/>
      </c>
    </row>
    <row r="338" ht="15.75" customHeight="1" s="95">
      <c r="A338" s="97" t="inlineStr">
        <is>
          <t>anonymus0337</t>
        </is>
      </c>
      <c r="B338" s="97" t="inlineStr">
        <is>
          <t>L</t>
        </is>
      </c>
      <c r="C338" s="97" t="inlineStr">
        <is>
          <t>1-34 Bulan</t>
        </is>
      </c>
      <c r="D338" s="97" t="n">
        <v>8.15</v>
      </c>
      <c r="E338" s="97" t="n">
        <v>75</v>
      </c>
      <c r="F338" s="97" t="inlineStr">
        <is>
          <t>Kurang</t>
        </is>
      </c>
      <c r="G338" s="97" t="inlineStr">
        <is>
          <t>Sangat Pendek</t>
        </is>
      </c>
      <c r="H338" s="97" t="inlineStr">
        <is>
          <t>Gizi Baik</t>
        </is>
      </c>
      <c r="I338" s="98" t="inlineStr">
        <is>
          <t>Ya</t>
        </is>
      </c>
      <c r="J338" s="98">
        <f>IF(G338="Normal","Tidak",IF(G338="Pendek","Potensi Stunting",IF(G338="Sangat Pendek","Stunting","")))</f>
        <v/>
      </c>
    </row>
    <row r="339" ht="15.75" customHeight="1" s="95">
      <c r="A339" s="97" t="inlineStr">
        <is>
          <t>anonymus0338</t>
        </is>
      </c>
      <c r="B339" s="97" t="inlineStr">
        <is>
          <t xml:space="preserve">P </t>
        </is>
      </c>
      <c r="C339" s="97" t="inlineStr">
        <is>
          <t>35-69 Bulan</t>
        </is>
      </c>
      <c r="D339" s="97" t="n">
        <v>15</v>
      </c>
      <c r="E339" s="97" t="n">
        <v>105</v>
      </c>
      <c r="F339" s="97" t="inlineStr">
        <is>
          <t>Berat Badan Normal</t>
        </is>
      </c>
      <c r="G339" s="97" t="inlineStr">
        <is>
          <t>Normal</t>
        </is>
      </c>
      <c r="H339" s="97" t="inlineStr">
        <is>
          <t>Gizi Baik</t>
        </is>
      </c>
      <c r="I339" s="98" t="inlineStr">
        <is>
          <t>Ya</t>
        </is>
      </c>
      <c r="J339" s="98">
        <f>IF(G339="Normal","Tidak",IF(G339="Pendek","Potensi Stunting",IF(G339="Sangat Pendek","Stunting","")))</f>
        <v/>
      </c>
    </row>
    <row r="340" ht="15.75" customHeight="1" s="95">
      <c r="A340" s="97" t="inlineStr">
        <is>
          <t>anonymus0339</t>
        </is>
      </c>
      <c r="B340" s="97" t="inlineStr">
        <is>
          <t>P</t>
        </is>
      </c>
      <c r="C340" s="97" t="inlineStr">
        <is>
          <t>35-69 Bulan</t>
        </is>
      </c>
      <c r="D340" s="97" t="n">
        <v>17.9</v>
      </c>
      <c r="E340" s="97" t="n">
        <v>94</v>
      </c>
      <c r="F340" s="97" t="inlineStr">
        <is>
          <t>Risiko Lebih</t>
        </is>
      </c>
      <c r="G340" s="97" t="inlineStr">
        <is>
          <t>Normal</t>
        </is>
      </c>
      <c r="H340" s="97" t="inlineStr">
        <is>
          <t>Gizi Lebih</t>
        </is>
      </c>
      <c r="I340" s="98" t="inlineStr">
        <is>
          <t>Ya</t>
        </is>
      </c>
      <c r="J340" s="98">
        <f>IF(G340="Normal","Tidak",IF(G340="Pendek","Potensi Stunting",IF(G340="Sangat Pendek","Stunting","")))</f>
        <v/>
      </c>
    </row>
    <row r="341" ht="15.75" customHeight="1" s="95">
      <c r="A341" s="97" t="inlineStr">
        <is>
          <t>anonymus0340</t>
        </is>
      </c>
      <c r="B341" s="97" t="inlineStr">
        <is>
          <t xml:space="preserve">P </t>
        </is>
      </c>
      <c r="C341" s="97" t="inlineStr">
        <is>
          <t>35-69 Bulan</t>
        </is>
      </c>
      <c r="D341" s="97" t="inlineStr">
        <is>
          <t>16.8</t>
        </is>
      </c>
      <c r="E341" s="97" t="n">
        <v>99</v>
      </c>
      <c r="F341" s="97" t="inlineStr">
        <is>
          <t>Berat Badan Normal</t>
        </is>
      </c>
      <c r="G341" s="97" t="inlineStr">
        <is>
          <t>Pendek</t>
        </is>
      </c>
      <c r="H341" s="97" t="inlineStr">
        <is>
          <t>Risiko Gizi Lebih</t>
        </is>
      </c>
      <c r="I341" s="98" t="inlineStr">
        <is>
          <t>Ya</t>
        </is>
      </c>
      <c r="J341" s="98">
        <f>IF(G341="Normal","Tidak",IF(G341="Pendek","Potensi Stunting",IF(G341="Sangat Pendek","Stunting","")))</f>
        <v/>
      </c>
    </row>
    <row r="342" ht="15.75" customHeight="1" s="95">
      <c r="A342" s="97" t="inlineStr">
        <is>
          <t>anonymus0341</t>
        </is>
      </c>
      <c r="B342" s="97" t="inlineStr">
        <is>
          <t>P</t>
        </is>
      </c>
      <c r="C342" s="97" t="inlineStr">
        <is>
          <t>1-34 Bulan</t>
        </is>
      </c>
      <c r="D342" s="97" t="n">
        <v>11</v>
      </c>
      <c r="E342" s="97" t="n">
        <v>74</v>
      </c>
      <c r="F342" s="97" t="inlineStr">
        <is>
          <t>Berat Badan Normal</t>
        </is>
      </c>
      <c r="G342" s="97" t="inlineStr">
        <is>
          <t>Normal</t>
        </is>
      </c>
      <c r="H342" s="97" t="inlineStr">
        <is>
          <t>Gizi Baik</t>
        </is>
      </c>
      <c r="I342" s="98" t="inlineStr">
        <is>
          <t>Ya</t>
        </is>
      </c>
      <c r="J342" s="98">
        <f>IF(G342="Normal","Tidak",IF(G342="Pendek","Potensi Stunting",IF(G342="Sangat Pendek","Stunting","")))</f>
        <v/>
      </c>
    </row>
    <row r="343" ht="15.75" customHeight="1" s="95">
      <c r="A343" s="97" t="inlineStr">
        <is>
          <t>anonymus0342</t>
        </is>
      </c>
      <c r="B343" s="97" t="inlineStr">
        <is>
          <t>L</t>
        </is>
      </c>
      <c r="C343" s="97" t="inlineStr">
        <is>
          <t>1-34 Bulan</t>
        </is>
      </c>
      <c r="D343" s="97" t="n">
        <v>8.5</v>
      </c>
      <c r="E343" s="97" t="n">
        <v>79</v>
      </c>
      <c r="F343" s="97" t="inlineStr">
        <is>
          <t>Kurang</t>
        </is>
      </c>
      <c r="G343" s="97" t="inlineStr">
        <is>
          <t>Normal</t>
        </is>
      </c>
      <c r="H343" s="97" t="inlineStr">
        <is>
          <t>Gizi Kurang</t>
        </is>
      </c>
      <c r="I343" s="98" t="inlineStr">
        <is>
          <t>Ya</t>
        </is>
      </c>
      <c r="J343" s="98">
        <f>IF(G343="Normal","Tidak",IF(G343="Pendek","Potensi Stunting",IF(G343="Sangat Pendek","Stunting","")))</f>
        <v/>
      </c>
    </row>
    <row r="344" ht="15.75" customHeight="1" s="95">
      <c r="A344" s="97" t="inlineStr">
        <is>
          <t>anonymus0343</t>
        </is>
      </c>
      <c r="B344" s="97" t="inlineStr">
        <is>
          <t xml:space="preserve">L </t>
        </is>
      </c>
      <c r="C344" s="97" t="inlineStr">
        <is>
          <t>1-34 Bulan</t>
        </is>
      </c>
      <c r="D344" s="97" t="inlineStr">
        <is>
          <t>8.8</t>
        </is>
      </c>
      <c r="E344" s="97" t="n">
        <v>84</v>
      </c>
      <c r="F344" s="97" t="inlineStr">
        <is>
          <t>Sangat Kurang</t>
        </is>
      </c>
      <c r="G344" s="97" t="inlineStr">
        <is>
          <t>Normal</t>
        </is>
      </c>
      <c r="H344" s="97" t="inlineStr">
        <is>
          <t>Gizi Buruk</t>
        </is>
      </c>
      <c r="I344" s="98" t="inlineStr">
        <is>
          <t>Ya</t>
        </is>
      </c>
      <c r="J344" s="98">
        <f>IF(G344="Normal","Tidak",IF(G344="Pendek","Potensi Stunting",IF(G344="Sangat Pendek","Stunting","")))</f>
        <v/>
      </c>
    </row>
    <row r="345" ht="15.75" customHeight="1" s="95">
      <c r="A345" s="97" t="inlineStr">
        <is>
          <t>anonymus0344</t>
        </is>
      </c>
      <c r="B345" s="97" t="inlineStr">
        <is>
          <t xml:space="preserve">L </t>
        </is>
      </c>
      <c r="C345" s="97" t="inlineStr">
        <is>
          <t>1-34 Bulan</t>
        </is>
      </c>
      <c r="D345" s="97" t="inlineStr">
        <is>
          <t>6.8</t>
        </is>
      </c>
      <c r="E345" s="97" t="n">
        <v>65</v>
      </c>
      <c r="F345" s="97" t="inlineStr">
        <is>
          <t>Berat Badan Normal</t>
        </is>
      </c>
      <c r="G345" s="97" t="inlineStr">
        <is>
          <t>Normal</t>
        </is>
      </c>
      <c r="H345" s="97" t="inlineStr">
        <is>
          <t>Gizi Baik</t>
        </is>
      </c>
      <c r="I345" s="98" t="inlineStr">
        <is>
          <t>Ya</t>
        </is>
      </c>
      <c r="J345" s="98">
        <f>IF(G345="Normal","Tidak",IF(G345="Pendek","Potensi Stunting",IF(G345="Sangat Pendek","Stunting","")))</f>
        <v/>
      </c>
    </row>
    <row r="346" ht="15.75" customHeight="1" s="95">
      <c r="A346" s="97" t="inlineStr">
        <is>
          <t>anonymus0345</t>
        </is>
      </c>
      <c r="B346" s="97" t="inlineStr">
        <is>
          <t>P</t>
        </is>
      </c>
      <c r="C346" s="97" t="inlineStr">
        <is>
          <t>35-69 Bulan</t>
        </is>
      </c>
      <c r="D346" s="97" t="n">
        <v>11.1</v>
      </c>
      <c r="E346" s="97" t="n">
        <v>96</v>
      </c>
      <c r="F346" s="97" t="inlineStr">
        <is>
          <t>Kurang</t>
        </is>
      </c>
      <c r="G346" s="97" t="inlineStr">
        <is>
          <t>Normal</t>
        </is>
      </c>
      <c r="H346" s="97" t="inlineStr">
        <is>
          <t>Gizi Kurang</t>
        </is>
      </c>
      <c r="I346" s="98" t="inlineStr">
        <is>
          <t>Ya</t>
        </is>
      </c>
      <c r="J346" s="98">
        <f>IF(G346="Normal","Tidak",IF(G346="Pendek","Potensi Stunting",IF(G346="Sangat Pendek","Stunting","")))</f>
        <v/>
      </c>
    </row>
    <row r="347" ht="15.75" customHeight="1" s="95">
      <c r="A347" s="97" t="inlineStr">
        <is>
          <t>anonymus0346</t>
        </is>
      </c>
      <c r="B347" s="97" t="inlineStr">
        <is>
          <t>P</t>
        </is>
      </c>
      <c r="C347" s="97" t="inlineStr">
        <is>
          <t>35-69 Bulan</t>
        </is>
      </c>
      <c r="D347" s="97" t="n">
        <v>16.2</v>
      </c>
      <c r="E347" s="97" t="n">
        <v>94</v>
      </c>
      <c r="F347" s="97" t="inlineStr">
        <is>
          <t>Berat Badan Normal</t>
        </is>
      </c>
      <c r="G347" s="97" t="inlineStr">
        <is>
          <t>Normal</t>
        </is>
      </c>
      <c r="H347" s="97" t="inlineStr">
        <is>
          <t>Gizi Baik</t>
        </is>
      </c>
      <c r="I347" s="98" t="inlineStr">
        <is>
          <t>Ya</t>
        </is>
      </c>
      <c r="J347" s="98">
        <f>IF(G347="Normal","Tidak",IF(G347="Pendek","Potensi Stunting",IF(G347="Sangat Pendek","Stunting","")))</f>
        <v/>
      </c>
    </row>
    <row r="348" ht="15.75" customHeight="1" s="95">
      <c r="A348" s="97" t="inlineStr">
        <is>
          <t>anonymus0347</t>
        </is>
      </c>
      <c r="B348" s="97" t="inlineStr">
        <is>
          <t>P</t>
        </is>
      </c>
      <c r="C348" s="97" t="inlineStr">
        <is>
          <t>35-69 Bulan</t>
        </is>
      </c>
      <c r="D348" s="97" t="n">
        <v>12.7</v>
      </c>
      <c r="E348" s="97" t="n">
        <v>101</v>
      </c>
      <c r="F348" s="97" t="inlineStr">
        <is>
          <t>Normal</t>
        </is>
      </c>
      <c r="G348" s="97" t="inlineStr">
        <is>
          <t>Normal</t>
        </is>
      </c>
      <c r="H348" s="97" t="inlineStr">
        <is>
          <t>Gizi Kurang</t>
        </is>
      </c>
      <c r="I348" s="98" t="inlineStr">
        <is>
          <t>Ya</t>
        </is>
      </c>
      <c r="J348" s="98">
        <f>IF(G348="Normal","Tidak",IF(G348="Pendek","Potensi Stunting",IF(G348="Sangat Pendek","Stunting","")))</f>
        <v/>
      </c>
    </row>
    <row r="349" ht="15.75" customHeight="1" s="95">
      <c r="A349" s="97" t="inlineStr">
        <is>
          <t>anonymus0348</t>
        </is>
      </c>
      <c r="B349" s="97" t="inlineStr">
        <is>
          <t>P</t>
        </is>
      </c>
      <c r="C349" s="97" t="inlineStr">
        <is>
          <t>35-69 Bulan</t>
        </is>
      </c>
      <c r="D349" s="97" t="n">
        <v>13.1</v>
      </c>
      <c r="E349" s="97" t="n">
        <v>104</v>
      </c>
      <c r="F349" s="97" t="inlineStr">
        <is>
          <t>Normal</t>
        </is>
      </c>
      <c r="G349" s="97" t="inlineStr">
        <is>
          <t>Normal</t>
        </is>
      </c>
      <c r="H349" s="97" t="inlineStr">
        <is>
          <t>Gizi Kurang</t>
        </is>
      </c>
      <c r="I349" s="98" t="inlineStr">
        <is>
          <t>Ya</t>
        </is>
      </c>
      <c r="J349" s="98">
        <f>IF(G349="Normal","Tidak",IF(G349="Pendek","Potensi Stunting",IF(G349="Sangat Pendek","Stunting","")))</f>
        <v/>
      </c>
    </row>
    <row r="350" ht="15.75" customHeight="1" s="95">
      <c r="A350" s="97" t="inlineStr">
        <is>
          <t>anonymus0349</t>
        </is>
      </c>
      <c r="B350" s="97" t="inlineStr">
        <is>
          <t>P</t>
        </is>
      </c>
      <c r="C350" s="97" t="inlineStr">
        <is>
          <t>1-34 Bulan</t>
        </is>
      </c>
      <c r="D350" s="97" t="n">
        <v>6.7</v>
      </c>
      <c r="E350" s="97" t="n">
        <v>62</v>
      </c>
      <c r="F350" s="97" t="inlineStr">
        <is>
          <t>Kurang</t>
        </is>
      </c>
      <c r="G350" s="97" t="inlineStr">
        <is>
          <t>Sangat Pendek</t>
        </is>
      </c>
      <c r="H350" s="97" t="inlineStr">
        <is>
          <t>Gizi Baik</t>
        </is>
      </c>
      <c r="I350" s="98" t="inlineStr">
        <is>
          <t>Ya</t>
        </is>
      </c>
      <c r="J350" s="98">
        <f>IF(G350="Normal","Tidak",IF(G350="Pendek","Potensi Stunting",IF(G350="Sangat Pendek","Stunting","")))</f>
        <v/>
      </c>
    </row>
    <row r="351" ht="15.75" customHeight="1" s="95">
      <c r="A351" s="99" t="inlineStr">
        <is>
          <t>anonymus0350</t>
        </is>
      </c>
      <c r="B351" s="97" t="inlineStr">
        <is>
          <t>P</t>
        </is>
      </c>
      <c r="C351" s="97" t="n">
        <v>98</v>
      </c>
      <c r="D351" s="97" t="n">
        <v>15.9</v>
      </c>
      <c r="E351" s="97" t="n">
        <v>98.59999999999999</v>
      </c>
      <c r="F351" s="97" t="inlineStr">
        <is>
          <t>Normal</t>
        </is>
      </c>
      <c r="G351" s="97" t="inlineStr">
        <is>
          <t>Pendek</t>
        </is>
      </c>
      <c r="H351" s="97" t="inlineStr">
        <is>
          <t>Gizi Baik</t>
        </is>
      </c>
      <c r="I351" s="98" t="inlineStr">
        <is>
          <t>Ya</t>
        </is>
      </c>
      <c r="J351" s="98">
        <f>IF(G351="Normal","Tidak",IF(G351="Pendek","Potensi Stunting",IF(G351="Sangat Pendek","Stunting","")))</f>
        <v/>
      </c>
    </row>
    <row r="352" ht="15.75" customHeight="1" s="95">
      <c r="A352" s="97" t="inlineStr">
        <is>
          <t>anonymus0351</t>
        </is>
      </c>
      <c r="B352" s="97" t="inlineStr">
        <is>
          <t>L</t>
        </is>
      </c>
      <c r="C352" s="97" t="inlineStr">
        <is>
          <t>35-69 Bulan</t>
        </is>
      </c>
      <c r="D352" s="97" t="n">
        <v>12.8</v>
      </c>
      <c r="E352" s="97" t="n">
        <v>99.5</v>
      </c>
      <c r="F352" s="97" t="inlineStr">
        <is>
          <t>Kurang</t>
        </is>
      </c>
      <c r="G352" s="97" t="inlineStr">
        <is>
          <t>Normal</t>
        </is>
      </c>
      <c r="H352" s="97" t="inlineStr">
        <is>
          <t>Gizi Kurang</t>
        </is>
      </c>
      <c r="I352" s="98" t="inlineStr">
        <is>
          <t>Ya</t>
        </is>
      </c>
      <c r="J352" s="98">
        <f>IF(G352="Normal","Tidak",IF(G352="Pendek","Potensi Stunting",IF(G352="Sangat Pendek","Stunting","")))</f>
        <v/>
      </c>
    </row>
    <row r="353" ht="15.75" customHeight="1" s="95">
      <c r="A353" s="97" t="inlineStr">
        <is>
          <t>anonymus0352</t>
        </is>
      </c>
      <c r="B353" s="97" t="inlineStr">
        <is>
          <t xml:space="preserve">P </t>
        </is>
      </c>
      <c r="C353" s="97" t="inlineStr">
        <is>
          <t>35-69 Bulan</t>
        </is>
      </c>
      <c r="D353" s="97" t="inlineStr">
        <is>
          <t>9.8</t>
        </is>
      </c>
      <c r="E353" s="97" t="n">
        <v>85</v>
      </c>
      <c r="F353" s="97" t="inlineStr">
        <is>
          <t>Berat Badan Normal</t>
        </is>
      </c>
      <c r="G353" s="97" t="inlineStr">
        <is>
          <t>Normal</t>
        </is>
      </c>
      <c r="H353" s="97" t="inlineStr">
        <is>
          <t>Gizi Baik</t>
        </is>
      </c>
      <c r="I353" s="98" t="inlineStr">
        <is>
          <t>Ya</t>
        </is>
      </c>
      <c r="J353" s="98">
        <f>IF(G353="Normal","Tidak",IF(G353="Pendek","Potensi Stunting",IF(G353="Sangat Pendek","Stunting","")))</f>
        <v/>
      </c>
    </row>
    <row r="354" ht="15.75" customHeight="1" s="95">
      <c r="A354" s="97" t="inlineStr">
        <is>
          <t>anonymus0353</t>
        </is>
      </c>
      <c r="B354" s="97" t="inlineStr">
        <is>
          <t>L</t>
        </is>
      </c>
      <c r="C354" s="97" t="inlineStr">
        <is>
          <t>35-69 Bulan</t>
        </is>
      </c>
      <c r="D354" s="97" t="n">
        <v>12.5</v>
      </c>
      <c r="E354" s="97" t="n">
        <v>97.7</v>
      </c>
      <c r="F354" s="97" t="inlineStr">
        <is>
          <t>Kurang</t>
        </is>
      </c>
      <c r="G354" s="97" t="inlineStr">
        <is>
          <t>Pendek</t>
        </is>
      </c>
      <c r="H354" s="97" t="inlineStr">
        <is>
          <t>Gizi Kurang</t>
        </is>
      </c>
      <c r="I354" s="98" t="inlineStr">
        <is>
          <t>Ya</t>
        </is>
      </c>
      <c r="J354" s="98">
        <f>IF(G354="Normal","Tidak",IF(G354="Pendek","Potensi Stunting",IF(G354="Sangat Pendek","Stunting","")))</f>
        <v/>
      </c>
    </row>
    <row r="355" ht="15.75" customHeight="1" s="95">
      <c r="A355" s="97" t="inlineStr">
        <is>
          <t>anonymus0354</t>
        </is>
      </c>
      <c r="B355" s="97" t="inlineStr">
        <is>
          <t>L</t>
        </is>
      </c>
      <c r="C355" s="97" t="inlineStr">
        <is>
          <t>35-69 Bulan</t>
        </is>
      </c>
      <c r="D355" s="97" t="n">
        <v>14.5</v>
      </c>
      <c r="E355" s="97" t="n">
        <v>105</v>
      </c>
      <c r="F355" s="97" t="inlineStr">
        <is>
          <t>Berat Badan Normal</t>
        </is>
      </c>
      <c r="G355" s="97" t="inlineStr">
        <is>
          <t>Normal</t>
        </is>
      </c>
      <c r="H355" s="97" t="inlineStr">
        <is>
          <t>Gizi Baik</t>
        </is>
      </c>
      <c r="I355" s="98" t="inlineStr">
        <is>
          <t>Ya</t>
        </is>
      </c>
      <c r="J355" s="98">
        <f>IF(G355="Normal","Tidak",IF(G355="Pendek","Potensi Stunting",IF(G355="Sangat Pendek","Stunting","")))</f>
        <v/>
      </c>
    </row>
    <row r="356" ht="15.75" customHeight="1" s="95">
      <c r="A356" s="97" t="inlineStr">
        <is>
          <t>anonymus0355</t>
        </is>
      </c>
      <c r="B356" s="97" t="inlineStr">
        <is>
          <t xml:space="preserve">P </t>
        </is>
      </c>
      <c r="C356" s="97" t="inlineStr">
        <is>
          <t>1-34 Bulan</t>
        </is>
      </c>
      <c r="D356" s="97" t="inlineStr">
        <is>
          <t>7.1</t>
        </is>
      </c>
      <c r="E356" s="97" t="n">
        <v>68</v>
      </c>
      <c r="F356" s="97" t="inlineStr">
        <is>
          <t>Berat Badan Normal</t>
        </is>
      </c>
      <c r="G356" s="97" t="inlineStr">
        <is>
          <t>Normal</t>
        </is>
      </c>
      <c r="H356" s="97" t="inlineStr">
        <is>
          <t>Gizi Baik</t>
        </is>
      </c>
      <c r="I356" s="98" t="inlineStr">
        <is>
          <t>Ya</t>
        </is>
      </c>
      <c r="J356" s="98">
        <f>IF(G356="Normal","Tidak",IF(G356="Pendek","Potensi Stunting",IF(G356="Sangat Pendek","Stunting","")))</f>
        <v/>
      </c>
    </row>
    <row r="357" ht="15.75" customHeight="1" s="95">
      <c r="A357" s="97" t="inlineStr">
        <is>
          <t>anonymus0356</t>
        </is>
      </c>
      <c r="B357" s="97" t="inlineStr">
        <is>
          <t>L</t>
        </is>
      </c>
      <c r="C357" s="97" t="inlineStr">
        <is>
          <t>35-69 Bulan</t>
        </is>
      </c>
      <c r="D357" s="97" t="n">
        <v>10.4</v>
      </c>
      <c r="E357" s="97" t="n">
        <v>82.3</v>
      </c>
      <c r="F357" s="97" t="inlineStr">
        <is>
          <t>Kurang</t>
        </is>
      </c>
      <c r="G357" s="97" t="inlineStr">
        <is>
          <t>Sangat Pendek</t>
        </is>
      </c>
      <c r="H357" s="97" t="inlineStr">
        <is>
          <t>Gizi Baik</t>
        </is>
      </c>
      <c r="I357" s="98" t="inlineStr">
        <is>
          <t>Ya</t>
        </is>
      </c>
      <c r="J357" s="98">
        <f>IF(G357="Normal","Tidak",IF(G357="Pendek","Potensi Stunting",IF(G357="Sangat Pendek","Stunting","")))</f>
        <v/>
      </c>
    </row>
    <row r="358" ht="15.75" customHeight="1" s="95">
      <c r="A358" s="97" t="inlineStr">
        <is>
          <t>anonymus0357</t>
        </is>
      </c>
      <c r="B358" s="97" t="inlineStr">
        <is>
          <t xml:space="preserve">L </t>
        </is>
      </c>
      <c r="C358" s="97" t="inlineStr">
        <is>
          <t>35-69 Bulan</t>
        </is>
      </c>
      <c r="D358" s="97" t="inlineStr">
        <is>
          <t>13.6</t>
        </is>
      </c>
      <c r="E358" s="97" t="n">
        <v>98</v>
      </c>
      <c r="F358" s="97" t="inlineStr">
        <is>
          <t>Berat Badan Normal</t>
        </is>
      </c>
      <c r="G358" s="97" t="inlineStr">
        <is>
          <t>Normal</t>
        </is>
      </c>
      <c r="H358" s="97" t="inlineStr">
        <is>
          <t>Gizi Baik</t>
        </is>
      </c>
      <c r="I358" s="98" t="inlineStr">
        <is>
          <t>Ya</t>
        </is>
      </c>
      <c r="J358" s="98">
        <f>IF(G358="Normal","Tidak",IF(G358="Pendek","Potensi Stunting",IF(G358="Sangat Pendek","Stunting","")))</f>
        <v/>
      </c>
    </row>
    <row r="359" ht="15.75" customHeight="1" s="95">
      <c r="A359" s="97" t="inlineStr">
        <is>
          <t>anonymus0358</t>
        </is>
      </c>
      <c r="B359" s="97" t="inlineStr">
        <is>
          <t xml:space="preserve">L </t>
        </is>
      </c>
      <c r="C359" s="97" t="inlineStr">
        <is>
          <t>1-34 Bulan</t>
        </is>
      </c>
      <c r="D359" s="97" t="inlineStr">
        <is>
          <t>14.2</t>
        </is>
      </c>
      <c r="E359" s="97" t="n">
        <v>94</v>
      </c>
      <c r="F359" s="97" t="inlineStr">
        <is>
          <t>Berat Badan Normal</t>
        </is>
      </c>
      <c r="G359" s="97" t="inlineStr">
        <is>
          <t>Normal</t>
        </is>
      </c>
      <c r="H359" s="97" t="inlineStr">
        <is>
          <t>Gizi Baik</t>
        </is>
      </c>
      <c r="I359" s="98" t="inlineStr">
        <is>
          <t>Ya</t>
        </is>
      </c>
      <c r="J359" s="98">
        <f>IF(G359="Normal","Tidak",IF(G359="Pendek","Potensi Stunting",IF(G359="Sangat Pendek","Stunting","")))</f>
        <v/>
      </c>
    </row>
    <row r="360" ht="15.75" customHeight="1" s="95">
      <c r="A360" s="97" t="inlineStr">
        <is>
          <t>anonymus0359</t>
        </is>
      </c>
      <c r="B360" s="97" t="inlineStr">
        <is>
          <t>L</t>
        </is>
      </c>
      <c r="C360" s="97" t="inlineStr">
        <is>
          <t>35-69 Bulan</t>
        </is>
      </c>
      <c r="D360" s="97" t="n">
        <v>9.800000000000001</v>
      </c>
      <c r="E360" s="97" t="n">
        <v>83</v>
      </c>
      <c r="F360" s="97" t="inlineStr">
        <is>
          <t>Kurang</t>
        </is>
      </c>
      <c r="G360" s="97" t="inlineStr">
        <is>
          <t>Pendek</t>
        </is>
      </c>
      <c r="H360" s="97" t="inlineStr">
        <is>
          <t>Gizi Baik</t>
        </is>
      </c>
      <c r="I360" s="98" t="inlineStr">
        <is>
          <t>Ya</t>
        </is>
      </c>
      <c r="J360" s="98">
        <f>IF(G360="Normal","Tidak",IF(G360="Pendek","Potensi Stunting",IF(G360="Sangat Pendek","Stunting","")))</f>
        <v/>
      </c>
    </row>
    <row r="361" ht="15.75" customHeight="1" s="95">
      <c r="A361" s="97" t="inlineStr">
        <is>
          <t>anonymus0360</t>
        </is>
      </c>
      <c r="B361" s="97" t="inlineStr">
        <is>
          <t>L</t>
        </is>
      </c>
      <c r="C361" s="97" t="inlineStr">
        <is>
          <t>35-69 Bulan</t>
        </is>
      </c>
      <c r="D361" s="97" t="n">
        <v>13</v>
      </c>
      <c r="E361" s="97" t="n">
        <v>101</v>
      </c>
      <c r="F361" s="97" t="inlineStr">
        <is>
          <t>Normal</t>
        </is>
      </c>
      <c r="G361" s="97" t="inlineStr">
        <is>
          <t>Normal</t>
        </is>
      </c>
      <c r="H361" s="97" t="inlineStr">
        <is>
          <t>Gizi Kurang</t>
        </is>
      </c>
      <c r="I361" s="98" t="inlineStr">
        <is>
          <t>Ya</t>
        </is>
      </c>
      <c r="J361" s="98">
        <f>IF(G361="Normal","Tidak",IF(G361="Pendek","Potensi Stunting",IF(G361="Sangat Pendek","Stunting","")))</f>
        <v/>
      </c>
    </row>
    <row r="362" ht="15.75" customHeight="1" s="95">
      <c r="A362" s="97" t="inlineStr">
        <is>
          <t>anonymus0361</t>
        </is>
      </c>
      <c r="B362" s="97" t="inlineStr">
        <is>
          <t>L</t>
        </is>
      </c>
      <c r="C362" s="97" t="inlineStr">
        <is>
          <t>35-69 Bulan</t>
        </is>
      </c>
      <c r="D362" s="97" t="n">
        <v>10.5</v>
      </c>
      <c r="E362" s="97" t="n">
        <v>91.2</v>
      </c>
      <c r="F362" s="97" t="inlineStr">
        <is>
          <t>Sangat Kurang</t>
        </is>
      </c>
      <c r="G362" s="97" t="inlineStr">
        <is>
          <t>Pendek</t>
        </is>
      </c>
      <c r="H362" s="97" t="inlineStr">
        <is>
          <t>Gizi Kurang</t>
        </is>
      </c>
      <c r="I362" s="98" t="inlineStr">
        <is>
          <t>Ya</t>
        </is>
      </c>
      <c r="J362" s="98">
        <f>IF(G362="Normal","Tidak",IF(G362="Pendek","Potensi Stunting",IF(G362="Sangat Pendek","Stunting","")))</f>
        <v/>
      </c>
    </row>
    <row r="363" ht="15.75" customHeight="1" s="95">
      <c r="A363" s="97" t="inlineStr">
        <is>
          <t>anonymus0362</t>
        </is>
      </c>
      <c r="B363" s="97" t="inlineStr">
        <is>
          <t xml:space="preserve">P </t>
        </is>
      </c>
      <c r="C363" s="97" t="inlineStr">
        <is>
          <t>1-34 Bulan</t>
        </is>
      </c>
      <c r="D363" s="97" t="inlineStr">
        <is>
          <t>11.1</t>
        </is>
      </c>
      <c r="E363" s="97" t="n">
        <v>79</v>
      </c>
      <c r="F363" s="97" t="inlineStr">
        <is>
          <t>Berat Badan Normal</t>
        </is>
      </c>
      <c r="G363" s="97" t="inlineStr">
        <is>
          <t>Normal</t>
        </is>
      </c>
      <c r="H363" s="97" t="inlineStr">
        <is>
          <t>Risiko Gizi Lebih</t>
        </is>
      </c>
      <c r="I363" s="98" t="inlineStr">
        <is>
          <t>Ya</t>
        </is>
      </c>
      <c r="J363" s="98">
        <f>IF(G363="Normal","Tidak",IF(G363="Pendek","Potensi Stunting",IF(G363="Sangat Pendek","Stunting","")))</f>
        <v/>
      </c>
    </row>
    <row r="364" ht="15.75" customHeight="1" s="95">
      <c r="A364" s="97" t="inlineStr">
        <is>
          <t>anonymus0363</t>
        </is>
      </c>
      <c r="B364" s="97" t="inlineStr">
        <is>
          <t xml:space="preserve">L </t>
        </is>
      </c>
      <c r="C364" s="97" t="inlineStr">
        <is>
          <t>35-69 Bulan</t>
        </is>
      </c>
      <c r="D364" s="97" t="n">
        <v>16</v>
      </c>
      <c r="E364" s="97" t="n">
        <v>100</v>
      </c>
      <c r="F364" s="97" t="inlineStr">
        <is>
          <t>Berat Badan Normal</t>
        </is>
      </c>
      <c r="G364" s="97" t="inlineStr">
        <is>
          <t>Normal</t>
        </is>
      </c>
      <c r="H364" s="97" t="inlineStr">
        <is>
          <t>Gizi Baik</t>
        </is>
      </c>
      <c r="I364" s="98" t="inlineStr">
        <is>
          <t>Ya</t>
        </is>
      </c>
      <c r="J364" s="98">
        <f>IF(G364="Normal","Tidak",IF(G364="Pendek","Potensi Stunting",IF(G364="Sangat Pendek","Stunting","")))</f>
        <v/>
      </c>
    </row>
    <row r="365" ht="15.75" customHeight="1" s="95">
      <c r="A365" s="97" t="inlineStr">
        <is>
          <t>anonymus0364</t>
        </is>
      </c>
      <c r="B365" s="97" t="inlineStr">
        <is>
          <t>P</t>
        </is>
      </c>
      <c r="C365" s="97" t="inlineStr">
        <is>
          <t>35-69 Bulan</t>
        </is>
      </c>
      <c r="D365" s="97" t="n">
        <v>12.6</v>
      </c>
      <c r="E365" s="97" t="n">
        <v>103</v>
      </c>
      <c r="F365" s="97" t="inlineStr">
        <is>
          <t>Berat Badan Normal</t>
        </is>
      </c>
      <c r="G365" s="97" t="inlineStr">
        <is>
          <t>Normal</t>
        </is>
      </c>
      <c r="H365" s="97" t="inlineStr">
        <is>
          <t>Gizi Baik</t>
        </is>
      </c>
      <c r="I365" s="98" t="inlineStr">
        <is>
          <t>Ya</t>
        </is>
      </c>
      <c r="J365" s="98">
        <f>IF(G365="Normal","Tidak",IF(G365="Pendek","Potensi Stunting",IF(G365="Sangat Pendek","Stunting","")))</f>
        <v/>
      </c>
    </row>
    <row r="366" ht="15.75" customHeight="1" s="95">
      <c r="A366" s="97" t="inlineStr">
        <is>
          <t>anonymus0365</t>
        </is>
      </c>
      <c r="B366" s="97" t="inlineStr">
        <is>
          <t xml:space="preserve">P </t>
        </is>
      </c>
      <c r="C366" s="97" t="inlineStr">
        <is>
          <t>1-34 Bulan</t>
        </is>
      </c>
      <c r="D366" s="97" t="inlineStr">
        <is>
          <t>9.1</t>
        </is>
      </c>
      <c r="E366" s="97" t="n">
        <v>79</v>
      </c>
      <c r="F366" s="97" t="inlineStr">
        <is>
          <t>Berat Badan Normal</t>
        </is>
      </c>
      <c r="G366" s="97" t="inlineStr">
        <is>
          <t>Normal</t>
        </is>
      </c>
      <c r="H366" s="97" t="inlineStr">
        <is>
          <t>Gizi Baik</t>
        </is>
      </c>
      <c r="I366" s="98" t="inlineStr">
        <is>
          <t>Ya</t>
        </is>
      </c>
      <c r="J366" s="98">
        <f>IF(G366="Normal","Tidak",IF(G366="Pendek","Potensi Stunting",IF(G366="Sangat Pendek","Stunting","")))</f>
        <v/>
      </c>
    </row>
    <row r="367" ht="15.75" customHeight="1" s="95">
      <c r="A367" s="97" t="inlineStr">
        <is>
          <t>anonymus0366</t>
        </is>
      </c>
      <c r="B367" s="97" t="inlineStr">
        <is>
          <t xml:space="preserve">L </t>
        </is>
      </c>
      <c r="C367" s="97" t="inlineStr">
        <is>
          <t>35-69 Bulan</t>
        </is>
      </c>
      <c r="D367" s="97" t="inlineStr">
        <is>
          <t>19.6</t>
        </is>
      </c>
      <c r="E367" s="97" t="n">
        <v>105</v>
      </c>
      <c r="F367" s="97" t="inlineStr">
        <is>
          <t>Risiko Lebih</t>
        </is>
      </c>
      <c r="G367" s="97" t="inlineStr">
        <is>
          <t>Normal</t>
        </is>
      </c>
      <c r="H367" s="97" t="inlineStr">
        <is>
          <t>Risiko Gizi Lebih</t>
        </is>
      </c>
      <c r="I367" s="98" t="inlineStr">
        <is>
          <t>Ya</t>
        </is>
      </c>
      <c r="J367" s="98">
        <f>IF(G367="Normal","Tidak",IF(G367="Pendek","Potensi Stunting",IF(G367="Sangat Pendek","Stunting","")))</f>
        <v/>
      </c>
    </row>
    <row r="368" ht="15.75" customHeight="1" s="95">
      <c r="A368" s="97" t="inlineStr">
        <is>
          <t>anonymus0367</t>
        </is>
      </c>
      <c r="B368" s="97" t="inlineStr">
        <is>
          <t xml:space="preserve">L </t>
        </is>
      </c>
      <c r="C368" s="97" t="inlineStr">
        <is>
          <t>1-34 Bulan</t>
        </is>
      </c>
      <c r="D368" s="97" t="inlineStr">
        <is>
          <t>9.8</t>
        </is>
      </c>
      <c r="E368" s="97" t="n">
        <v>78</v>
      </c>
      <c r="F368" s="97" t="inlineStr">
        <is>
          <t>Berat Badan Normal</t>
        </is>
      </c>
      <c r="G368" s="97" t="inlineStr">
        <is>
          <t>Normal</t>
        </is>
      </c>
      <c r="H368" s="97" t="inlineStr">
        <is>
          <t>Gizi Baik</t>
        </is>
      </c>
      <c r="I368" s="98" t="inlineStr">
        <is>
          <t>Ya</t>
        </is>
      </c>
      <c r="J368" s="98">
        <f>IF(G368="Normal","Tidak",IF(G368="Pendek","Potensi Stunting",IF(G368="Sangat Pendek","Stunting","")))</f>
        <v/>
      </c>
    </row>
    <row r="369" ht="15.75" customHeight="1" s="95">
      <c r="A369" s="99" t="inlineStr">
        <is>
          <t>anonymus0368</t>
        </is>
      </c>
      <c r="B369" s="97" t="inlineStr">
        <is>
          <t>L</t>
        </is>
      </c>
      <c r="C369" s="97" t="n">
        <v>86</v>
      </c>
      <c r="D369" s="97" t="n">
        <v>9.4</v>
      </c>
      <c r="E369" s="97" t="n">
        <v>80.40000000000001</v>
      </c>
      <c r="F369" s="97" t="inlineStr">
        <is>
          <t>Sangat Kurang</t>
        </is>
      </c>
      <c r="G369" s="97" t="inlineStr">
        <is>
          <t>Sangat Pendek</t>
        </is>
      </c>
      <c r="H369" s="97" t="inlineStr">
        <is>
          <t>Gizi Baik</t>
        </is>
      </c>
      <c r="I369" s="98" t="inlineStr">
        <is>
          <t>Ya</t>
        </is>
      </c>
      <c r="J369" s="98">
        <f>IF(G369="Normal","Tidak",IF(G369="Pendek","Potensi Stunting",IF(G369="Sangat Pendek","Stunting","")))</f>
        <v/>
      </c>
    </row>
    <row r="370" ht="15.75" customHeight="1" s="95">
      <c r="A370" s="97" t="inlineStr">
        <is>
          <t>anonymus0369</t>
        </is>
      </c>
      <c r="B370" s="97" t="inlineStr">
        <is>
          <t xml:space="preserve">P </t>
        </is>
      </c>
      <c r="C370" s="97" t="inlineStr">
        <is>
          <t>1-34 Bulan</t>
        </is>
      </c>
      <c r="D370" s="97" t="inlineStr">
        <is>
          <t>8.2</t>
        </is>
      </c>
      <c r="E370" s="97" t="n">
        <v>78</v>
      </c>
      <c r="F370" s="97" t="inlineStr">
        <is>
          <t>Berat Badan Normal</t>
        </is>
      </c>
      <c r="G370" s="97" t="inlineStr">
        <is>
          <t>Normal</t>
        </is>
      </c>
      <c r="H370" s="97" t="inlineStr">
        <is>
          <t>Gizi Baik</t>
        </is>
      </c>
      <c r="I370" s="98" t="inlineStr">
        <is>
          <t>Ya</t>
        </is>
      </c>
      <c r="J370" s="98">
        <f>IF(G370="Normal","Tidak",IF(G370="Pendek","Potensi Stunting",IF(G370="Sangat Pendek","Stunting","")))</f>
        <v/>
      </c>
    </row>
    <row r="371" ht="15.75" customHeight="1" s="95">
      <c r="A371" s="97" t="inlineStr">
        <is>
          <t>anonymus0370</t>
        </is>
      </c>
      <c r="B371" s="97" t="inlineStr">
        <is>
          <t xml:space="preserve">P </t>
        </is>
      </c>
      <c r="C371" s="97" t="inlineStr">
        <is>
          <t>1-34 Bulan</t>
        </is>
      </c>
      <c r="D371" s="97" t="inlineStr">
        <is>
          <t>8.3</t>
        </is>
      </c>
      <c r="E371" s="97" t="n">
        <v>61</v>
      </c>
      <c r="F371" s="97" t="inlineStr">
        <is>
          <t>Risiko Lebih</t>
        </is>
      </c>
      <c r="G371" s="97" t="inlineStr">
        <is>
          <t>Normal</t>
        </is>
      </c>
      <c r="H371" s="97" t="inlineStr">
        <is>
          <t>Obesitas</t>
        </is>
      </c>
      <c r="I371" s="98" t="inlineStr">
        <is>
          <t>Ya</t>
        </is>
      </c>
      <c r="J371" s="98">
        <f>IF(G371="Normal","Tidak",IF(G371="Pendek","Potensi Stunting",IF(G371="Sangat Pendek","Stunting","")))</f>
        <v/>
      </c>
    </row>
    <row r="372" ht="15.75" customHeight="1" s="95">
      <c r="A372" s="97" t="inlineStr">
        <is>
          <t>anonymus0371</t>
        </is>
      </c>
      <c r="B372" s="97" t="inlineStr">
        <is>
          <t>P</t>
        </is>
      </c>
      <c r="C372" s="97" t="inlineStr">
        <is>
          <t>1-34 Bulan</t>
        </is>
      </c>
      <c r="D372" s="97" t="n">
        <v>10.8</v>
      </c>
      <c r="E372" s="97" t="n">
        <v>77</v>
      </c>
      <c r="F372" s="97" t="inlineStr">
        <is>
          <t>Berat Badan Normal</t>
        </is>
      </c>
      <c r="G372" s="97" t="inlineStr">
        <is>
          <t>Normal</t>
        </is>
      </c>
      <c r="H372" s="97" t="inlineStr">
        <is>
          <t>Gizi Baik</t>
        </is>
      </c>
      <c r="I372" s="98" t="inlineStr">
        <is>
          <t>Ya</t>
        </is>
      </c>
      <c r="J372" s="98">
        <f>IF(G372="Normal","Tidak",IF(G372="Pendek","Potensi Stunting",IF(G372="Sangat Pendek","Stunting","")))</f>
        <v/>
      </c>
    </row>
    <row r="373" ht="15.75" customHeight="1" s="95">
      <c r="A373" s="97" t="inlineStr">
        <is>
          <t>anonymus0372</t>
        </is>
      </c>
      <c r="B373" s="97" t="inlineStr">
        <is>
          <t xml:space="preserve">P </t>
        </is>
      </c>
      <c r="C373" s="97" t="inlineStr">
        <is>
          <t>35-69 Bulan</t>
        </is>
      </c>
      <c r="D373" s="97" t="n">
        <v>16</v>
      </c>
      <c r="E373" s="97" t="n">
        <v>100</v>
      </c>
      <c r="F373" s="97" t="inlineStr">
        <is>
          <t>Berat Badan Normal</t>
        </is>
      </c>
      <c r="G373" s="97" t="inlineStr">
        <is>
          <t>Normal</t>
        </is>
      </c>
      <c r="H373" s="97" t="inlineStr">
        <is>
          <t>Gizi Baik</t>
        </is>
      </c>
      <c r="I373" s="98" t="inlineStr">
        <is>
          <t>Ya</t>
        </is>
      </c>
      <c r="J373" s="98">
        <f>IF(G373="Normal","Tidak",IF(G373="Pendek","Potensi Stunting",IF(G373="Sangat Pendek","Stunting","")))</f>
        <v/>
      </c>
    </row>
    <row r="374" ht="15.75" customHeight="1" s="95">
      <c r="A374" s="97" t="inlineStr">
        <is>
          <t>anonymus0373</t>
        </is>
      </c>
      <c r="B374" s="97" t="inlineStr">
        <is>
          <t>L</t>
        </is>
      </c>
      <c r="C374" s="97" t="inlineStr">
        <is>
          <t>35-69 Bulan</t>
        </is>
      </c>
      <c r="D374" s="97" t="n">
        <v>10.7</v>
      </c>
      <c r="E374" s="97" t="n">
        <v>110</v>
      </c>
      <c r="F374" s="97" t="inlineStr">
        <is>
          <t>Berat Badan Normal</t>
        </is>
      </c>
      <c r="G374" s="97" t="inlineStr">
        <is>
          <t>Normal</t>
        </is>
      </c>
      <c r="H374" s="97" t="inlineStr">
        <is>
          <t>Gizi Baik</t>
        </is>
      </c>
      <c r="I374" s="98" t="inlineStr">
        <is>
          <t>Ya</t>
        </is>
      </c>
      <c r="J374" s="98">
        <f>IF(G374="Normal","Tidak",IF(G374="Pendek","Potensi Stunting",IF(G374="Sangat Pendek","Stunting","")))</f>
        <v/>
      </c>
    </row>
    <row r="375" ht="15.75" customHeight="1" s="95">
      <c r="A375" s="97" t="inlineStr">
        <is>
          <t>anonymus0374</t>
        </is>
      </c>
      <c r="B375" s="97" t="inlineStr">
        <is>
          <t>P</t>
        </is>
      </c>
      <c r="C375" s="97" t="inlineStr">
        <is>
          <t>35-69 Bulan</t>
        </is>
      </c>
      <c r="D375" s="97" t="n">
        <v>8.800000000000001</v>
      </c>
      <c r="E375" s="97" t="n">
        <v>75</v>
      </c>
      <c r="F375" s="97" t="inlineStr">
        <is>
          <t>Kurang</t>
        </is>
      </c>
      <c r="G375" s="97" t="inlineStr">
        <is>
          <t>Sangat Pendek</t>
        </is>
      </c>
      <c r="H375" s="97" t="inlineStr">
        <is>
          <t>Gizi Baik</t>
        </is>
      </c>
      <c r="I375" s="98" t="inlineStr">
        <is>
          <t>Ya</t>
        </is>
      </c>
      <c r="J375" s="98">
        <f>IF(G375="Normal","Tidak",IF(G375="Pendek","Potensi Stunting",IF(G375="Sangat Pendek","Stunting","")))</f>
        <v/>
      </c>
    </row>
    <row r="376" ht="15.75" customHeight="1" s="95">
      <c r="A376" s="97" t="inlineStr">
        <is>
          <t>anonymus0375</t>
        </is>
      </c>
      <c r="B376" s="97" t="inlineStr">
        <is>
          <t xml:space="preserve">L </t>
        </is>
      </c>
      <c r="C376" s="97" t="inlineStr">
        <is>
          <t>1-34 Bulan</t>
        </is>
      </c>
      <c r="D376" s="97" t="inlineStr">
        <is>
          <t>12.4</t>
        </is>
      </c>
      <c r="E376" s="97" t="n">
        <v>88</v>
      </c>
      <c r="F376" s="97" t="inlineStr">
        <is>
          <t>Berat Badan Normal</t>
        </is>
      </c>
      <c r="G376" s="97" t="inlineStr">
        <is>
          <t>Normal</t>
        </is>
      </c>
      <c r="H376" s="97" t="inlineStr">
        <is>
          <t>Gizi Baik</t>
        </is>
      </c>
      <c r="I376" s="98" t="inlineStr">
        <is>
          <t>Ya</t>
        </is>
      </c>
      <c r="J376" s="98">
        <f>IF(G376="Normal","Tidak",IF(G376="Pendek","Potensi Stunting",IF(G376="Sangat Pendek","Stunting","")))</f>
        <v/>
      </c>
    </row>
    <row r="377" ht="15.75" customHeight="1" s="95">
      <c r="A377" s="97" t="inlineStr">
        <is>
          <t>anonymus0376</t>
        </is>
      </c>
      <c r="B377" s="97" t="inlineStr">
        <is>
          <t>L</t>
        </is>
      </c>
      <c r="C377" s="97" t="inlineStr">
        <is>
          <t>1-34 Bulan</t>
        </is>
      </c>
      <c r="D377" s="97" t="n">
        <v>13.6</v>
      </c>
      <c r="E377" s="97" t="n">
        <v>80</v>
      </c>
      <c r="F377" s="97" t="inlineStr">
        <is>
          <t>Berat Badan Normal</t>
        </is>
      </c>
      <c r="G377" s="97" t="inlineStr">
        <is>
          <t>Normal</t>
        </is>
      </c>
      <c r="H377" s="97" t="inlineStr">
        <is>
          <t>Gizi Baik</t>
        </is>
      </c>
      <c r="I377" s="98" t="inlineStr">
        <is>
          <t>Ya</t>
        </is>
      </c>
      <c r="J377" s="98">
        <f>IF(G377="Normal","Tidak",IF(G377="Pendek","Potensi Stunting",IF(G377="Sangat Pendek","Stunting","")))</f>
        <v/>
      </c>
    </row>
    <row r="378" ht="15.75" customHeight="1" s="95">
      <c r="A378" s="97" t="inlineStr">
        <is>
          <t>anonymus0377</t>
        </is>
      </c>
      <c r="B378" s="97" t="inlineStr">
        <is>
          <t>P</t>
        </is>
      </c>
      <c r="C378" s="97" t="inlineStr">
        <is>
          <t>35-69 Bulan</t>
        </is>
      </c>
      <c r="D378" s="97" t="n">
        <v>12</v>
      </c>
      <c r="E378" s="97" t="n">
        <v>97</v>
      </c>
      <c r="F378" s="97" t="inlineStr">
        <is>
          <t>Normal</t>
        </is>
      </c>
      <c r="G378" s="97" t="inlineStr">
        <is>
          <t>Normal</t>
        </is>
      </c>
      <c r="H378" s="97" t="inlineStr">
        <is>
          <t>Gizi Kurang</t>
        </is>
      </c>
      <c r="I378" s="98" t="inlineStr">
        <is>
          <t>Ya</t>
        </is>
      </c>
      <c r="J378" s="98">
        <f>IF(G378="Normal","Tidak",IF(G378="Pendek","Potensi Stunting",IF(G378="Sangat Pendek","Stunting","")))</f>
        <v/>
      </c>
    </row>
    <row r="379" ht="15.75" customHeight="1" s="95">
      <c r="A379" s="97" t="inlineStr">
        <is>
          <t>anonymus0378</t>
        </is>
      </c>
      <c r="B379" s="97" t="inlineStr">
        <is>
          <t>P</t>
        </is>
      </c>
      <c r="C379" s="97" t="inlineStr">
        <is>
          <t>1-34 Bulan</t>
        </is>
      </c>
      <c r="D379" s="97" t="n">
        <v>8.6</v>
      </c>
      <c r="E379" s="97" t="n">
        <v>90</v>
      </c>
      <c r="F379" s="97" t="inlineStr">
        <is>
          <t>Kurang</t>
        </is>
      </c>
      <c r="G379" s="97" t="inlineStr">
        <is>
          <t>Normal</t>
        </is>
      </c>
      <c r="H379" s="97" t="inlineStr">
        <is>
          <t>Gizi Kurang</t>
        </is>
      </c>
      <c r="I379" s="98" t="inlineStr">
        <is>
          <t>Ya</t>
        </is>
      </c>
      <c r="J379" s="98">
        <f>IF(G379="Normal","Tidak",IF(G379="Pendek","Potensi Stunting",IF(G379="Sangat Pendek","Stunting","")))</f>
        <v/>
      </c>
    </row>
    <row r="380" ht="15.75" customHeight="1" s="95">
      <c r="A380" s="97" t="inlineStr">
        <is>
          <t>anonymus0379</t>
        </is>
      </c>
      <c r="B380" s="97" t="inlineStr">
        <is>
          <t>P</t>
        </is>
      </c>
      <c r="C380" s="97" t="inlineStr">
        <is>
          <t>35-69 Bulan</t>
        </is>
      </c>
      <c r="D380" s="97" t="n">
        <v>13.2</v>
      </c>
      <c r="E380" s="97" t="n">
        <v>87</v>
      </c>
      <c r="F380" s="97" t="inlineStr">
        <is>
          <t>Normal</t>
        </is>
      </c>
      <c r="G380" s="97" t="inlineStr">
        <is>
          <t>Sangat Pendek</t>
        </is>
      </c>
      <c r="H380" s="97" t="inlineStr">
        <is>
          <t>Gizi Baik</t>
        </is>
      </c>
      <c r="I380" s="98" t="inlineStr">
        <is>
          <t>Ya</t>
        </is>
      </c>
      <c r="J380" s="98">
        <f>IF(G380="Normal","Tidak",IF(G380="Pendek","Potensi Stunting",IF(G380="Sangat Pendek","Stunting","")))</f>
        <v/>
      </c>
    </row>
    <row r="381" ht="15.75" customHeight="1" s="95">
      <c r="A381" s="97" t="inlineStr">
        <is>
          <t>anonymus0380</t>
        </is>
      </c>
      <c r="B381" s="97" t="inlineStr">
        <is>
          <t>P</t>
        </is>
      </c>
      <c r="C381" s="97" t="inlineStr">
        <is>
          <t>35-69 Bulan</t>
        </is>
      </c>
      <c r="D381" s="97" t="n">
        <v>13</v>
      </c>
      <c r="E381" s="97" t="n">
        <v>113</v>
      </c>
      <c r="F381" s="97" t="inlineStr">
        <is>
          <t>Berat Badan Normal</t>
        </is>
      </c>
      <c r="G381" s="97" t="inlineStr">
        <is>
          <t>Normal</t>
        </is>
      </c>
      <c r="H381" s="97" t="inlineStr">
        <is>
          <t>Gizi Baik</t>
        </is>
      </c>
      <c r="I381" s="98" t="inlineStr">
        <is>
          <t>Ya</t>
        </is>
      </c>
      <c r="J381" s="98">
        <f>IF(G381="Normal","Tidak",IF(G381="Pendek","Potensi Stunting",IF(G381="Sangat Pendek","Stunting","")))</f>
        <v/>
      </c>
    </row>
    <row r="382" ht="15.75" customHeight="1" s="95">
      <c r="A382" s="97" t="inlineStr">
        <is>
          <t>anonymus0381</t>
        </is>
      </c>
      <c r="B382" s="97" t="inlineStr">
        <is>
          <t>L</t>
        </is>
      </c>
      <c r="C382" s="97" t="inlineStr">
        <is>
          <t>35-69 Bulan</t>
        </is>
      </c>
      <c r="D382" s="97" t="n">
        <v>9.199999999999999</v>
      </c>
      <c r="E382" s="97" t="n">
        <v>79.5</v>
      </c>
      <c r="F382" s="97" t="inlineStr">
        <is>
          <t>Kurang</t>
        </is>
      </c>
      <c r="G382" s="97" t="inlineStr">
        <is>
          <t>Pendek</t>
        </is>
      </c>
      <c r="H382" s="97" t="inlineStr">
        <is>
          <t>Gizi Baik</t>
        </is>
      </c>
      <c r="I382" s="98" t="inlineStr">
        <is>
          <t>Ya</t>
        </is>
      </c>
      <c r="J382" s="98">
        <f>IF(G382="Normal","Tidak",IF(G382="Pendek","Potensi Stunting",IF(G382="Sangat Pendek","Stunting","")))</f>
        <v/>
      </c>
    </row>
    <row r="383" ht="15.75" customHeight="1" s="95">
      <c r="A383" s="97" t="inlineStr">
        <is>
          <t>anonymus0382</t>
        </is>
      </c>
      <c r="B383" s="97" t="inlineStr">
        <is>
          <t>P</t>
        </is>
      </c>
      <c r="C383" s="97" t="inlineStr">
        <is>
          <t>35-69 Bulan</t>
        </is>
      </c>
      <c r="D383" s="97" t="n">
        <v>11.5</v>
      </c>
      <c r="E383" s="97" t="n">
        <v>96</v>
      </c>
      <c r="F383" s="97" t="inlineStr">
        <is>
          <t>Kurang</t>
        </is>
      </c>
      <c r="G383" s="97" t="inlineStr">
        <is>
          <t>Normal</t>
        </is>
      </c>
      <c r="H383" s="97" t="inlineStr">
        <is>
          <t>Gizi Kurang</t>
        </is>
      </c>
      <c r="I383" s="98" t="inlineStr">
        <is>
          <t>Ya</t>
        </is>
      </c>
      <c r="J383" s="98">
        <f>IF(G383="Normal","Tidak",IF(G383="Pendek","Potensi Stunting",IF(G383="Sangat Pendek","Stunting","")))</f>
        <v/>
      </c>
    </row>
    <row r="384" ht="15.75" customHeight="1" s="95">
      <c r="A384" s="97" t="inlineStr">
        <is>
          <t>anonymus0383</t>
        </is>
      </c>
      <c r="B384" s="97" t="inlineStr">
        <is>
          <t>P</t>
        </is>
      </c>
      <c r="C384" s="97" t="inlineStr">
        <is>
          <t>35-69 Bulan</t>
        </is>
      </c>
      <c r="D384" s="97" t="n">
        <v>9.9</v>
      </c>
      <c r="E384" s="97" t="n">
        <v>86.5</v>
      </c>
      <c r="F384" s="97" t="inlineStr">
        <is>
          <t>Sangat Kurang</t>
        </is>
      </c>
      <c r="G384" s="97" t="inlineStr">
        <is>
          <t>Pendek</t>
        </is>
      </c>
      <c r="H384" s="97" t="inlineStr">
        <is>
          <t>Gizi Kurang</t>
        </is>
      </c>
      <c r="I384" s="98" t="inlineStr">
        <is>
          <t>Ya</t>
        </is>
      </c>
      <c r="J384" s="98">
        <f>IF(G384="Normal","Tidak",IF(G384="Pendek","Potensi Stunting",IF(G384="Sangat Pendek","Stunting","")))</f>
        <v/>
      </c>
    </row>
    <row r="385" ht="15.75" customHeight="1" s="95">
      <c r="A385" s="97" t="inlineStr">
        <is>
          <t>anonymus0384</t>
        </is>
      </c>
      <c r="B385" s="97" t="inlineStr">
        <is>
          <t>L</t>
        </is>
      </c>
      <c r="C385" s="97" t="inlineStr">
        <is>
          <t>35-69 Bulan</t>
        </is>
      </c>
      <c r="D385" s="97" t="n">
        <v>15.4</v>
      </c>
      <c r="E385" s="97" t="n">
        <v>105</v>
      </c>
      <c r="F385" s="97" t="inlineStr">
        <is>
          <t>Berat Badan Normal</t>
        </is>
      </c>
      <c r="G385" s="97" t="inlineStr">
        <is>
          <t>Normal</t>
        </is>
      </c>
      <c r="H385" s="97" t="inlineStr">
        <is>
          <t>Gizi Baik</t>
        </is>
      </c>
      <c r="I385" s="98" t="inlineStr">
        <is>
          <t>Ya</t>
        </is>
      </c>
      <c r="J385" s="98">
        <f>IF(G385="Normal","Tidak",IF(G385="Pendek","Potensi Stunting",IF(G385="Sangat Pendek","Stunting","")))</f>
        <v/>
      </c>
    </row>
    <row r="386" ht="15.75" customHeight="1" s="95">
      <c r="A386" s="97" t="inlineStr">
        <is>
          <t>anonymus0385</t>
        </is>
      </c>
      <c r="B386" s="97" t="inlineStr">
        <is>
          <t>L</t>
        </is>
      </c>
      <c r="C386" s="97" t="inlineStr">
        <is>
          <t>35-69 Bulan</t>
        </is>
      </c>
      <c r="D386" s="97" t="n">
        <v>8.800000000000001</v>
      </c>
      <c r="E386" s="97" t="n">
        <v>76.5</v>
      </c>
      <c r="F386" s="97" t="inlineStr">
        <is>
          <t>Sangat Kurang</t>
        </is>
      </c>
      <c r="G386" s="97" t="inlineStr">
        <is>
          <t>Sangat Pendek</t>
        </is>
      </c>
      <c r="H386" s="97" t="inlineStr">
        <is>
          <t>Gizi Baik</t>
        </is>
      </c>
      <c r="I386" s="98" t="inlineStr">
        <is>
          <t>Ya</t>
        </is>
      </c>
      <c r="J386" s="98">
        <f>IF(G386="Normal","Tidak",IF(G386="Pendek","Potensi Stunting",IF(G386="Sangat Pendek","Stunting","")))</f>
        <v/>
      </c>
    </row>
    <row r="387" ht="15.75" customHeight="1" s="95">
      <c r="A387" s="97" t="inlineStr">
        <is>
          <t>anonymus0386</t>
        </is>
      </c>
      <c r="B387" s="97" t="inlineStr">
        <is>
          <t xml:space="preserve">L </t>
        </is>
      </c>
      <c r="C387" s="97" t="inlineStr">
        <is>
          <t>1-34 Bulan</t>
        </is>
      </c>
      <c r="D387" s="97" t="inlineStr">
        <is>
          <t>13.8</t>
        </is>
      </c>
      <c r="E387" s="97" t="n">
        <v>78</v>
      </c>
      <c r="F387" s="97" t="inlineStr">
        <is>
          <t>Risiko Lebih</t>
        </is>
      </c>
      <c r="G387" s="97" t="inlineStr">
        <is>
          <t>Normal</t>
        </is>
      </c>
      <c r="H387" s="97" t="inlineStr">
        <is>
          <t>Obesitas</t>
        </is>
      </c>
      <c r="I387" s="98" t="inlineStr">
        <is>
          <t>Ya</t>
        </is>
      </c>
      <c r="J387" s="98">
        <f>IF(G387="Normal","Tidak",IF(G387="Pendek","Potensi Stunting",IF(G387="Sangat Pendek","Stunting","")))</f>
        <v/>
      </c>
    </row>
    <row r="388" ht="15.75" customHeight="1" s="95">
      <c r="A388" s="97" t="inlineStr">
        <is>
          <t>anonymus0387</t>
        </is>
      </c>
      <c r="B388" s="97" t="inlineStr">
        <is>
          <t xml:space="preserve">L </t>
        </is>
      </c>
      <c r="C388" s="97" t="inlineStr">
        <is>
          <t>1-34 Bulan</t>
        </is>
      </c>
      <c r="D388" s="97" t="inlineStr">
        <is>
          <t>7.8</t>
        </is>
      </c>
      <c r="E388" s="97" t="inlineStr">
        <is>
          <t>70.5</t>
        </is>
      </c>
      <c r="F388" s="97" t="inlineStr">
        <is>
          <t>Berat Badan Normal</t>
        </is>
      </c>
      <c r="G388" s="97" t="inlineStr">
        <is>
          <t>Normal</t>
        </is>
      </c>
      <c r="H388" s="97" t="inlineStr">
        <is>
          <t>Gizi Baik</t>
        </is>
      </c>
      <c r="I388" s="98" t="inlineStr">
        <is>
          <t>Ya</t>
        </is>
      </c>
      <c r="J388" s="98">
        <f>IF(G388="Normal","Tidak",IF(G388="Pendek","Potensi Stunting",IF(G388="Sangat Pendek","Stunting","")))</f>
        <v/>
      </c>
    </row>
    <row r="389" ht="15.75" customHeight="1" s="95">
      <c r="A389" s="97" t="inlineStr">
        <is>
          <t>anonymus0388</t>
        </is>
      </c>
      <c r="B389" s="97" t="inlineStr">
        <is>
          <t>L</t>
        </is>
      </c>
      <c r="C389" s="97" t="inlineStr">
        <is>
          <t>1-34 Bulan</t>
        </is>
      </c>
      <c r="D389" s="97" t="n">
        <v>8.199999999999999</v>
      </c>
      <c r="E389" s="97" t="n">
        <v>76</v>
      </c>
      <c r="F389" s="97" t="inlineStr">
        <is>
          <t>Normal</t>
        </is>
      </c>
      <c r="G389" s="97" t="inlineStr">
        <is>
          <t>Normal</t>
        </is>
      </c>
      <c r="H389" s="97" t="inlineStr">
        <is>
          <t>Gizi Kurang</t>
        </is>
      </c>
      <c r="I389" s="98" t="inlineStr">
        <is>
          <t>Ya</t>
        </is>
      </c>
      <c r="J389" s="98">
        <f>IF(G389="Normal","Tidak",IF(G389="Pendek","Potensi Stunting",IF(G389="Sangat Pendek","Stunting","")))</f>
        <v/>
      </c>
    </row>
    <row r="390" ht="15.75" customHeight="1" s="95">
      <c r="A390" s="97" t="inlineStr">
        <is>
          <t>anonymus0389</t>
        </is>
      </c>
      <c r="B390" s="97" t="inlineStr">
        <is>
          <t>P</t>
        </is>
      </c>
      <c r="C390" s="97" t="inlineStr">
        <is>
          <t>35-69 Bulan</t>
        </is>
      </c>
      <c r="D390" s="97" t="n">
        <v>12.4</v>
      </c>
      <c r="E390" s="97" t="n">
        <v>110</v>
      </c>
      <c r="F390" s="97" t="inlineStr">
        <is>
          <t>Berat Badan Normal</t>
        </is>
      </c>
      <c r="G390" s="97" t="inlineStr">
        <is>
          <t>Normal</t>
        </is>
      </c>
      <c r="H390" s="97" t="inlineStr">
        <is>
          <t>Gizi Baik</t>
        </is>
      </c>
      <c r="I390" s="98" t="inlineStr">
        <is>
          <t>Ya</t>
        </is>
      </c>
      <c r="J390" s="98">
        <f>IF(G390="Normal","Tidak",IF(G390="Pendek","Potensi Stunting",IF(G390="Sangat Pendek","Stunting","")))</f>
        <v/>
      </c>
    </row>
    <row r="391" ht="15.75" customHeight="1" s="95">
      <c r="A391" s="97" t="inlineStr">
        <is>
          <t>anonymus0390</t>
        </is>
      </c>
      <c r="B391" s="97" t="inlineStr">
        <is>
          <t>L</t>
        </is>
      </c>
      <c r="C391" s="97" t="inlineStr">
        <is>
          <t>35-69 Bulan</t>
        </is>
      </c>
      <c r="D391" s="97" t="n">
        <v>13.3</v>
      </c>
      <c r="E391" s="97" t="n">
        <v>92</v>
      </c>
      <c r="F391" s="97" t="inlineStr">
        <is>
          <t>Berat Badan Normal</t>
        </is>
      </c>
      <c r="G391" s="97" t="inlineStr">
        <is>
          <t>Normal</t>
        </is>
      </c>
      <c r="H391" s="97" t="inlineStr">
        <is>
          <t>Gizi Baik</t>
        </is>
      </c>
      <c r="I391" s="98" t="inlineStr">
        <is>
          <t>Ya</t>
        </is>
      </c>
      <c r="J391" s="98">
        <f>IF(G391="Normal","Tidak",IF(G391="Pendek","Potensi Stunting",IF(G391="Sangat Pendek","Stunting","")))</f>
        <v/>
      </c>
    </row>
    <row r="392" ht="15.75" customHeight="1" s="95">
      <c r="A392" s="97" t="inlineStr">
        <is>
          <t>anonymus0391</t>
        </is>
      </c>
      <c r="B392" s="97" t="inlineStr">
        <is>
          <t xml:space="preserve">P </t>
        </is>
      </c>
      <c r="C392" s="97" t="inlineStr">
        <is>
          <t>1-34 Bulan</t>
        </is>
      </c>
      <c r="D392" s="97" t="inlineStr">
        <is>
          <t>13.6</t>
        </is>
      </c>
      <c r="E392" s="97" t="n">
        <v>91</v>
      </c>
      <c r="F392" s="97" t="inlineStr">
        <is>
          <t>Berat Badan Normal</t>
        </is>
      </c>
      <c r="G392" s="97" t="inlineStr">
        <is>
          <t>Normal</t>
        </is>
      </c>
      <c r="H392" s="97" t="inlineStr">
        <is>
          <t>Gizi Baik</t>
        </is>
      </c>
      <c r="I392" s="98" t="inlineStr">
        <is>
          <t>Ya</t>
        </is>
      </c>
      <c r="J392" s="98">
        <f>IF(G392="Normal","Tidak",IF(G392="Pendek","Potensi Stunting",IF(G392="Sangat Pendek","Stunting","")))</f>
        <v/>
      </c>
    </row>
    <row r="393" ht="15.75" customHeight="1" s="95">
      <c r="A393" s="97" t="inlineStr">
        <is>
          <t>anonymus0392</t>
        </is>
      </c>
      <c r="B393" s="97" t="inlineStr">
        <is>
          <t xml:space="preserve">P </t>
        </is>
      </c>
      <c r="C393" s="97" t="inlineStr">
        <is>
          <t>35-69 Bulan</t>
        </is>
      </c>
      <c r="D393" s="97" t="inlineStr">
        <is>
          <t>16.5</t>
        </is>
      </c>
      <c r="E393" s="97" t="n">
        <v>105</v>
      </c>
      <c r="F393" s="97" t="inlineStr">
        <is>
          <t>Berat Badan Normal</t>
        </is>
      </c>
      <c r="G393" s="97" t="inlineStr">
        <is>
          <t>Normal</t>
        </is>
      </c>
      <c r="H393" s="97" t="inlineStr">
        <is>
          <t>Gizi Baik</t>
        </is>
      </c>
      <c r="I393" s="98" t="inlineStr">
        <is>
          <t>Ya</t>
        </is>
      </c>
      <c r="J393" s="98">
        <f>IF(G393="Normal","Tidak",IF(G393="Pendek","Potensi Stunting",IF(G393="Sangat Pendek","Stunting","")))</f>
        <v/>
      </c>
    </row>
    <row r="394" ht="15.75" customHeight="1" s="95">
      <c r="A394" s="97" t="inlineStr">
        <is>
          <t>anonymus0393</t>
        </is>
      </c>
      <c r="B394" s="97" t="inlineStr">
        <is>
          <t>L</t>
        </is>
      </c>
      <c r="C394" s="97" t="inlineStr">
        <is>
          <t>35-69 Bulan</t>
        </is>
      </c>
      <c r="D394" s="97" t="n">
        <v>19.9</v>
      </c>
      <c r="E394" s="97" t="n">
        <v>104</v>
      </c>
      <c r="F394" s="97" t="inlineStr">
        <is>
          <t>Risiko Lebih</t>
        </is>
      </c>
      <c r="G394" s="97" t="inlineStr">
        <is>
          <t>Normal</t>
        </is>
      </c>
      <c r="H394" s="97" t="inlineStr">
        <is>
          <t>Gizi Lebih</t>
        </is>
      </c>
      <c r="I394" s="98" t="inlineStr">
        <is>
          <t>Ya</t>
        </is>
      </c>
      <c r="J394" s="98">
        <f>IF(G394="Normal","Tidak",IF(G394="Pendek","Potensi Stunting",IF(G394="Sangat Pendek","Stunting","")))</f>
        <v/>
      </c>
    </row>
    <row r="395" ht="15.75" customHeight="1" s="95">
      <c r="A395" s="97" t="inlineStr">
        <is>
          <t>anonymus0394</t>
        </is>
      </c>
      <c r="B395" s="97" t="inlineStr">
        <is>
          <t>L</t>
        </is>
      </c>
      <c r="C395" s="97" t="inlineStr">
        <is>
          <t>1-34 Bulan</t>
        </is>
      </c>
      <c r="D395" s="97" t="n">
        <v>12</v>
      </c>
      <c r="E395" s="97" t="n">
        <v>96</v>
      </c>
      <c r="F395" s="97" t="inlineStr">
        <is>
          <t>Normal</t>
        </is>
      </c>
      <c r="G395" s="99" t="inlineStr">
        <is>
          <t>Tinggi</t>
        </is>
      </c>
      <c r="H395" s="97" t="inlineStr">
        <is>
          <t>Gizi Kurang</t>
        </is>
      </c>
      <c r="I395" s="98" t="inlineStr">
        <is>
          <t>Ya</t>
        </is>
      </c>
      <c r="J395" s="98">
        <f>IF(G395="Normal","Tidak",IF(G395="Pendek","Potensi Stunting",IF(G395="Sangat Pendek","Stunting","")))</f>
        <v/>
      </c>
    </row>
    <row r="396" ht="15.75" customHeight="1" s="95">
      <c r="A396" s="97" t="inlineStr">
        <is>
          <t>anonymus0395</t>
        </is>
      </c>
      <c r="B396" s="97" t="inlineStr">
        <is>
          <t>P</t>
        </is>
      </c>
      <c r="C396" s="97" t="inlineStr">
        <is>
          <t>35-69 Bulan</t>
        </is>
      </c>
      <c r="D396" s="97" t="n">
        <v>13</v>
      </c>
      <c r="E396" s="97" t="n">
        <v>118</v>
      </c>
      <c r="F396" s="97" t="inlineStr">
        <is>
          <t>Berat Badan Normal</t>
        </is>
      </c>
      <c r="G396" s="97" t="inlineStr">
        <is>
          <t>Normal</t>
        </is>
      </c>
      <c r="H396" s="97" t="inlineStr">
        <is>
          <t>Gizi Baik</t>
        </is>
      </c>
      <c r="I396" s="98" t="inlineStr">
        <is>
          <t>Ya</t>
        </is>
      </c>
      <c r="J396" s="98">
        <f>IF(G396="Normal","Tidak",IF(G396="Pendek","Potensi Stunting",IF(G396="Sangat Pendek","Stunting","")))</f>
        <v/>
      </c>
    </row>
    <row r="397" ht="15.75" customHeight="1" s="95">
      <c r="A397" s="97" t="inlineStr">
        <is>
          <t>anonymus0396</t>
        </is>
      </c>
      <c r="B397" s="97" t="inlineStr">
        <is>
          <t>L</t>
        </is>
      </c>
      <c r="C397" s="97" t="inlineStr">
        <is>
          <t>35-69 Bulan</t>
        </is>
      </c>
      <c r="D397" s="97" t="n">
        <v>10</v>
      </c>
      <c r="E397" s="97" t="n">
        <v>100</v>
      </c>
      <c r="F397" s="97" t="inlineStr">
        <is>
          <t>Berat Badan Normal</t>
        </is>
      </c>
      <c r="G397" s="97" t="inlineStr">
        <is>
          <t>Normal</t>
        </is>
      </c>
      <c r="H397" s="97" t="inlineStr">
        <is>
          <t>Gizi Baik</t>
        </is>
      </c>
      <c r="I397" s="98" t="inlineStr">
        <is>
          <t>Ya</t>
        </is>
      </c>
      <c r="J397" s="98">
        <f>IF(G397="Normal","Tidak",IF(G397="Pendek","Potensi Stunting",IF(G397="Sangat Pendek","Stunting","")))</f>
        <v/>
      </c>
    </row>
    <row r="398" ht="15.75" customHeight="1" s="95">
      <c r="A398" s="97" t="inlineStr">
        <is>
          <t>anonymus0397</t>
        </is>
      </c>
      <c r="B398" s="97" t="inlineStr">
        <is>
          <t>P</t>
        </is>
      </c>
      <c r="C398" s="97" t="inlineStr">
        <is>
          <t>35-69 Bulan</t>
        </is>
      </c>
      <c r="D398" s="97" t="n">
        <v>13.3</v>
      </c>
      <c r="E398" s="97" t="n">
        <v>112</v>
      </c>
      <c r="F398" s="97" t="inlineStr">
        <is>
          <t>Berat Badan Normal</t>
        </is>
      </c>
      <c r="G398" s="97" t="inlineStr">
        <is>
          <t>Normal</t>
        </is>
      </c>
      <c r="H398" s="97" t="inlineStr">
        <is>
          <t>Gizi Baik</t>
        </is>
      </c>
      <c r="I398" s="98" t="inlineStr">
        <is>
          <t>Ya</t>
        </is>
      </c>
      <c r="J398" s="98">
        <f>IF(G398="Normal","Tidak",IF(G398="Pendek","Potensi Stunting",IF(G398="Sangat Pendek","Stunting","")))</f>
        <v/>
      </c>
    </row>
    <row r="399" ht="15.75" customHeight="1" s="95">
      <c r="A399" s="97" t="inlineStr">
        <is>
          <t>anonymus0398</t>
        </is>
      </c>
      <c r="B399" s="97" t="inlineStr">
        <is>
          <t>L</t>
        </is>
      </c>
      <c r="C399" s="97" t="inlineStr">
        <is>
          <t>1-34 Bulan</t>
        </is>
      </c>
      <c r="D399" s="97" t="n">
        <v>7.05</v>
      </c>
      <c r="E399" s="97" t="n">
        <v>71</v>
      </c>
      <c r="F399" s="97" t="inlineStr">
        <is>
          <t>Kurang</t>
        </is>
      </c>
      <c r="G399" s="97" t="inlineStr">
        <is>
          <t>Normal</t>
        </is>
      </c>
      <c r="H399" s="97" t="inlineStr">
        <is>
          <t>Gizi Kurang</t>
        </is>
      </c>
      <c r="I399" s="98" t="inlineStr">
        <is>
          <t>Ya</t>
        </is>
      </c>
      <c r="J399" s="98">
        <f>IF(G399="Normal","Tidak",IF(G399="Pendek","Potensi Stunting",IF(G399="Sangat Pendek","Stunting","")))</f>
        <v/>
      </c>
    </row>
    <row r="400" ht="15.75" customHeight="1" s="95">
      <c r="A400" s="97" t="inlineStr">
        <is>
          <t>anonymus0399</t>
        </is>
      </c>
      <c r="B400" s="97" t="inlineStr">
        <is>
          <t>P</t>
        </is>
      </c>
      <c r="C400" s="97" t="inlineStr">
        <is>
          <t>35-69 Bulan</t>
        </is>
      </c>
      <c r="D400" s="97" t="n">
        <v>10.1</v>
      </c>
      <c r="E400" s="97" t="n">
        <v>104</v>
      </c>
      <c r="F400" s="97" t="inlineStr">
        <is>
          <t>Berat Badan Normal</t>
        </is>
      </c>
      <c r="G400" s="97" t="inlineStr">
        <is>
          <t>Normal</t>
        </is>
      </c>
      <c r="H400" s="97" t="inlineStr">
        <is>
          <t>Gizi Baik</t>
        </is>
      </c>
      <c r="I400" s="98" t="inlineStr">
        <is>
          <t>Ya</t>
        </is>
      </c>
      <c r="J400" s="98">
        <f>IF(G400="Normal","Tidak",IF(G400="Pendek","Potensi Stunting",IF(G400="Sangat Pendek","Stunting","")))</f>
        <v/>
      </c>
    </row>
    <row r="401" ht="15.75" customHeight="1" s="95">
      <c r="A401" s="97" t="inlineStr">
        <is>
          <t>anonymus0400</t>
        </is>
      </c>
      <c r="B401" s="97" t="inlineStr">
        <is>
          <t>L</t>
        </is>
      </c>
      <c r="C401" s="97" t="inlineStr">
        <is>
          <t>35-69 Bulan</t>
        </is>
      </c>
      <c r="D401" s="97" t="n">
        <v>10.7</v>
      </c>
      <c r="E401" s="97" t="n">
        <v>101</v>
      </c>
      <c r="F401" s="97" t="inlineStr">
        <is>
          <t>Berat Badan Normal</t>
        </is>
      </c>
      <c r="G401" s="97" t="inlineStr">
        <is>
          <t>Normal</t>
        </is>
      </c>
      <c r="H401" s="97" t="inlineStr">
        <is>
          <t>Gizi Baik</t>
        </is>
      </c>
      <c r="I401" s="98" t="inlineStr">
        <is>
          <t>Ya</t>
        </is>
      </c>
      <c r="J401" s="98">
        <f>IF(G401="Normal","Tidak",IF(G401="Pendek","Potensi Stunting",IF(G401="Sangat Pendek","Stunting","")))</f>
        <v/>
      </c>
    </row>
    <row r="402" ht="15.75" customHeight="1" s="95">
      <c r="A402" s="97" t="inlineStr">
        <is>
          <t>anonymus0401</t>
        </is>
      </c>
      <c r="B402" s="97" t="inlineStr">
        <is>
          <t>L</t>
        </is>
      </c>
      <c r="C402" s="97" t="inlineStr">
        <is>
          <t>1-34 Bulan</t>
        </is>
      </c>
      <c r="D402" s="97" t="n">
        <v>10</v>
      </c>
      <c r="E402" s="97" t="n">
        <v>87</v>
      </c>
      <c r="F402" s="97" t="inlineStr">
        <is>
          <t>Kurang</t>
        </is>
      </c>
      <c r="G402" s="97" t="inlineStr">
        <is>
          <t>Normal</t>
        </is>
      </c>
      <c r="H402" s="97" t="inlineStr">
        <is>
          <t>Gizi Kurang</t>
        </is>
      </c>
      <c r="I402" s="98" t="inlineStr">
        <is>
          <t>Ya</t>
        </is>
      </c>
      <c r="J402" s="98">
        <f>IF(G402="Normal","Tidak",IF(G402="Pendek","Potensi Stunting",IF(G402="Sangat Pendek","Stunting","")))</f>
        <v/>
      </c>
    </row>
    <row r="403" ht="15.75" customHeight="1" s="95">
      <c r="A403" s="97" t="inlineStr">
        <is>
          <t>anonymus0402</t>
        </is>
      </c>
      <c r="B403" s="97" t="inlineStr">
        <is>
          <t xml:space="preserve">L </t>
        </is>
      </c>
      <c r="C403" s="97" t="inlineStr">
        <is>
          <t>35-69 Bulan</t>
        </is>
      </c>
      <c r="D403" s="97" t="inlineStr">
        <is>
          <t>15.2</t>
        </is>
      </c>
      <c r="E403" s="97" t="n">
        <v>100</v>
      </c>
      <c r="F403" s="97" t="inlineStr">
        <is>
          <t>Berat Badan Normal</t>
        </is>
      </c>
      <c r="G403" s="97" t="inlineStr">
        <is>
          <t>Normal</t>
        </is>
      </c>
      <c r="H403" s="97" t="inlineStr">
        <is>
          <t>Gizi Baik</t>
        </is>
      </c>
      <c r="I403" s="98" t="inlineStr">
        <is>
          <t>Ya</t>
        </is>
      </c>
      <c r="J403" s="98">
        <f>IF(G403="Normal","Tidak",IF(G403="Pendek","Potensi Stunting",IF(G403="Sangat Pendek","Stunting","")))</f>
        <v/>
      </c>
    </row>
    <row r="404" ht="15.75" customHeight="1" s="95">
      <c r="A404" s="97" t="inlineStr">
        <is>
          <t>anonymus0403</t>
        </is>
      </c>
      <c r="B404" s="97" t="inlineStr">
        <is>
          <t>L</t>
        </is>
      </c>
      <c r="C404" s="97" t="inlineStr">
        <is>
          <t>35-69 Bulan</t>
        </is>
      </c>
      <c r="D404" s="97" t="n">
        <v>10.4</v>
      </c>
      <c r="E404" s="97" t="n">
        <v>98</v>
      </c>
      <c r="F404" s="97" t="inlineStr">
        <is>
          <t>Berat Badan Normal</t>
        </is>
      </c>
      <c r="G404" s="97" t="inlineStr">
        <is>
          <t>Normal</t>
        </is>
      </c>
      <c r="H404" s="97" t="inlineStr">
        <is>
          <t>Gizi Baik</t>
        </is>
      </c>
      <c r="I404" s="98" t="inlineStr">
        <is>
          <t>Ya</t>
        </is>
      </c>
      <c r="J404" s="98">
        <f>IF(G404="Normal","Tidak",IF(G404="Pendek","Potensi Stunting",IF(G404="Sangat Pendek","Stunting","")))</f>
        <v/>
      </c>
    </row>
    <row r="405" ht="15.75" customHeight="1" s="95">
      <c r="A405" s="97" t="inlineStr">
        <is>
          <t>anonymus0404</t>
        </is>
      </c>
      <c r="B405" s="97" t="inlineStr">
        <is>
          <t>L</t>
        </is>
      </c>
      <c r="C405" s="97" t="inlineStr">
        <is>
          <t>35-69 Bulan</t>
        </is>
      </c>
      <c r="D405" s="97" t="n">
        <v>12.6</v>
      </c>
      <c r="E405" s="97" t="n">
        <v>91.5</v>
      </c>
      <c r="F405" s="97" t="inlineStr">
        <is>
          <t>Normal</t>
        </is>
      </c>
      <c r="G405" s="97" t="inlineStr">
        <is>
          <t>Pendek</t>
        </is>
      </c>
      <c r="H405" s="97" t="inlineStr">
        <is>
          <t>Gizi Baik</t>
        </is>
      </c>
      <c r="I405" s="98" t="inlineStr">
        <is>
          <t>Ya</t>
        </is>
      </c>
      <c r="J405" s="98">
        <f>IF(G405="Normal","Tidak",IF(G405="Pendek","Potensi Stunting",IF(G405="Sangat Pendek","Stunting","")))</f>
        <v/>
      </c>
    </row>
    <row r="406" ht="15.75" customHeight="1" s="95">
      <c r="A406" s="97" t="inlineStr">
        <is>
          <t>anonymus0405</t>
        </is>
      </c>
      <c r="B406" s="97" t="inlineStr">
        <is>
          <t>P</t>
        </is>
      </c>
      <c r="C406" s="97" t="inlineStr">
        <is>
          <t>35-69 Bulan</t>
        </is>
      </c>
      <c r="D406" s="97" t="n">
        <v>14.3</v>
      </c>
      <c r="E406" s="97" t="n">
        <v>102</v>
      </c>
      <c r="F406" s="97" t="inlineStr">
        <is>
          <t>Berat Badan Normal</t>
        </is>
      </c>
      <c r="G406" s="97" t="inlineStr">
        <is>
          <t>Normal</t>
        </is>
      </c>
      <c r="H406" s="97" t="inlineStr">
        <is>
          <t>Gizi Baik</t>
        </is>
      </c>
      <c r="I406" s="98" t="inlineStr">
        <is>
          <t>Ya</t>
        </is>
      </c>
      <c r="J406" s="98">
        <f>IF(G406="Normal","Tidak",IF(G406="Pendek","Potensi Stunting",IF(G406="Sangat Pendek","Stunting","")))</f>
        <v/>
      </c>
    </row>
    <row r="407" ht="15.75" customHeight="1" s="95">
      <c r="A407" s="97" t="inlineStr">
        <is>
          <t>anonymus0406</t>
        </is>
      </c>
      <c r="B407" s="97" t="inlineStr">
        <is>
          <t>L</t>
        </is>
      </c>
      <c r="C407" s="97" t="inlineStr">
        <is>
          <t>1-34 Bulan</t>
        </is>
      </c>
      <c r="D407" s="97" t="n">
        <v>9.35</v>
      </c>
      <c r="E407" s="97" t="n">
        <v>84</v>
      </c>
      <c r="F407" s="97" t="inlineStr">
        <is>
          <t>Normal</t>
        </is>
      </c>
      <c r="G407" s="97" t="inlineStr">
        <is>
          <t>Normal</t>
        </is>
      </c>
      <c r="H407" s="97" t="inlineStr">
        <is>
          <t>Gizi Kurang</t>
        </is>
      </c>
      <c r="I407" s="98" t="inlineStr">
        <is>
          <t>Ya</t>
        </is>
      </c>
      <c r="J407" s="98">
        <f>IF(G407="Normal","Tidak",IF(G407="Pendek","Potensi Stunting",IF(G407="Sangat Pendek","Stunting","")))</f>
        <v/>
      </c>
    </row>
    <row r="408" ht="15.75" customHeight="1" s="95">
      <c r="A408" s="97" t="inlineStr">
        <is>
          <t>anonymus0407</t>
        </is>
      </c>
      <c r="B408" s="97" t="inlineStr">
        <is>
          <t>L</t>
        </is>
      </c>
      <c r="C408" s="97" t="inlineStr">
        <is>
          <t>35-69 Bulan</t>
        </is>
      </c>
      <c r="D408" s="97" t="n">
        <v>14.4</v>
      </c>
      <c r="E408" s="97" t="n">
        <v>113</v>
      </c>
      <c r="F408" s="97" t="inlineStr">
        <is>
          <t>Berat Badan Normal</t>
        </is>
      </c>
      <c r="G408" s="97" t="inlineStr">
        <is>
          <t>Normal</t>
        </is>
      </c>
      <c r="H408" s="97" t="inlineStr">
        <is>
          <t>Gizi Baik</t>
        </is>
      </c>
      <c r="I408" s="98" t="inlineStr">
        <is>
          <t>Ya</t>
        </is>
      </c>
      <c r="J408" s="98">
        <f>IF(G408="Normal","Tidak",IF(G408="Pendek","Potensi Stunting",IF(G408="Sangat Pendek","Stunting","")))</f>
        <v/>
      </c>
    </row>
    <row r="409" ht="15.75" customHeight="1" s="95">
      <c r="A409" s="97" t="inlineStr">
        <is>
          <t>anonymus0408</t>
        </is>
      </c>
      <c r="B409" s="97" t="inlineStr">
        <is>
          <t xml:space="preserve">P </t>
        </is>
      </c>
      <c r="C409" s="97" t="inlineStr">
        <is>
          <t>1-34 Bulan</t>
        </is>
      </c>
      <c r="D409" s="97" t="inlineStr">
        <is>
          <t>8.3</t>
        </is>
      </c>
      <c r="E409" s="97" t="n">
        <v>74</v>
      </c>
      <c r="F409" s="97" t="inlineStr">
        <is>
          <t>Berat Badan Normal</t>
        </is>
      </c>
      <c r="G409" s="97" t="inlineStr">
        <is>
          <t>Normal</t>
        </is>
      </c>
      <c r="H409" s="97" t="inlineStr">
        <is>
          <t>Gizi Baik</t>
        </is>
      </c>
      <c r="I409" s="98" t="inlineStr">
        <is>
          <t>Ya</t>
        </is>
      </c>
      <c r="J409" s="98">
        <f>IF(G409="Normal","Tidak",IF(G409="Pendek","Potensi Stunting",IF(G409="Sangat Pendek","Stunting","")))</f>
        <v/>
      </c>
    </row>
    <row r="410" ht="15.75" customHeight="1" s="95">
      <c r="A410" s="97" t="inlineStr">
        <is>
          <t>anonymus0409</t>
        </is>
      </c>
      <c r="B410" s="97" t="inlineStr">
        <is>
          <t xml:space="preserve">L </t>
        </is>
      </c>
      <c r="C410" s="97" t="inlineStr">
        <is>
          <t>1-34 Bulan</t>
        </is>
      </c>
      <c r="D410" s="97" t="inlineStr">
        <is>
          <t>9.9</t>
        </is>
      </c>
      <c r="E410" s="97" t="n">
        <v>79</v>
      </c>
      <c r="F410" s="97" t="inlineStr">
        <is>
          <t>Berat Badan Normal</t>
        </is>
      </c>
      <c r="G410" s="97" t="inlineStr">
        <is>
          <t>Normal</t>
        </is>
      </c>
      <c r="H410" s="97" t="inlineStr">
        <is>
          <t>Gizi Baik</t>
        </is>
      </c>
      <c r="I410" s="98" t="inlineStr">
        <is>
          <t>Ya</t>
        </is>
      </c>
      <c r="J410" s="98">
        <f>IF(G410="Normal","Tidak",IF(G410="Pendek","Potensi Stunting",IF(G410="Sangat Pendek","Stunting","")))</f>
        <v/>
      </c>
    </row>
    <row r="411" ht="15.75" customHeight="1" s="95">
      <c r="A411" s="97" t="inlineStr">
        <is>
          <t>anonymus0410</t>
        </is>
      </c>
      <c r="B411" s="97" t="inlineStr">
        <is>
          <t>L</t>
        </is>
      </c>
      <c r="C411" s="97" t="inlineStr">
        <is>
          <t>35-69 Bulan</t>
        </is>
      </c>
      <c r="D411" s="97" t="n">
        <v>8.300000000000001</v>
      </c>
      <c r="E411" s="97" t="n">
        <v>71</v>
      </c>
      <c r="F411" s="97" t="inlineStr">
        <is>
          <t>Normal</t>
        </is>
      </c>
      <c r="G411" s="97" t="inlineStr">
        <is>
          <t>Pendek</t>
        </is>
      </c>
      <c r="H411" s="97" t="inlineStr">
        <is>
          <t>Gizi Baik</t>
        </is>
      </c>
      <c r="I411" s="98" t="inlineStr">
        <is>
          <t>Ya</t>
        </is>
      </c>
      <c r="J411" s="98">
        <f>IF(G411="Normal","Tidak",IF(G411="Pendek","Potensi Stunting",IF(G411="Sangat Pendek","Stunting","")))</f>
        <v/>
      </c>
    </row>
    <row r="412" ht="15.75" customHeight="1" s="95">
      <c r="A412" s="97" t="inlineStr">
        <is>
          <t>anonymus0411</t>
        </is>
      </c>
      <c r="B412" s="97" t="inlineStr">
        <is>
          <t>L</t>
        </is>
      </c>
      <c r="C412" s="97" t="inlineStr">
        <is>
          <t>1-34 Bulan</t>
        </is>
      </c>
      <c r="D412" s="97" t="n">
        <v>10.8</v>
      </c>
      <c r="E412" s="97" t="n">
        <v>90</v>
      </c>
      <c r="F412" s="97" t="inlineStr">
        <is>
          <t>Normal</t>
        </is>
      </c>
      <c r="G412" s="97" t="inlineStr">
        <is>
          <t>Normal</t>
        </is>
      </c>
      <c r="H412" s="97" t="inlineStr">
        <is>
          <t>Gizi Kurang</t>
        </is>
      </c>
      <c r="I412" s="98" t="inlineStr">
        <is>
          <t>Ya</t>
        </is>
      </c>
      <c r="J412" s="98">
        <f>IF(G412="Normal","Tidak",IF(G412="Pendek","Potensi Stunting",IF(G412="Sangat Pendek","Stunting","")))</f>
        <v/>
      </c>
    </row>
    <row r="413" ht="15.75" customHeight="1" s="95">
      <c r="A413" s="97" t="inlineStr">
        <is>
          <t>anonymus0412</t>
        </is>
      </c>
      <c r="B413" s="97" t="inlineStr">
        <is>
          <t xml:space="preserve">L </t>
        </is>
      </c>
      <c r="C413" s="97" t="inlineStr">
        <is>
          <t>1-34 Bulan</t>
        </is>
      </c>
      <c r="D413" s="97" t="inlineStr">
        <is>
          <t>10.2</t>
        </is>
      </c>
      <c r="E413" s="97" t="n">
        <v>79</v>
      </c>
      <c r="F413" s="97" t="inlineStr">
        <is>
          <t>Berat Badan Normal</t>
        </is>
      </c>
      <c r="G413" s="97" t="inlineStr">
        <is>
          <t>Normal</t>
        </is>
      </c>
      <c r="H413" s="97" t="inlineStr">
        <is>
          <t>Gizi Baik</t>
        </is>
      </c>
      <c r="I413" s="98" t="inlineStr">
        <is>
          <t>Ya</t>
        </is>
      </c>
      <c r="J413" s="98">
        <f>IF(G413="Normal","Tidak",IF(G413="Pendek","Potensi Stunting",IF(G413="Sangat Pendek","Stunting","")))</f>
        <v/>
      </c>
    </row>
    <row r="414" ht="15.75" customHeight="1" s="95">
      <c r="A414" s="97" t="inlineStr">
        <is>
          <t>anonymus0413</t>
        </is>
      </c>
      <c r="B414" s="97" t="inlineStr">
        <is>
          <t xml:space="preserve">P </t>
        </is>
      </c>
      <c r="C414" s="97" t="inlineStr">
        <is>
          <t>35-69 Bulan</t>
        </is>
      </c>
      <c r="D414" s="97" t="inlineStr">
        <is>
          <t>11.9</t>
        </is>
      </c>
      <c r="E414" s="97" t="n">
        <v>96</v>
      </c>
      <c r="F414" s="97" t="inlineStr">
        <is>
          <t>Kurang</t>
        </is>
      </c>
      <c r="G414" s="97" t="inlineStr">
        <is>
          <t>Pendek</t>
        </is>
      </c>
      <c r="H414" s="97" t="inlineStr">
        <is>
          <t>Gizi Baik</t>
        </is>
      </c>
      <c r="I414" s="98" t="inlineStr">
        <is>
          <t>Ya</t>
        </is>
      </c>
      <c r="J414" s="98">
        <f>IF(G414="Normal","Tidak",IF(G414="Pendek","Potensi Stunting",IF(G414="Sangat Pendek","Stunting","")))</f>
        <v/>
      </c>
    </row>
    <row r="415" ht="15.75" customHeight="1" s="95">
      <c r="A415" s="97" t="inlineStr">
        <is>
          <t>anonymus0414</t>
        </is>
      </c>
      <c r="B415" s="97" t="inlineStr">
        <is>
          <t>P</t>
        </is>
      </c>
      <c r="C415" s="97" t="inlineStr">
        <is>
          <t>1-34 Bulan</t>
        </is>
      </c>
      <c r="D415" s="97" t="n">
        <v>13.1</v>
      </c>
      <c r="E415" s="97" t="n">
        <v>92</v>
      </c>
      <c r="F415" s="97" t="inlineStr">
        <is>
          <t>Berat Badan Normal</t>
        </is>
      </c>
      <c r="G415" s="97" t="inlineStr">
        <is>
          <t>Normal</t>
        </is>
      </c>
      <c r="H415" s="97" t="inlineStr">
        <is>
          <t>Gizi Baik</t>
        </is>
      </c>
      <c r="I415" s="98" t="inlineStr">
        <is>
          <t>Ya</t>
        </is>
      </c>
      <c r="J415" s="98">
        <f>IF(G415="Normal","Tidak",IF(G415="Pendek","Potensi Stunting",IF(G415="Sangat Pendek","Stunting","")))</f>
        <v/>
      </c>
    </row>
    <row r="416" ht="15.75" customHeight="1" s="95">
      <c r="A416" s="97" t="inlineStr">
        <is>
          <t>anonymus0415</t>
        </is>
      </c>
      <c r="B416" s="97" t="inlineStr">
        <is>
          <t xml:space="preserve">L </t>
        </is>
      </c>
      <c r="C416" s="97" t="inlineStr">
        <is>
          <t>1-34 Bulan</t>
        </is>
      </c>
      <c r="D416" s="97" t="inlineStr">
        <is>
          <t>12.4</t>
        </is>
      </c>
      <c r="E416" s="97" t="n">
        <v>91</v>
      </c>
      <c r="F416" s="97" t="inlineStr">
        <is>
          <t>Berat Badan Normal</t>
        </is>
      </c>
      <c r="G416" s="97" t="inlineStr">
        <is>
          <t>Normal</t>
        </is>
      </c>
      <c r="H416" s="97" t="inlineStr">
        <is>
          <t>Gizi Baik</t>
        </is>
      </c>
      <c r="I416" s="98" t="inlineStr">
        <is>
          <t>Ya</t>
        </is>
      </c>
      <c r="J416" s="98">
        <f>IF(G416="Normal","Tidak",IF(G416="Pendek","Potensi Stunting",IF(G416="Sangat Pendek","Stunting","")))</f>
        <v/>
      </c>
    </row>
    <row r="417" ht="15.75" customHeight="1" s="95">
      <c r="A417" s="97" t="inlineStr">
        <is>
          <t>anonymus0416</t>
        </is>
      </c>
      <c r="B417" s="97" t="inlineStr">
        <is>
          <t xml:space="preserve">L </t>
        </is>
      </c>
      <c r="C417" s="97" t="inlineStr">
        <is>
          <t>35-69 Bulan</t>
        </is>
      </c>
      <c r="D417" s="97" t="inlineStr">
        <is>
          <t>17.3</t>
        </is>
      </c>
      <c r="E417" s="97" t="n">
        <v>104</v>
      </c>
      <c r="F417" s="97" t="inlineStr">
        <is>
          <t>Berat Badan Normal</t>
        </is>
      </c>
      <c r="G417" s="97" t="inlineStr">
        <is>
          <t>Normal</t>
        </is>
      </c>
      <c r="H417" s="97" t="inlineStr">
        <is>
          <t>Gizi Baik</t>
        </is>
      </c>
      <c r="I417" s="98" t="inlineStr">
        <is>
          <t>Ya</t>
        </is>
      </c>
      <c r="J417" s="98">
        <f>IF(G417="Normal","Tidak",IF(G417="Pendek","Potensi Stunting",IF(G417="Sangat Pendek","Stunting","")))</f>
        <v/>
      </c>
    </row>
    <row r="418" ht="15.75" customHeight="1" s="95">
      <c r="A418" s="97" t="inlineStr">
        <is>
          <t>anonymus0417</t>
        </is>
      </c>
      <c r="B418" s="97" t="inlineStr">
        <is>
          <t xml:space="preserve">P </t>
        </is>
      </c>
      <c r="C418" s="97" t="inlineStr">
        <is>
          <t>35-69 Bulan</t>
        </is>
      </c>
      <c r="D418" s="97" t="inlineStr">
        <is>
          <t>13.3</t>
        </is>
      </c>
      <c r="E418" s="97" t="n">
        <v>99</v>
      </c>
      <c r="F418" s="97" t="inlineStr">
        <is>
          <t>Berat Badan Normal</t>
        </is>
      </c>
      <c r="G418" s="97" t="inlineStr">
        <is>
          <t>Normal</t>
        </is>
      </c>
      <c r="H418" s="97" t="inlineStr">
        <is>
          <t>Gizi Baik</t>
        </is>
      </c>
      <c r="I418" s="98" t="inlineStr">
        <is>
          <t>Ya</t>
        </is>
      </c>
      <c r="J418" s="98">
        <f>IF(G418="Normal","Tidak",IF(G418="Pendek","Potensi Stunting",IF(G418="Sangat Pendek","Stunting","")))</f>
        <v/>
      </c>
    </row>
    <row r="419" ht="15.75" customHeight="1" s="95">
      <c r="A419" s="97" t="inlineStr">
        <is>
          <t>anonymus0418</t>
        </is>
      </c>
      <c r="B419" s="97" t="inlineStr">
        <is>
          <t>L</t>
        </is>
      </c>
      <c r="C419" s="97" t="inlineStr">
        <is>
          <t>35-69 Bulan</t>
        </is>
      </c>
      <c r="D419" s="97" t="n">
        <v>11.3</v>
      </c>
      <c r="E419" s="97" t="n">
        <v>84</v>
      </c>
      <c r="F419" s="97" t="inlineStr">
        <is>
          <t>Normal</t>
        </is>
      </c>
      <c r="G419" s="97" t="inlineStr">
        <is>
          <t>Pendek</t>
        </is>
      </c>
      <c r="H419" s="97" t="inlineStr">
        <is>
          <t>Gizi Baik</t>
        </is>
      </c>
      <c r="I419" s="98" t="inlineStr">
        <is>
          <t>Ya</t>
        </is>
      </c>
      <c r="J419" s="98">
        <f>IF(G419="Normal","Tidak",IF(G419="Pendek","Potensi Stunting",IF(G419="Sangat Pendek","Stunting","")))</f>
        <v/>
      </c>
    </row>
    <row r="420" ht="15.75" customHeight="1" s="95">
      <c r="A420" s="97" t="inlineStr">
        <is>
          <t>anonymus0419</t>
        </is>
      </c>
      <c r="B420" s="97" t="inlineStr">
        <is>
          <t>L</t>
        </is>
      </c>
      <c r="C420" s="97" t="inlineStr">
        <is>
          <t>35-69 Bulan</t>
        </is>
      </c>
      <c r="D420" s="97" t="n">
        <v>16.9</v>
      </c>
      <c r="E420" s="97" t="n">
        <v>111</v>
      </c>
      <c r="F420" s="97" t="inlineStr">
        <is>
          <t>Berat Badan Normal</t>
        </is>
      </c>
      <c r="G420" s="97" t="inlineStr">
        <is>
          <t>Normal</t>
        </is>
      </c>
      <c r="H420" s="97" t="inlineStr">
        <is>
          <t>Gizi Baik</t>
        </is>
      </c>
      <c r="I420" s="98" t="inlineStr">
        <is>
          <t>Ya</t>
        </is>
      </c>
      <c r="J420" s="98">
        <f>IF(G420="Normal","Tidak",IF(G420="Pendek","Potensi Stunting",IF(G420="Sangat Pendek","Stunting","")))</f>
        <v/>
      </c>
    </row>
    <row r="421" ht="15.75" customHeight="1" s="95">
      <c r="A421" s="97" t="inlineStr">
        <is>
          <t>anonymus0420</t>
        </is>
      </c>
      <c r="B421" s="97" t="inlineStr">
        <is>
          <t>L</t>
        </is>
      </c>
      <c r="C421" s="97" t="inlineStr">
        <is>
          <t>1-34 Bulan</t>
        </is>
      </c>
      <c r="D421" s="97" t="n">
        <v>9.800000000000001</v>
      </c>
      <c r="E421" s="97" t="n">
        <v>94</v>
      </c>
      <c r="F421" s="97" t="inlineStr">
        <is>
          <t>Berat Badan Normal</t>
        </is>
      </c>
      <c r="G421" s="97" t="inlineStr">
        <is>
          <t>Normal</t>
        </is>
      </c>
      <c r="H421" s="97" t="inlineStr">
        <is>
          <t>Gizi Baik</t>
        </is>
      </c>
      <c r="I421" s="98" t="inlineStr">
        <is>
          <t>Ya</t>
        </is>
      </c>
      <c r="J421" s="98">
        <f>IF(G421="Normal","Tidak",IF(G421="Pendek","Potensi Stunting",IF(G421="Sangat Pendek","Stunting","")))</f>
        <v/>
      </c>
    </row>
    <row r="422" ht="15.75" customHeight="1" s="95">
      <c r="A422" s="97" t="inlineStr">
        <is>
          <t>anonymus0421</t>
        </is>
      </c>
      <c r="B422" s="97" t="inlineStr">
        <is>
          <t xml:space="preserve">P </t>
        </is>
      </c>
      <c r="C422" s="97" t="inlineStr">
        <is>
          <t>35-69 Bulan</t>
        </is>
      </c>
      <c r="D422" s="97" t="inlineStr">
        <is>
          <t>14.1</t>
        </is>
      </c>
      <c r="E422" s="97" t="n">
        <v>100</v>
      </c>
      <c r="F422" s="97" t="inlineStr">
        <is>
          <t>Berat Badan Normal</t>
        </is>
      </c>
      <c r="G422" s="97" t="inlineStr">
        <is>
          <t>Normal</t>
        </is>
      </c>
      <c r="H422" s="97" t="inlineStr">
        <is>
          <t>Gizi Baik</t>
        </is>
      </c>
      <c r="I422" s="98" t="inlineStr">
        <is>
          <t>Ya</t>
        </is>
      </c>
      <c r="J422" s="98">
        <f>IF(G422="Normal","Tidak",IF(G422="Pendek","Potensi Stunting",IF(G422="Sangat Pendek","Stunting","")))</f>
        <v/>
      </c>
    </row>
    <row r="423" ht="15.75" customHeight="1" s="95">
      <c r="A423" s="97" t="inlineStr">
        <is>
          <t>anonymus0422</t>
        </is>
      </c>
      <c r="B423" s="97" t="inlineStr">
        <is>
          <t>P</t>
        </is>
      </c>
      <c r="C423" s="97" t="inlineStr">
        <is>
          <t>1-34 Bulan</t>
        </is>
      </c>
      <c r="D423" s="97" t="n">
        <v>11.7</v>
      </c>
      <c r="E423" s="97" t="n">
        <v>87</v>
      </c>
      <c r="F423" s="97" t="inlineStr">
        <is>
          <t>Berat Badan Normal</t>
        </is>
      </c>
      <c r="G423" s="97" t="inlineStr">
        <is>
          <t>Normal</t>
        </is>
      </c>
      <c r="H423" s="97" t="inlineStr">
        <is>
          <t>Gizi Baik</t>
        </is>
      </c>
      <c r="I423" s="98" t="inlineStr">
        <is>
          <t>Ya</t>
        </is>
      </c>
      <c r="J423" s="98">
        <f>IF(G423="Normal","Tidak",IF(G423="Pendek","Potensi Stunting",IF(G423="Sangat Pendek","Stunting","")))</f>
        <v/>
      </c>
    </row>
    <row r="424" ht="15.75" customHeight="1" s="95">
      <c r="A424" s="97" t="inlineStr">
        <is>
          <t>anonymus0423</t>
        </is>
      </c>
      <c r="B424" s="97" t="inlineStr">
        <is>
          <t xml:space="preserve">L </t>
        </is>
      </c>
      <c r="C424" s="97" t="inlineStr">
        <is>
          <t>35-69 Bulan</t>
        </is>
      </c>
      <c r="D424" s="97" t="inlineStr">
        <is>
          <t>13.5</t>
        </is>
      </c>
      <c r="E424" s="97" t="n">
        <v>97</v>
      </c>
      <c r="F424" s="97" t="inlineStr">
        <is>
          <t>Berat Badan Normal</t>
        </is>
      </c>
      <c r="G424" s="97" t="inlineStr">
        <is>
          <t>Normal</t>
        </is>
      </c>
      <c r="H424" s="97" t="inlineStr">
        <is>
          <t>Gizi Baik</t>
        </is>
      </c>
      <c r="I424" s="98" t="inlineStr">
        <is>
          <t>Ya</t>
        </is>
      </c>
      <c r="J424" s="98">
        <f>IF(G424="Normal","Tidak",IF(G424="Pendek","Potensi Stunting",IF(G424="Sangat Pendek","Stunting","")))</f>
        <v/>
      </c>
    </row>
    <row r="425" ht="15.75" customHeight="1" s="95">
      <c r="A425" s="97" t="inlineStr">
        <is>
          <t>anonymus0424</t>
        </is>
      </c>
      <c r="B425" s="97" t="inlineStr">
        <is>
          <t>L</t>
        </is>
      </c>
      <c r="C425" s="97" t="inlineStr">
        <is>
          <t>35-69 Bulan</t>
        </is>
      </c>
      <c r="D425" s="97" t="n">
        <v>10.4</v>
      </c>
      <c r="E425" s="97" t="n">
        <v>100</v>
      </c>
      <c r="F425" s="97" t="inlineStr">
        <is>
          <t>Berat Badan Normal</t>
        </is>
      </c>
      <c r="G425" s="97" t="inlineStr">
        <is>
          <t>Normal</t>
        </is>
      </c>
      <c r="H425" s="97" t="inlineStr">
        <is>
          <t>Gizi Baik</t>
        </is>
      </c>
      <c r="I425" s="98" t="inlineStr">
        <is>
          <t>Ya</t>
        </is>
      </c>
      <c r="J425" s="98">
        <f>IF(G425="Normal","Tidak",IF(G425="Pendek","Potensi Stunting",IF(G425="Sangat Pendek","Stunting","")))</f>
        <v/>
      </c>
    </row>
    <row r="426" ht="15.75" customHeight="1" s="95">
      <c r="A426" s="97" t="inlineStr">
        <is>
          <t>anonymus0425</t>
        </is>
      </c>
      <c r="B426" s="97" t="inlineStr">
        <is>
          <t>L</t>
        </is>
      </c>
      <c r="C426" s="97" t="inlineStr">
        <is>
          <t>1-34 Bulan</t>
        </is>
      </c>
      <c r="D426" s="97" t="n">
        <v>2.3</v>
      </c>
      <c r="E426" s="97" t="n">
        <v>47</v>
      </c>
      <c r="F426" s="97" t="inlineStr">
        <is>
          <t>Kurang</t>
        </is>
      </c>
      <c r="G426" s="97" t="inlineStr">
        <is>
          <t>Normal</t>
        </is>
      </c>
      <c r="H426" s="97" t="inlineStr">
        <is>
          <t>Gizi Kurang</t>
        </is>
      </c>
      <c r="I426" s="98" t="inlineStr">
        <is>
          <t>Ya</t>
        </is>
      </c>
      <c r="J426" s="98">
        <f>IF(G426="Normal","Tidak",IF(G426="Pendek","Potensi Stunting",IF(G426="Sangat Pendek","Stunting","")))</f>
        <v/>
      </c>
    </row>
    <row r="427" ht="15.75" customHeight="1" s="95">
      <c r="A427" s="97" t="inlineStr">
        <is>
          <t>anonymus0426</t>
        </is>
      </c>
      <c r="B427" s="97" t="inlineStr">
        <is>
          <t xml:space="preserve">L </t>
        </is>
      </c>
      <c r="C427" s="97" t="inlineStr">
        <is>
          <t>1-34 Bulan</t>
        </is>
      </c>
      <c r="D427" s="97" t="n">
        <v>12</v>
      </c>
      <c r="E427" s="97" t="n">
        <v>86</v>
      </c>
      <c r="F427" s="97" t="inlineStr">
        <is>
          <t>Berat Badan Normal</t>
        </is>
      </c>
      <c r="G427" s="97" t="inlineStr">
        <is>
          <t>Normal</t>
        </is>
      </c>
      <c r="H427" s="97" t="inlineStr">
        <is>
          <t>Gizi Baik</t>
        </is>
      </c>
      <c r="I427" s="98" t="inlineStr">
        <is>
          <t>Ya</t>
        </is>
      </c>
      <c r="J427" s="98">
        <f>IF(G427="Normal","Tidak",IF(G427="Pendek","Potensi Stunting",IF(G427="Sangat Pendek","Stunting","")))</f>
        <v/>
      </c>
    </row>
    <row r="428" ht="15.75" customHeight="1" s="95">
      <c r="A428" s="97" t="inlineStr">
        <is>
          <t>anonymus0427</t>
        </is>
      </c>
      <c r="B428" s="97" t="inlineStr">
        <is>
          <t>P</t>
        </is>
      </c>
      <c r="C428" s="97" t="inlineStr">
        <is>
          <t>35-69 Bulan</t>
        </is>
      </c>
      <c r="D428" s="97" t="n">
        <v>10.2</v>
      </c>
      <c r="E428" s="97" t="n">
        <v>85</v>
      </c>
      <c r="F428" s="97" t="inlineStr">
        <is>
          <t>Kurang</t>
        </is>
      </c>
      <c r="G428" s="97" t="inlineStr">
        <is>
          <t>Pendek</t>
        </is>
      </c>
      <c r="H428" s="97" t="inlineStr">
        <is>
          <t>Gizi Baik</t>
        </is>
      </c>
      <c r="I428" s="98" t="inlineStr">
        <is>
          <t>Ya</t>
        </is>
      </c>
      <c r="J428" s="98">
        <f>IF(G428="Normal","Tidak",IF(G428="Pendek","Potensi Stunting",IF(G428="Sangat Pendek","Stunting","")))</f>
        <v/>
      </c>
    </row>
    <row r="429" ht="15.75" customHeight="1" s="95">
      <c r="A429" s="97" t="inlineStr">
        <is>
          <t>anonymus0428</t>
        </is>
      </c>
      <c r="B429" s="97" t="inlineStr">
        <is>
          <t>P</t>
        </is>
      </c>
      <c r="C429" s="97" t="inlineStr">
        <is>
          <t>1-34 Bulan</t>
        </is>
      </c>
      <c r="D429" s="97" t="n">
        <v>13.3</v>
      </c>
      <c r="E429" s="97" t="n">
        <v>96</v>
      </c>
      <c r="F429" s="97" t="inlineStr">
        <is>
          <t>Berat Badan Normal</t>
        </is>
      </c>
      <c r="G429" s="97" t="inlineStr">
        <is>
          <t>Normal</t>
        </is>
      </c>
      <c r="H429" s="97" t="inlineStr">
        <is>
          <t>Gizi Baik</t>
        </is>
      </c>
      <c r="I429" s="98" t="inlineStr">
        <is>
          <t>Ya</t>
        </is>
      </c>
      <c r="J429" s="98">
        <f>IF(G429="Normal","Tidak",IF(G429="Pendek","Potensi Stunting",IF(G429="Sangat Pendek","Stunting","")))</f>
        <v/>
      </c>
    </row>
    <row r="430" ht="15.75" customHeight="1" s="95">
      <c r="A430" s="97" t="inlineStr">
        <is>
          <t>anonymus0429</t>
        </is>
      </c>
      <c r="B430" s="97" t="inlineStr">
        <is>
          <t>L</t>
        </is>
      </c>
      <c r="C430" s="97" t="inlineStr">
        <is>
          <t>1-34 Bulan</t>
        </is>
      </c>
      <c r="D430" s="97" t="n">
        <v>7.2</v>
      </c>
      <c r="E430" s="97" t="n">
        <v>88</v>
      </c>
      <c r="F430" s="97" t="inlineStr">
        <is>
          <t>Kurang</t>
        </is>
      </c>
      <c r="G430" s="97" t="inlineStr">
        <is>
          <t>Normal</t>
        </is>
      </c>
      <c r="H430" s="97" t="inlineStr">
        <is>
          <t>Gizi Kurang</t>
        </is>
      </c>
      <c r="I430" s="98" t="inlineStr">
        <is>
          <t>Ya</t>
        </is>
      </c>
      <c r="J430" s="98">
        <f>IF(G430="Normal","Tidak",IF(G430="Pendek","Potensi Stunting",IF(G430="Sangat Pendek","Stunting","")))</f>
        <v/>
      </c>
    </row>
    <row r="431" ht="15.75" customHeight="1" s="95">
      <c r="A431" s="97" t="inlineStr">
        <is>
          <t>anonymus0430</t>
        </is>
      </c>
      <c r="B431" s="97" t="inlineStr">
        <is>
          <t>P</t>
        </is>
      </c>
      <c r="C431" s="97" t="inlineStr">
        <is>
          <t>35-69 Bulan</t>
        </is>
      </c>
      <c r="D431" s="97" t="n">
        <v>14.3</v>
      </c>
      <c r="E431" s="97" t="n">
        <v>103</v>
      </c>
      <c r="F431" s="97" t="inlineStr">
        <is>
          <t>Berat Badan Normal</t>
        </is>
      </c>
      <c r="G431" s="97" t="inlineStr">
        <is>
          <t>Normal</t>
        </is>
      </c>
      <c r="H431" s="97" t="inlineStr">
        <is>
          <t>Gizi Baik</t>
        </is>
      </c>
      <c r="I431" s="98" t="inlineStr">
        <is>
          <t>Ya</t>
        </is>
      </c>
      <c r="J431" s="98">
        <f>IF(G431="Normal","Tidak",IF(G431="Pendek","Potensi Stunting",IF(G431="Sangat Pendek","Stunting","")))</f>
        <v/>
      </c>
    </row>
    <row r="432" ht="15.75" customHeight="1" s="95">
      <c r="A432" s="97" t="inlineStr">
        <is>
          <t>anonymus0431</t>
        </is>
      </c>
      <c r="B432" s="97" t="inlineStr">
        <is>
          <t>P</t>
        </is>
      </c>
      <c r="C432" s="97" t="inlineStr">
        <is>
          <t>35-69 Bulan</t>
        </is>
      </c>
      <c r="D432" s="97" t="n">
        <v>13.6</v>
      </c>
      <c r="E432" s="97" t="n">
        <v>103.4</v>
      </c>
      <c r="F432" s="97" t="inlineStr">
        <is>
          <t>Normal</t>
        </is>
      </c>
      <c r="G432" s="97" t="inlineStr">
        <is>
          <t>Normal</t>
        </is>
      </c>
      <c r="H432" s="97" t="inlineStr">
        <is>
          <t>Gizi Kurang</t>
        </is>
      </c>
      <c r="I432" s="98" t="inlineStr">
        <is>
          <t>Ya</t>
        </is>
      </c>
      <c r="J432" s="98">
        <f>IF(G432="Normal","Tidak",IF(G432="Pendek","Potensi Stunting",IF(G432="Sangat Pendek","Stunting","")))</f>
        <v/>
      </c>
    </row>
    <row r="433" ht="15.75" customHeight="1" s="95">
      <c r="A433" s="97" t="inlineStr">
        <is>
          <t>anonymus0432</t>
        </is>
      </c>
      <c r="B433" s="97" t="inlineStr">
        <is>
          <t>L</t>
        </is>
      </c>
      <c r="C433" s="97" t="inlineStr">
        <is>
          <t>35-69 Bulan</t>
        </is>
      </c>
      <c r="D433" s="97" t="n">
        <v>10.7</v>
      </c>
      <c r="E433" s="97" t="n">
        <v>76</v>
      </c>
      <c r="F433" s="97" t="inlineStr">
        <is>
          <t>Normal</t>
        </is>
      </c>
      <c r="G433" s="97" t="inlineStr">
        <is>
          <t>Sangat Pendek</t>
        </is>
      </c>
      <c r="H433" s="97" t="inlineStr">
        <is>
          <t>Risiko Gizi Lebih</t>
        </is>
      </c>
      <c r="I433" s="98" t="inlineStr">
        <is>
          <t>Ya</t>
        </is>
      </c>
      <c r="J433" s="98">
        <f>IF(G433="Normal","Tidak",IF(G433="Pendek","Potensi Stunting",IF(G433="Sangat Pendek","Stunting","")))</f>
        <v/>
      </c>
    </row>
    <row r="434" ht="15.75" customHeight="1" s="95">
      <c r="A434" s="97" t="inlineStr">
        <is>
          <t>anonymus0433</t>
        </is>
      </c>
      <c r="B434" s="97" t="inlineStr">
        <is>
          <t>L</t>
        </is>
      </c>
      <c r="C434" s="97" t="inlineStr">
        <is>
          <t>35-69 Bulan</t>
        </is>
      </c>
      <c r="D434" s="97" t="n">
        <v>12.4</v>
      </c>
      <c r="E434" s="97" t="n">
        <v>100</v>
      </c>
      <c r="F434" s="97" t="inlineStr">
        <is>
          <t>Kurang</t>
        </is>
      </c>
      <c r="G434" s="97" t="inlineStr">
        <is>
          <t>Normal</t>
        </is>
      </c>
      <c r="H434" s="97" t="inlineStr">
        <is>
          <t>Gizi Kurang</t>
        </is>
      </c>
      <c r="I434" s="98" t="inlineStr">
        <is>
          <t>Ya</t>
        </is>
      </c>
      <c r="J434" s="98">
        <f>IF(G434="Normal","Tidak",IF(G434="Pendek","Potensi Stunting",IF(G434="Sangat Pendek","Stunting","")))</f>
        <v/>
      </c>
    </row>
    <row r="435" ht="15.75" customHeight="1" s="95">
      <c r="A435" s="97" t="inlineStr">
        <is>
          <t>anonymus0434</t>
        </is>
      </c>
      <c r="B435" s="97" t="inlineStr">
        <is>
          <t>P</t>
        </is>
      </c>
      <c r="C435" s="97" t="inlineStr">
        <is>
          <t>35-69 Bulan</t>
        </is>
      </c>
      <c r="D435" s="97" t="n">
        <v>13.8</v>
      </c>
      <c r="E435" s="97" t="n">
        <v>107</v>
      </c>
      <c r="F435" s="97" t="inlineStr">
        <is>
          <t>Berat Badan Normal</t>
        </is>
      </c>
      <c r="G435" s="97" t="inlineStr">
        <is>
          <t>Normal</t>
        </is>
      </c>
      <c r="H435" s="97" t="inlineStr">
        <is>
          <t>Gizi Baik</t>
        </is>
      </c>
      <c r="I435" s="98" t="inlineStr">
        <is>
          <t>Ya</t>
        </is>
      </c>
      <c r="J435" s="98">
        <f>IF(G435="Normal","Tidak",IF(G435="Pendek","Potensi Stunting",IF(G435="Sangat Pendek","Stunting","")))</f>
        <v/>
      </c>
    </row>
    <row r="436" ht="15.75" customHeight="1" s="95">
      <c r="A436" s="97" t="inlineStr">
        <is>
          <t>anonymus0435</t>
        </is>
      </c>
      <c r="B436" s="97" t="inlineStr">
        <is>
          <t>P</t>
        </is>
      </c>
      <c r="C436" s="97" t="inlineStr">
        <is>
          <t>35-69 Bulan</t>
        </is>
      </c>
      <c r="D436" s="97" t="n">
        <v>15.7</v>
      </c>
      <c r="E436" s="97" t="n">
        <v>91</v>
      </c>
      <c r="F436" s="97" t="inlineStr">
        <is>
          <t>Berat Badan Normal</t>
        </is>
      </c>
      <c r="G436" s="97" t="inlineStr">
        <is>
          <t>Normal</t>
        </is>
      </c>
      <c r="H436" s="97" t="inlineStr">
        <is>
          <t>Gizi Baik</t>
        </is>
      </c>
      <c r="I436" s="98" t="inlineStr">
        <is>
          <t>Ya</t>
        </is>
      </c>
      <c r="J436" s="98">
        <f>IF(G436="Normal","Tidak",IF(G436="Pendek","Potensi Stunting",IF(G436="Sangat Pendek","Stunting","")))</f>
        <v/>
      </c>
    </row>
    <row r="437" ht="15.75" customHeight="1" s="95">
      <c r="A437" s="97" t="inlineStr">
        <is>
          <t>anonymus0436</t>
        </is>
      </c>
      <c r="B437" s="97" t="inlineStr">
        <is>
          <t>P</t>
        </is>
      </c>
      <c r="C437" s="97" t="inlineStr">
        <is>
          <t>35-69 Bulan</t>
        </is>
      </c>
      <c r="D437" s="97" t="n">
        <v>17.6</v>
      </c>
      <c r="E437" s="97" t="n">
        <v>109</v>
      </c>
      <c r="F437" s="97" t="inlineStr">
        <is>
          <t>Risiko Lebih</t>
        </is>
      </c>
      <c r="G437" s="97" t="inlineStr">
        <is>
          <t>Normal</t>
        </is>
      </c>
      <c r="H437" s="97" t="inlineStr">
        <is>
          <t>Gizi Lebih</t>
        </is>
      </c>
      <c r="I437" s="98" t="inlineStr">
        <is>
          <t>Ya</t>
        </is>
      </c>
      <c r="J437" s="98">
        <f>IF(G437="Normal","Tidak",IF(G437="Pendek","Potensi Stunting",IF(G437="Sangat Pendek","Stunting","")))</f>
        <v/>
      </c>
    </row>
    <row r="438" ht="15.75" customHeight="1" s="95">
      <c r="A438" s="97" t="inlineStr">
        <is>
          <t>anonymus0437</t>
        </is>
      </c>
      <c r="B438" s="97" t="inlineStr">
        <is>
          <t>P</t>
        </is>
      </c>
      <c r="C438" s="97" t="inlineStr">
        <is>
          <t>35-69 Bulan</t>
        </is>
      </c>
      <c r="D438" s="97" t="n">
        <v>17.9</v>
      </c>
      <c r="E438" s="97" t="n">
        <v>97</v>
      </c>
      <c r="F438" s="97" t="inlineStr">
        <is>
          <t>Risiko Lebih</t>
        </is>
      </c>
      <c r="G438" s="97" t="inlineStr">
        <is>
          <t>Normal</t>
        </is>
      </c>
      <c r="H438" s="97" t="inlineStr">
        <is>
          <t>Gizi Lebih</t>
        </is>
      </c>
      <c r="I438" s="98" t="inlineStr">
        <is>
          <t>Ya</t>
        </is>
      </c>
      <c r="J438" s="98">
        <f>IF(G438="Normal","Tidak",IF(G438="Pendek","Potensi Stunting",IF(G438="Sangat Pendek","Stunting","")))</f>
        <v/>
      </c>
    </row>
    <row r="439" ht="15.75" customHeight="1" s="95">
      <c r="A439" s="97" t="inlineStr">
        <is>
          <t>anonymus0438</t>
        </is>
      </c>
      <c r="B439" s="97" t="inlineStr">
        <is>
          <t>P</t>
        </is>
      </c>
      <c r="C439" s="97" t="inlineStr">
        <is>
          <t>35-69 Bulan</t>
        </is>
      </c>
      <c r="D439" s="97" t="n">
        <v>10.6</v>
      </c>
      <c r="E439" s="97" t="n">
        <v>73</v>
      </c>
      <c r="F439" s="97" t="inlineStr">
        <is>
          <t>Normal</t>
        </is>
      </c>
      <c r="G439" s="97" t="inlineStr">
        <is>
          <t>Sangat Pendek</t>
        </is>
      </c>
      <c r="H439" s="97" t="inlineStr">
        <is>
          <t>Risiko Gizi Lebih</t>
        </is>
      </c>
      <c r="I439" s="98" t="inlineStr">
        <is>
          <t>Ya</t>
        </is>
      </c>
      <c r="J439" s="98">
        <f>IF(G439="Normal","Tidak",IF(G439="Pendek","Potensi Stunting",IF(G439="Sangat Pendek","Stunting","")))</f>
        <v/>
      </c>
    </row>
    <row r="440" ht="15.75" customHeight="1" s="95">
      <c r="A440" s="97" t="inlineStr">
        <is>
          <t>anonymus0439</t>
        </is>
      </c>
      <c r="B440" s="97" t="inlineStr">
        <is>
          <t>L</t>
        </is>
      </c>
      <c r="C440" s="97" t="inlineStr">
        <is>
          <t>35-69 Bulan</t>
        </is>
      </c>
      <c r="D440" s="97" t="n">
        <v>11</v>
      </c>
      <c r="E440" s="97" t="n">
        <v>91.5</v>
      </c>
      <c r="F440" s="97" t="inlineStr">
        <is>
          <t>Kurang</t>
        </is>
      </c>
      <c r="G440" s="97" t="inlineStr">
        <is>
          <t>Pendek</t>
        </is>
      </c>
      <c r="H440" s="97" t="inlineStr">
        <is>
          <t>Gizi Kurang</t>
        </is>
      </c>
      <c r="I440" s="98" t="inlineStr">
        <is>
          <t>Ya</t>
        </is>
      </c>
      <c r="J440" s="98">
        <f>IF(G440="Normal","Tidak",IF(G440="Pendek","Potensi Stunting",IF(G440="Sangat Pendek","Stunting","")))</f>
        <v/>
      </c>
    </row>
    <row r="441" ht="15.75" customHeight="1" s="95">
      <c r="A441" s="97" t="inlineStr">
        <is>
          <t>anonymus0440</t>
        </is>
      </c>
      <c r="B441" s="97" t="inlineStr">
        <is>
          <t>L</t>
        </is>
      </c>
      <c r="C441" s="97" t="inlineStr">
        <is>
          <t>35-69 Bulan</t>
        </is>
      </c>
      <c r="D441" s="97" t="n">
        <v>10.3</v>
      </c>
      <c r="E441" s="97" t="n">
        <v>99</v>
      </c>
      <c r="F441" s="97" t="inlineStr">
        <is>
          <t>Berat Badan Normal</t>
        </is>
      </c>
      <c r="G441" s="97" t="inlineStr">
        <is>
          <t>Normal</t>
        </is>
      </c>
      <c r="H441" s="97" t="inlineStr">
        <is>
          <t>Gizi Baik</t>
        </is>
      </c>
      <c r="I441" s="98" t="inlineStr">
        <is>
          <t>Ya</t>
        </is>
      </c>
      <c r="J441" s="98">
        <f>IF(G441="Normal","Tidak",IF(G441="Pendek","Potensi Stunting",IF(G441="Sangat Pendek","Stunting","")))</f>
        <v/>
      </c>
    </row>
    <row r="442" ht="15.75" customHeight="1" s="95">
      <c r="A442" s="97" t="inlineStr">
        <is>
          <t>anonymus0441</t>
        </is>
      </c>
      <c r="B442" s="97" t="inlineStr">
        <is>
          <t>P</t>
        </is>
      </c>
      <c r="C442" s="97" t="inlineStr">
        <is>
          <t>1-34 Bulan</t>
        </is>
      </c>
      <c r="D442" s="97" t="n">
        <v>10.8</v>
      </c>
      <c r="E442" s="97" t="n">
        <v>96</v>
      </c>
      <c r="F442" s="97" t="inlineStr">
        <is>
          <t>Berat Badan Normal</t>
        </is>
      </c>
      <c r="G442" s="97" t="inlineStr">
        <is>
          <t>Normal</t>
        </is>
      </c>
      <c r="H442" s="97" t="inlineStr">
        <is>
          <t>Gizi Baik</t>
        </is>
      </c>
      <c r="I442" s="98" t="inlineStr">
        <is>
          <t>Ya</t>
        </is>
      </c>
      <c r="J442" s="98">
        <f>IF(G442="Normal","Tidak",IF(G442="Pendek","Potensi Stunting",IF(G442="Sangat Pendek","Stunting","")))</f>
        <v/>
      </c>
    </row>
    <row r="443" ht="15.75" customHeight="1" s="95">
      <c r="A443" s="97" t="inlineStr">
        <is>
          <t>anonymus0442</t>
        </is>
      </c>
      <c r="B443" s="97" t="inlineStr">
        <is>
          <t>P</t>
        </is>
      </c>
      <c r="C443" s="97" t="inlineStr">
        <is>
          <t>1-34 Bulan</t>
        </is>
      </c>
      <c r="D443" s="97" t="n">
        <v>10.6</v>
      </c>
      <c r="E443" s="97" t="n">
        <v>91</v>
      </c>
      <c r="F443" s="97" t="inlineStr">
        <is>
          <t>Normal</t>
        </is>
      </c>
      <c r="G443" s="97" t="inlineStr">
        <is>
          <t>Normal</t>
        </is>
      </c>
      <c r="H443" s="97" t="inlineStr">
        <is>
          <t>Gizi Kurang</t>
        </is>
      </c>
      <c r="I443" s="98" t="inlineStr">
        <is>
          <t>Ya</t>
        </is>
      </c>
      <c r="J443" s="98">
        <f>IF(G443="Normal","Tidak",IF(G443="Pendek","Potensi Stunting",IF(G443="Sangat Pendek","Stunting","")))</f>
        <v/>
      </c>
    </row>
    <row r="444" ht="15.75" customHeight="1" s="95">
      <c r="A444" s="97" t="inlineStr">
        <is>
          <t>anonymus0443</t>
        </is>
      </c>
      <c r="B444" s="97" t="inlineStr">
        <is>
          <t>L</t>
        </is>
      </c>
      <c r="C444" s="97" t="inlineStr">
        <is>
          <t>35-69 Bulan</t>
        </is>
      </c>
      <c r="D444" s="97" t="n">
        <v>11.3</v>
      </c>
      <c r="E444" s="97" t="n">
        <v>92</v>
      </c>
      <c r="F444" s="97" t="inlineStr">
        <is>
          <t>Kurang</t>
        </is>
      </c>
      <c r="G444" s="97" t="inlineStr">
        <is>
          <t>Pendek</t>
        </is>
      </c>
      <c r="H444" s="97" t="inlineStr">
        <is>
          <t>Gizi Baik</t>
        </is>
      </c>
      <c r="I444" s="98" t="inlineStr">
        <is>
          <t>Ya</t>
        </is>
      </c>
      <c r="J444" s="98">
        <f>IF(G444="Normal","Tidak",IF(G444="Pendek","Potensi Stunting",IF(G444="Sangat Pendek","Stunting","")))</f>
        <v/>
      </c>
    </row>
    <row r="445" ht="15.75" customHeight="1" s="95">
      <c r="A445" s="97" t="inlineStr">
        <is>
          <t>anonymus0444</t>
        </is>
      </c>
      <c r="B445" s="97" t="inlineStr">
        <is>
          <t>L</t>
        </is>
      </c>
      <c r="C445" s="97" t="inlineStr">
        <is>
          <t>1-34 Bulan</t>
        </is>
      </c>
      <c r="D445" s="97" t="n">
        <v>12.5</v>
      </c>
      <c r="E445" s="97" t="n">
        <v>96</v>
      </c>
      <c r="F445" s="97" t="inlineStr">
        <is>
          <t>Berat Badan Normal</t>
        </is>
      </c>
      <c r="G445" s="97" t="inlineStr">
        <is>
          <t>Normal</t>
        </is>
      </c>
      <c r="H445" s="97" t="inlineStr">
        <is>
          <t>Gizi Baik</t>
        </is>
      </c>
      <c r="I445" s="98" t="inlineStr">
        <is>
          <t>Ya</t>
        </is>
      </c>
      <c r="J445" s="98">
        <f>IF(G445="Normal","Tidak",IF(G445="Pendek","Potensi Stunting",IF(G445="Sangat Pendek","Stunting","")))</f>
        <v/>
      </c>
    </row>
    <row r="446" ht="15.75" customHeight="1" s="95">
      <c r="A446" s="97" t="inlineStr">
        <is>
          <t>anonymus0445</t>
        </is>
      </c>
      <c r="B446" s="97" t="inlineStr">
        <is>
          <t>P</t>
        </is>
      </c>
      <c r="C446" s="97" t="inlineStr">
        <is>
          <t>35-69 Bulan</t>
        </is>
      </c>
      <c r="D446" s="97" t="n">
        <v>13.3</v>
      </c>
      <c r="E446" s="97" t="n">
        <v>97</v>
      </c>
      <c r="F446" s="97" t="inlineStr">
        <is>
          <t>Normal</t>
        </is>
      </c>
      <c r="G446" s="97" t="inlineStr">
        <is>
          <t>Pendek</t>
        </is>
      </c>
      <c r="H446" s="97" t="inlineStr">
        <is>
          <t>Gizi Baik</t>
        </is>
      </c>
      <c r="I446" s="98" t="inlineStr">
        <is>
          <t>Ya</t>
        </is>
      </c>
      <c r="J446" s="98">
        <f>IF(G446="Normal","Tidak",IF(G446="Pendek","Potensi Stunting",IF(G446="Sangat Pendek","Stunting","")))</f>
        <v/>
      </c>
    </row>
    <row r="447" ht="15.75" customHeight="1" s="95">
      <c r="A447" s="97" t="inlineStr">
        <is>
          <t>anonymus0446</t>
        </is>
      </c>
      <c r="B447" s="97" t="inlineStr">
        <is>
          <t xml:space="preserve">P </t>
        </is>
      </c>
      <c r="C447" s="97" t="inlineStr">
        <is>
          <t>35-69 Bulan</t>
        </is>
      </c>
      <c r="D447" s="97" t="inlineStr">
        <is>
          <t>15.8</t>
        </is>
      </c>
      <c r="E447" s="97" t="n">
        <v>101</v>
      </c>
      <c r="F447" s="97" t="inlineStr">
        <is>
          <t>Berat Badan Normal</t>
        </is>
      </c>
      <c r="G447" s="97" t="inlineStr">
        <is>
          <t>Normal</t>
        </is>
      </c>
      <c r="H447" s="97" t="inlineStr">
        <is>
          <t>Gizi Baik</t>
        </is>
      </c>
      <c r="I447" s="98" t="inlineStr">
        <is>
          <t>Ya</t>
        </is>
      </c>
      <c r="J447" s="98">
        <f>IF(G447="Normal","Tidak",IF(G447="Pendek","Potensi Stunting",IF(G447="Sangat Pendek","Stunting","")))</f>
        <v/>
      </c>
    </row>
    <row r="448" ht="15.75" customHeight="1" s="95">
      <c r="A448" s="97" t="inlineStr">
        <is>
          <t>anonymus0447</t>
        </is>
      </c>
      <c r="B448" s="97" t="inlineStr">
        <is>
          <t xml:space="preserve">L </t>
        </is>
      </c>
      <c r="C448" s="97" t="inlineStr">
        <is>
          <t>1-34 Bulan</t>
        </is>
      </c>
      <c r="D448" s="97" t="inlineStr">
        <is>
          <t>7.5</t>
        </is>
      </c>
      <c r="E448" s="97" t="n">
        <v>64</v>
      </c>
      <c r="F448" s="97" t="inlineStr">
        <is>
          <t>Berat Badan Normal</t>
        </is>
      </c>
      <c r="G448" s="97" t="inlineStr">
        <is>
          <t>Normal</t>
        </is>
      </c>
      <c r="H448" s="97" t="inlineStr">
        <is>
          <t>Gizi Baik</t>
        </is>
      </c>
      <c r="I448" s="98" t="inlineStr">
        <is>
          <t>Ya</t>
        </is>
      </c>
      <c r="J448" s="98">
        <f>IF(G448="Normal","Tidak",IF(G448="Pendek","Potensi Stunting",IF(G448="Sangat Pendek","Stunting","")))</f>
        <v/>
      </c>
    </row>
    <row r="449" ht="15.75" customHeight="1" s="95">
      <c r="A449" s="97" t="inlineStr">
        <is>
          <t>anonymus0448</t>
        </is>
      </c>
      <c r="B449" s="97" t="inlineStr">
        <is>
          <t>P</t>
        </is>
      </c>
      <c r="C449" s="97" t="inlineStr">
        <is>
          <t>35-69 Bulan</t>
        </is>
      </c>
      <c r="D449" s="97" t="n">
        <v>16.2</v>
      </c>
      <c r="E449" s="97" t="n">
        <v>112</v>
      </c>
      <c r="F449" s="97" t="inlineStr">
        <is>
          <t>Berat Badan Normal</t>
        </is>
      </c>
      <c r="G449" s="97" t="inlineStr">
        <is>
          <t>Normal</t>
        </is>
      </c>
      <c r="H449" s="97" t="inlineStr">
        <is>
          <t>Gizi Baik</t>
        </is>
      </c>
      <c r="I449" s="98" t="inlineStr">
        <is>
          <t>Ya</t>
        </is>
      </c>
      <c r="J449" s="98">
        <f>IF(G449="Normal","Tidak",IF(G449="Pendek","Potensi Stunting",IF(G449="Sangat Pendek","Stunting","")))</f>
        <v/>
      </c>
    </row>
    <row r="450" ht="15.75" customHeight="1" s="95">
      <c r="A450" s="97" t="inlineStr">
        <is>
          <t>anonymus0449</t>
        </is>
      </c>
      <c r="B450" s="97" t="inlineStr">
        <is>
          <t xml:space="preserve">P </t>
        </is>
      </c>
      <c r="C450" s="97" t="inlineStr">
        <is>
          <t>35-69 Bulan</t>
        </is>
      </c>
      <c r="D450" s="97" t="n">
        <v>10</v>
      </c>
      <c r="E450" s="97" t="n">
        <v>83</v>
      </c>
      <c r="F450" s="97" t="inlineStr">
        <is>
          <t>Kurang</t>
        </is>
      </c>
      <c r="G450" s="97" t="inlineStr">
        <is>
          <t>Pendek</t>
        </is>
      </c>
      <c r="H450" s="97" t="inlineStr">
        <is>
          <t>Gizi Baik</t>
        </is>
      </c>
      <c r="I450" s="98" t="inlineStr">
        <is>
          <t>Ya</t>
        </is>
      </c>
      <c r="J450" s="98">
        <f>IF(G450="Normal","Tidak",IF(G450="Pendek","Potensi Stunting",IF(G450="Sangat Pendek","Stunting","")))</f>
        <v/>
      </c>
    </row>
    <row r="451" ht="15.75" customHeight="1" s="95">
      <c r="A451" s="97" t="inlineStr">
        <is>
          <t>anonymus0450</t>
        </is>
      </c>
      <c r="B451" s="97" t="inlineStr">
        <is>
          <t xml:space="preserve">L </t>
        </is>
      </c>
      <c r="C451" s="97" t="inlineStr">
        <is>
          <t>35-69 Bulan</t>
        </is>
      </c>
      <c r="D451" s="97" t="n">
        <v>17</v>
      </c>
      <c r="E451" s="97" t="n">
        <v>107</v>
      </c>
      <c r="F451" s="97" t="inlineStr">
        <is>
          <t>Berat Badan Normal</t>
        </is>
      </c>
      <c r="G451" s="97" t="inlineStr">
        <is>
          <t>Normal</t>
        </is>
      </c>
      <c r="H451" s="97" t="inlineStr">
        <is>
          <t>Gizi Baik</t>
        </is>
      </c>
      <c r="I451" s="98" t="inlineStr">
        <is>
          <t>Ya</t>
        </is>
      </c>
      <c r="J451" s="98">
        <f>IF(G451="Normal","Tidak",IF(G451="Pendek","Potensi Stunting",IF(G451="Sangat Pendek","Stunting","")))</f>
        <v/>
      </c>
    </row>
    <row r="452" ht="15.75" customHeight="1" s="95">
      <c r="A452" s="97" t="inlineStr">
        <is>
          <t>anonymus0451</t>
        </is>
      </c>
      <c r="B452" s="97" t="inlineStr">
        <is>
          <t>P</t>
        </is>
      </c>
      <c r="C452" s="97" t="inlineStr">
        <is>
          <t>1-34 Bulan</t>
        </is>
      </c>
      <c r="D452" s="97" t="n">
        <v>11.7</v>
      </c>
      <c r="E452" s="97" t="n">
        <v>95</v>
      </c>
      <c r="F452" s="97" t="inlineStr">
        <is>
          <t>Berat Badan Normal</t>
        </is>
      </c>
      <c r="G452" s="97" t="inlineStr">
        <is>
          <t>Normal</t>
        </is>
      </c>
      <c r="H452" s="97" t="inlineStr">
        <is>
          <t>Gizi Baik</t>
        </is>
      </c>
      <c r="I452" s="98" t="inlineStr">
        <is>
          <t>Ya</t>
        </is>
      </c>
      <c r="J452" s="98">
        <f>IF(G452="Normal","Tidak",IF(G452="Pendek","Potensi Stunting",IF(G452="Sangat Pendek","Stunting","")))</f>
        <v/>
      </c>
    </row>
    <row r="453" ht="15.75" customHeight="1" s="95">
      <c r="A453" s="97" t="inlineStr">
        <is>
          <t>anonymus0452</t>
        </is>
      </c>
      <c r="B453" s="97" t="inlineStr">
        <is>
          <t>P</t>
        </is>
      </c>
      <c r="C453" s="97" t="inlineStr">
        <is>
          <t>35-69 Bulan</t>
        </is>
      </c>
      <c r="D453" s="97" t="n">
        <v>13.4</v>
      </c>
      <c r="E453" s="97" t="n">
        <v>89.3</v>
      </c>
      <c r="F453" s="97" t="inlineStr">
        <is>
          <t>Normal</t>
        </is>
      </c>
      <c r="G453" s="97" t="inlineStr">
        <is>
          <t>Pendek</t>
        </is>
      </c>
      <c r="H453" s="97" t="inlineStr">
        <is>
          <t>Gizi Baik</t>
        </is>
      </c>
      <c r="I453" s="98" t="inlineStr">
        <is>
          <t>Ya</t>
        </is>
      </c>
      <c r="J453" s="98">
        <f>IF(G453="Normal","Tidak",IF(G453="Pendek","Potensi Stunting",IF(G453="Sangat Pendek","Stunting","")))</f>
        <v/>
      </c>
    </row>
    <row r="454" ht="15.75" customHeight="1" s="95">
      <c r="A454" s="97" t="inlineStr">
        <is>
          <t>anonymus0453</t>
        </is>
      </c>
      <c r="B454" s="97" t="inlineStr">
        <is>
          <t>L</t>
        </is>
      </c>
      <c r="C454" s="97" t="inlineStr">
        <is>
          <t>1-34 Bulan</t>
        </is>
      </c>
      <c r="D454" s="97" t="n">
        <v>9.4</v>
      </c>
      <c r="E454" s="97" t="n">
        <v>81</v>
      </c>
      <c r="F454" s="97" t="inlineStr">
        <is>
          <t>Berat Badan Normal</t>
        </is>
      </c>
      <c r="G454" s="97" t="inlineStr">
        <is>
          <t>Normal</t>
        </is>
      </c>
      <c r="H454" s="97" t="inlineStr">
        <is>
          <t>Gizi Baik</t>
        </is>
      </c>
      <c r="I454" s="98" t="inlineStr">
        <is>
          <t>Ya</t>
        </is>
      </c>
      <c r="J454" s="98">
        <f>IF(G454="Normal","Tidak",IF(G454="Pendek","Potensi Stunting",IF(G454="Sangat Pendek","Stunting","")))</f>
        <v/>
      </c>
    </row>
    <row r="455" ht="15.75" customHeight="1" s="95">
      <c r="A455" s="97" t="inlineStr">
        <is>
          <t>anonymus0454</t>
        </is>
      </c>
      <c r="B455" s="97" t="inlineStr">
        <is>
          <t xml:space="preserve">P </t>
        </is>
      </c>
      <c r="C455" s="97" t="inlineStr">
        <is>
          <t>35-69 Bulan</t>
        </is>
      </c>
      <c r="D455" s="97" t="inlineStr">
        <is>
          <t>16.7</t>
        </is>
      </c>
      <c r="E455" s="97" t="n">
        <v>98</v>
      </c>
      <c r="F455" s="97" t="inlineStr">
        <is>
          <t>Berat Badan Normal</t>
        </is>
      </c>
      <c r="G455" s="97" t="inlineStr">
        <is>
          <t>Normal</t>
        </is>
      </c>
      <c r="H455" s="97" t="inlineStr">
        <is>
          <t>Risiko Gizi Lebih</t>
        </is>
      </c>
      <c r="I455" s="98" t="inlineStr">
        <is>
          <t>Ya</t>
        </is>
      </c>
      <c r="J455" s="98">
        <f>IF(G455="Normal","Tidak",IF(G455="Pendek","Potensi Stunting",IF(G455="Sangat Pendek","Stunting","")))</f>
        <v/>
      </c>
    </row>
    <row r="456" ht="15.75" customHeight="1" s="95">
      <c r="A456" s="97" t="inlineStr">
        <is>
          <t>anonymus0455</t>
        </is>
      </c>
      <c r="B456" s="97" t="inlineStr">
        <is>
          <t>L</t>
        </is>
      </c>
      <c r="C456" s="97" t="inlineStr">
        <is>
          <t>35-69 Bulan</t>
        </is>
      </c>
      <c r="D456" s="97" t="n">
        <v>12.6</v>
      </c>
      <c r="E456" s="97" t="n">
        <v>112</v>
      </c>
      <c r="F456" s="97" t="inlineStr">
        <is>
          <t>Berat Badan Normal</t>
        </is>
      </c>
      <c r="G456" s="97" t="inlineStr">
        <is>
          <t>Normal</t>
        </is>
      </c>
      <c r="H456" s="97" t="inlineStr">
        <is>
          <t>Gizi Baik</t>
        </is>
      </c>
      <c r="I456" s="98" t="inlineStr">
        <is>
          <t>Ya</t>
        </is>
      </c>
      <c r="J456" s="98">
        <f>IF(G456="Normal","Tidak",IF(G456="Pendek","Potensi Stunting",IF(G456="Sangat Pendek","Stunting","")))</f>
        <v/>
      </c>
    </row>
    <row r="457" ht="15.75" customHeight="1" s="95">
      <c r="A457" s="97" t="inlineStr">
        <is>
          <t>anonymus0456</t>
        </is>
      </c>
      <c r="B457" s="97" t="inlineStr">
        <is>
          <t xml:space="preserve">L </t>
        </is>
      </c>
      <c r="C457" s="97" t="inlineStr">
        <is>
          <t>1-34 Bulan</t>
        </is>
      </c>
      <c r="D457" s="97" t="inlineStr">
        <is>
          <t>8.5</t>
        </is>
      </c>
      <c r="E457" s="97" t="n">
        <v>69</v>
      </c>
      <c r="F457" s="97" t="inlineStr">
        <is>
          <t>Berat Badan Normal</t>
        </is>
      </c>
      <c r="G457" s="97" t="inlineStr">
        <is>
          <t>Normal</t>
        </is>
      </c>
      <c r="H457" s="97" t="inlineStr">
        <is>
          <t>Gizi Baik</t>
        </is>
      </c>
      <c r="I457" s="98" t="inlineStr">
        <is>
          <t>Ya</t>
        </is>
      </c>
      <c r="J457" s="98">
        <f>IF(G457="Normal","Tidak",IF(G457="Pendek","Potensi Stunting",IF(G457="Sangat Pendek","Stunting","")))</f>
        <v/>
      </c>
    </row>
    <row r="458" ht="15.75" customHeight="1" s="95">
      <c r="A458" s="97" t="inlineStr">
        <is>
          <t>anonymus0457</t>
        </is>
      </c>
      <c r="B458" s="97" t="inlineStr">
        <is>
          <t xml:space="preserve">L </t>
        </is>
      </c>
      <c r="C458" s="97" t="inlineStr">
        <is>
          <t>35-69 Bulan</t>
        </is>
      </c>
      <c r="D458" s="97" t="inlineStr">
        <is>
          <t>18.9</t>
        </is>
      </c>
      <c r="E458" s="97" t="n">
        <v>105</v>
      </c>
      <c r="F458" s="97" t="inlineStr">
        <is>
          <t>Berat Badan Normal</t>
        </is>
      </c>
      <c r="G458" s="97" t="inlineStr">
        <is>
          <t>Normal</t>
        </is>
      </c>
      <c r="H458" s="97" t="inlineStr">
        <is>
          <t>Risiko Gizi Lebih</t>
        </is>
      </c>
      <c r="I458" s="98" t="inlineStr">
        <is>
          <t>Ya</t>
        </is>
      </c>
      <c r="J458" s="98">
        <f>IF(G458="Normal","Tidak",IF(G458="Pendek","Potensi Stunting",IF(G458="Sangat Pendek","Stunting","")))</f>
        <v/>
      </c>
    </row>
    <row r="459" ht="15.75" customHeight="1" s="95">
      <c r="A459" s="97" t="inlineStr">
        <is>
          <t>anonymus0458</t>
        </is>
      </c>
      <c r="B459" s="97" t="inlineStr">
        <is>
          <t>L</t>
        </is>
      </c>
      <c r="C459" s="97" t="inlineStr">
        <is>
          <t>35-69 Bulan</t>
        </is>
      </c>
      <c r="D459" s="97" t="n">
        <v>10.9</v>
      </c>
      <c r="E459" s="97" t="n">
        <v>82</v>
      </c>
      <c r="F459" s="97" t="inlineStr">
        <is>
          <t>Normal</t>
        </is>
      </c>
      <c r="G459" s="97" t="inlineStr">
        <is>
          <t>Sangat Pendek</t>
        </is>
      </c>
      <c r="H459" s="97" t="inlineStr">
        <is>
          <t>Gizi Baik</t>
        </is>
      </c>
      <c r="I459" s="98" t="inlineStr">
        <is>
          <t>Ya</t>
        </is>
      </c>
      <c r="J459" s="98">
        <f>IF(G459="Normal","Tidak",IF(G459="Pendek","Potensi Stunting",IF(G459="Sangat Pendek","Stunting","")))</f>
        <v/>
      </c>
    </row>
    <row r="460" ht="15.75" customHeight="1" s="95">
      <c r="A460" s="97" t="inlineStr">
        <is>
          <t>anonymus0459</t>
        </is>
      </c>
      <c r="B460" s="97" t="inlineStr">
        <is>
          <t>L</t>
        </is>
      </c>
      <c r="C460" s="97" t="inlineStr">
        <is>
          <t>35-69 Bulan</t>
        </is>
      </c>
      <c r="D460" s="97" t="n">
        <v>12.2</v>
      </c>
      <c r="E460" s="97" t="n">
        <v>95</v>
      </c>
      <c r="F460" s="97" t="inlineStr">
        <is>
          <t>Kurang</t>
        </is>
      </c>
      <c r="G460" s="97" t="inlineStr">
        <is>
          <t>Pendek</t>
        </is>
      </c>
      <c r="H460" s="97" t="inlineStr">
        <is>
          <t>Gizi Baik</t>
        </is>
      </c>
      <c r="I460" s="98" t="inlineStr">
        <is>
          <t>Ya</t>
        </is>
      </c>
      <c r="J460" s="98">
        <f>IF(G460="Normal","Tidak",IF(G460="Pendek","Potensi Stunting",IF(G460="Sangat Pendek","Stunting","")))</f>
        <v/>
      </c>
    </row>
    <row r="461" ht="15.75" customHeight="1" s="95">
      <c r="A461" s="97" t="inlineStr">
        <is>
          <t>anonymus0460</t>
        </is>
      </c>
      <c r="B461" s="97" t="inlineStr">
        <is>
          <t>L</t>
        </is>
      </c>
      <c r="C461" s="97" t="inlineStr">
        <is>
          <t>35-69 Bulan</t>
        </is>
      </c>
      <c r="D461" s="97" t="n">
        <v>10.1</v>
      </c>
      <c r="E461" s="97" t="n">
        <v>81</v>
      </c>
      <c r="F461" s="97" t="inlineStr">
        <is>
          <t>Kurang</t>
        </is>
      </c>
      <c r="G461" s="97" t="inlineStr">
        <is>
          <t>Pendek</t>
        </is>
      </c>
      <c r="H461" s="97" t="inlineStr">
        <is>
          <t>Gizi Baik</t>
        </is>
      </c>
      <c r="I461" s="98" t="inlineStr">
        <is>
          <t>Ya</t>
        </is>
      </c>
      <c r="J461" s="98">
        <f>IF(G461="Normal","Tidak",IF(G461="Pendek","Potensi Stunting",IF(G461="Sangat Pendek","Stunting","")))</f>
        <v/>
      </c>
    </row>
    <row r="462" ht="15.75" customHeight="1" s="95">
      <c r="A462" s="97" t="inlineStr">
        <is>
          <t>anonymus0461</t>
        </is>
      </c>
      <c r="B462" s="97" t="inlineStr">
        <is>
          <t>L</t>
        </is>
      </c>
      <c r="C462" s="97" t="inlineStr">
        <is>
          <t>35-69 Bulan</t>
        </is>
      </c>
      <c r="D462" s="97" t="n">
        <v>10.6</v>
      </c>
      <c r="E462" s="97" t="n">
        <v>87</v>
      </c>
      <c r="F462" s="97" t="inlineStr">
        <is>
          <t>Kurang</t>
        </is>
      </c>
      <c r="G462" s="97" t="inlineStr">
        <is>
          <t>Pendek</t>
        </is>
      </c>
      <c r="H462" s="97" t="inlineStr">
        <is>
          <t>Gizi Baik</t>
        </is>
      </c>
      <c r="I462" s="98" t="inlineStr">
        <is>
          <t>Ya</t>
        </is>
      </c>
      <c r="J462" s="98">
        <f>IF(G462="Normal","Tidak",IF(G462="Pendek","Potensi Stunting",IF(G462="Sangat Pendek","Stunting","")))</f>
        <v/>
      </c>
    </row>
    <row r="463" ht="15.75" customHeight="1" s="95">
      <c r="A463" s="97" t="inlineStr">
        <is>
          <t>anonymus0462</t>
        </is>
      </c>
      <c r="B463" s="97" t="inlineStr">
        <is>
          <t>P</t>
        </is>
      </c>
      <c r="C463" s="97" t="inlineStr">
        <is>
          <t>35-69 Bulan</t>
        </is>
      </c>
      <c r="D463" s="97" t="n">
        <v>9</v>
      </c>
      <c r="E463" s="97" t="n">
        <v>82</v>
      </c>
      <c r="F463" s="97" t="inlineStr">
        <is>
          <t>Kurang</t>
        </is>
      </c>
      <c r="G463" s="97" t="inlineStr">
        <is>
          <t>Pendek</t>
        </is>
      </c>
      <c r="H463" s="97" t="inlineStr">
        <is>
          <t>Gizi Baik</t>
        </is>
      </c>
      <c r="I463" s="98" t="inlineStr">
        <is>
          <t>Ya</t>
        </is>
      </c>
      <c r="J463" s="98">
        <f>IF(G463="Normal","Tidak",IF(G463="Pendek","Potensi Stunting",IF(G463="Sangat Pendek","Stunting","")))</f>
        <v/>
      </c>
    </row>
    <row r="464" ht="15.75" customHeight="1" s="95">
      <c r="A464" s="97" t="inlineStr">
        <is>
          <t>anonymus0463</t>
        </is>
      </c>
      <c r="B464" s="97" t="inlineStr">
        <is>
          <t>P</t>
        </is>
      </c>
      <c r="C464" s="97" t="inlineStr">
        <is>
          <t>35-69 Bulan</t>
        </is>
      </c>
      <c r="D464" s="97" t="n">
        <v>7.4</v>
      </c>
      <c r="E464" s="97" t="n">
        <v>71</v>
      </c>
      <c r="F464" s="97" t="inlineStr">
        <is>
          <t>Sangat Kurang</t>
        </is>
      </c>
      <c r="G464" s="97" t="inlineStr">
        <is>
          <t>Sangat Pendek</t>
        </is>
      </c>
      <c r="H464" s="97" t="inlineStr">
        <is>
          <t>Gizi Baik</t>
        </is>
      </c>
      <c r="I464" s="98" t="inlineStr">
        <is>
          <t>Ya</t>
        </is>
      </c>
      <c r="J464" s="98">
        <f>IF(G464="Normal","Tidak",IF(G464="Pendek","Potensi Stunting",IF(G464="Sangat Pendek","Stunting","")))</f>
        <v/>
      </c>
    </row>
    <row r="465" ht="15.75" customHeight="1" s="95">
      <c r="A465" s="99" t="inlineStr">
        <is>
          <t>anonymus0464</t>
        </is>
      </c>
      <c r="B465" s="97" t="inlineStr">
        <is>
          <t>L</t>
        </is>
      </c>
      <c r="C465" s="97" t="n">
        <v>74</v>
      </c>
      <c r="D465" s="97" t="n">
        <v>10.7</v>
      </c>
      <c r="E465" s="97" t="n">
        <v>87</v>
      </c>
      <c r="F465" s="97" t="inlineStr">
        <is>
          <t>Kurang</t>
        </is>
      </c>
      <c r="G465" s="97" t="inlineStr">
        <is>
          <t>Pendek</t>
        </is>
      </c>
      <c r="H465" s="97" t="inlineStr">
        <is>
          <t>Gizi Baik</t>
        </is>
      </c>
      <c r="I465" s="98" t="inlineStr">
        <is>
          <t>Ya</t>
        </is>
      </c>
      <c r="J465" s="98">
        <f>IF(G465="Normal","Tidak",IF(G465="Pendek","Potensi Stunting",IF(G465="Sangat Pendek","Stunting","")))</f>
        <v/>
      </c>
    </row>
    <row r="466" ht="15.75" customHeight="1" s="95">
      <c r="A466" s="97" t="inlineStr">
        <is>
          <t>anonymus0465</t>
        </is>
      </c>
      <c r="B466" s="97" t="inlineStr">
        <is>
          <t>P</t>
        </is>
      </c>
      <c r="C466" s="97" t="inlineStr">
        <is>
          <t>35-69 Bulan</t>
        </is>
      </c>
      <c r="D466" s="97" t="n">
        <v>8.9</v>
      </c>
      <c r="E466" s="97" t="n">
        <v>80</v>
      </c>
      <c r="F466" s="97" t="inlineStr">
        <is>
          <t>Kurang</t>
        </is>
      </c>
      <c r="G466" s="97" t="inlineStr">
        <is>
          <t>Pendek</t>
        </is>
      </c>
      <c r="H466" s="97" t="inlineStr">
        <is>
          <t>Gizi Baik</t>
        </is>
      </c>
      <c r="I466" s="98" t="inlineStr">
        <is>
          <t>Ya</t>
        </is>
      </c>
      <c r="J466" s="98">
        <f>IF(G466="Normal","Tidak",IF(G466="Pendek","Potensi Stunting",IF(G466="Sangat Pendek","Stunting","")))</f>
        <v/>
      </c>
    </row>
    <row r="467" ht="15.75" customHeight="1" s="95">
      <c r="A467" s="97" t="inlineStr">
        <is>
          <t>anonymus0466</t>
        </is>
      </c>
      <c r="B467" s="97" t="inlineStr">
        <is>
          <t xml:space="preserve">L </t>
        </is>
      </c>
      <c r="C467" s="97" t="inlineStr">
        <is>
          <t>1-34 Bulan</t>
        </is>
      </c>
      <c r="D467" s="97" t="n">
        <v>10</v>
      </c>
      <c r="E467" s="97" t="n">
        <v>82</v>
      </c>
      <c r="F467" s="97" t="inlineStr">
        <is>
          <t>Berat Badan Normal</t>
        </is>
      </c>
      <c r="G467" s="97" t="inlineStr">
        <is>
          <t>Normal</t>
        </is>
      </c>
      <c r="H467" s="97" t="inlineStr">
        <is>
          <t>Gizi Baik</t>
        </is>
      </c>
      <c r="I467" s="98" t="inlineStr">
        <is>
          <t>Ya</t>
        </is>
      </c>
      <c r="J467" s="98">
        <f>IF(G467="Normal","Tidak",IF(G467="Pendek","Potensi Stunting",IF(G467="Sangat Pendek","Stunting","")))</f>
        <v/>
      </c>
    </row>
    <row r="468" ht="15.75" customHeight="1" s="95">
      <c r="A468" s="97" t="inlineStr">
        <is>
          <t>anonymus0467</t>
        </is>
      </c>
      <c r="B468" s="97" t="inlineStr">
        <is>
          <t>L</t>
        </is>
      </c>
      <c r="C468" s="97" t="inlineStr">
        <is>
          <t>35-69 Bulan</t>
        </is>
      </c>
      <c r="D468" s="97" t="n">
        <v>8.300000000000001</v>
      </c>
      <c r="E468" s="97" t="n">
        <v>71.09999999999999</v>
      </c>
      <c r="F468" s="97" t="inlineStr">
        <is>
          <t>Kurang</t>
        </is>
      </c>
      <c r="G468" s="97" t="inlineStr">
        <is>
          <t>Sangat Pendek</t>
        </is>
      </c>
      <c r="H468" s="97" t="inlineStr">
        <is>
          <t>Gizi Baik</t>
        </is>
      </c>
      <c r="I468" s="98" t="inlineStr">
        <is>
          <t>Ya</t>
        </is>
      </c>
      <c r="J468" s="98">
        <f>IF(G468="Normal","Tidak",IF(G468="Pendek","Potensi Stunting",IF(G468="Sangat Pendek","Stunting","")))</f>
        <v/>
      </c>
    </row>
    <row r="469" ht="15.75" customHeight="1" s="95">
      <c r="A469" s="97" t="inlineStr">
        <is>
          <t>anonymus0468</t>
        </is>
      </c>
      <c r="B469" s="97" t="inlineStr">
        <is>
          <t>P</t>
        </is>
      </c>
      <c r="C469" s="97" t="inlineStr">
        <is>
          <t>35-69 Bulan</t>
        </is>
      </c>
      <c r="D469" s="97" t="n">
        <v>19.5</v>
      </c>
      <c r="E469" s="97" t="n">
        <v>118</v>
      </c>
      <c r="F469" s="97" t="inlineStr">
        <is>
          <t>Risiko Lebih</t>
        </is>
      </c>
      <c r="G469" s="97" t="inlineStr">
        <is>
          <t>Normal</t>
        </is>
      </c>
      <c r="H469" s="97" t="inlineStr">
        <is>
          <t>Gizi Lebih</t>
        </is>
      </c>
      <c r="I469" s="98" t="inlineStr">
        <is>
          <t>Ya</t>
        </is>
      </c>
      <c r="J469" s="98">
        <f>IF(G469="Normal","Tidak",IF(G469="Pendek","Potensi Stunting",IF(G469="Sangat Pendek","Stunting","")))</f>
        <v/>
      </c>
    </row>
    <row r="470" ht="15.75" customHeight="1" s="95">
      <c r="A470" s="97" t="inlineStr">
        <is>
          <t>anonymus0469</t>
        </is>
      </c>
      <c r="B470" s="97" t="inlineStr">
        <is>
          <t>P</t>
        </is>
      </c>
      <c r="C470" s="97" t="inlineStr">
        <is>
          <t>1-34 Bulan</t>
        </is>
      </c>
      <c r="D470" s="97" t="n">
        <v>14</v>
      </c>
      <c r="E470" s="97" t="n">
        <v>77</v>
      </c>
      <c r="F470" s="97" t="inlineStr">
        <is>
          <t>Berat Badan Normal</t>
        </is>
      </c>
      <c r="G470" s="97" t="inlineStr">
        <is>
          <t>Normal</t>
        </is>
      </c>
      <c r="H470" s="97" t="inlineStr">
        <is>
          <t>Gizi Baik</t>
        </is>
      </c>
      <c r="I470" s="98" t="inlineStr">
        <is>
          <t>Ya</t>
        </is>
      </c>
      <c r="J470" s="98">
        <f>IF(G470="Normal","Tidak",IF(G470="Pendek","Potensi Stunting",IF(G470="Sangat Pendek","Stunting","")))</f>
        <v/>
      </c>
    </row>
    <row r="471" ht="15.75" customHeight="1" s="95">
      <c r="A471" s="97" t="inlineStr">
        <is>
          <t>anonymus0470</t>
        </is>
      </c>
      <c r="B471" s="97" t="inlineStr">
        <is>
          <t xml:space="preserve">L </t>
        </is>
      </c>
      <c r="C471" s="97" t="inlineStr">
        <is>
          <t>35-69 Bulan</t>
        </is>
      </c>
      <c r="D471" s="97" t="inlineStr">
        <is>
          <t>17.9</t>
        </is>
      </c>
      <c r="E471" s="97" t="n">
        <v>104</v>
      </c>
      <c r="F471" s="97" t="inlineStr">
        <is>
          <t>Berat Badan Normal</t>
        </is>
      </c>
      <c r="G471" s="97" t="inlineStr">
        <is>
          <t>Normal</t>
        </is>
      </c>
      <c r="H471" s="97" t="inlineStr">
        <is>
          <t>Gizi Baik</t>
        </is>
      </c>
      <c r="I471" s="98" t="inlineStr">
        <is>
          <t>Ya</t>
        </is>
      </c>
      <c r="J471" s="98">
        <f>IF(G471="Normal","Tidak",IF(G471="Pendek","Potensi Stunting",IF(G471="Sangat Pendek","Stunting","")))</f>
        <v/>
      </c>
    </row>
    <row r="472" ht="15.75" customHeight="1" s="95">
      <c r="A472" s="97" t="inlineStr">
        <is>
          <t>anonymus0471</t>
        </is>
      </c>
      <c r="B472" s="97" t="inlineStr">
        <is>
          <t>L</t>
        </is>
      </c>
      <c r="C472" s="97" t="inlineStr">
        <is>
          <t>1-34 Bulan</t>
        </is>
      </c>
      <c r="D472" s="97" t="n">
        <v>7.9</v>
      </c>
      <c r="E472" s="97" t="n">
        <v>73</v>
      </c>
      <c r="F472" s="97" t="inlineStr">
        <is>
          <t>Kurang</t>
        </is>
      </c>
      <c r="G472" s="97" t="inlineStr">
        <is>
          <t>Pendek</t>
        </is>
      </c>
      <c r="H472" s="97" t="inlineStr">
        <is>
          <t>Gizi Baik</t>
        </is>
      </c>
      <c r="I472" s="98" t="inlineStr">
        <is>
          <t>Ya</t>
        </is>
      </c>
      <c r="J472" s="98">
        <f>IF(G472="Normal","Tidak",IF(G472="Pendek","Potensi Stunting",IF(G472="Sangat Pendek","Stunting","")))</f>
        <v/>
      </c>
    </row>
    <row r="473" ht="15.75" customHeight="1" s="95">
      <c r="A473" s="97" t="inlineStr">
        <is>
          <t>anonymus0472</t>
        </is>
      </c>
      <c r="B473" s="97" t="inlineStr">
        <is>
          <t>L</t>
        </is>
      </c>
      <c r="C473" s="97" t="inlineStr">
        <is>
          <t>1-34 Bulan</t>
        </is>
      </c>
      <c r="D473" s="97" t="n">
        <v>6.3</v>
      </c>
      <c r="E473" s="97" t="n">
        <v>87</v>
      </c>
      <c r="F473" s="97" t="inlineStr">
        <is>
          <t>Kurang</t>
        </is>
      </c>
      <c r="G473" s="97" t="inlineStr">
        <is>
          <t>Normal</t>
        </is>
      </c>
      <c r="H473" s="97" t="inlineStr">
        <is>
          <t>Gizi Kurang</t>
        </is>
      </c>
      <c r="I473" s="98" t="inlineStr">
        <is>
          <t>Ya</t>
        </is>
      </c>
      <c r="J473" s="98">
        <f>IF(G473="Normal","Tidak",IF(G473="Pendek","Potensi Stunting",IF(G473="Sangat Pendek","Stunting","")))</f>
        <v/>
      </c>
    </row>
    <row r="474" ht="15.75" customHeight="1" s="95">
      <c r="A474" s="97" t="inlineStr">
        <is>
          <t>anonymus0473</t>
        </is>
      </c>
      <c r="B474" s="97" t="inlineStr">
        <is>
          <t>L</t>
        </is>
      </c>
      <c r="C474" s="97" t="inlineStr">
        <is>
          <t>1-34 Bulan</t>
        </is>
      </c>
      <c r="D474" s="97" t="n">
        <v>14.5</v>
      </c>
      <c r="E474" s="97" t="n">
        <v>96</v>
      </c>
      <c r="F474" s="97" t="inlineStr">
        <is>
          <t>Berat Badan Normal</t>
        </is>
      </c>
      <c r="G474" s="97" t="inlineStr">
        <is>
          <t>Normal</t>
        </is>
      </c>
      <c r="H474" s="97" t="inlineStr">
        <is>
          <t>Gizi Baik</t>
        </is>
      </c>
      <c r="I474" s="98" t="inlineStr">
        <is>
          <t>Ya</t>
        </is>
      </c>
      <c r="J474" s="98">
        <f>IF(G474="Normal","Tidak",IF(G474="Pendek","Potensi Stunting",IF(G474="Sangat Pendek","Stunting","")))</f>
        <v/>
      </c>
    </row>
    <row r="475" ht="15.75" customHeight="1" s="95">
      <c r="A475" s="97" t="inlineStr">
        <is>
          <t>anonymus0474</t>
        </is>
      </c>
      <c r="B475" s="97" t="inlineStr">
        <is>
          <t>L</t>
        </is>
      </c>
      <c r="C475" s="97" t="inlineStr">
        <is>
          <t>1-34 Bulan</t>
        </is>
      </c>
      <c r="D475" s="97" t="n">
        <v>3</v>
      </c>
      <c r="E475" s="97" t="n">
        <v>52</v>
      </c>
      <c r="F475" s="97" t="inlineStr">
        <is>
          <t>Normal</t>
        </is>
      </c>
      <c r="G475" s="97" t="inlineStr">
        <is>
          <t>Normal</t>
        </is>
      </c>
      <c r="H475" s="97" t="inlineStr">
        <is>
          <t>Gizi Kurang</t>
        </is>
      </c>
      <c r="I475" s="98" t="inlineStr">
        <is>
          <t>Ya</t>
        </is>
      </c>
      <c r="J475" s="98">
        <f>IF(G475="Normal","Tidak",IF(G475="Pendek","Potensi Stunting",IF(G475="Sangat Pendek","Stunting","")))</f>
        <v/>
      </c>
    </row>
    <row r="476" ht="15.75" customHeight="1" s="95">
      <c r="A476" s="97" t="inlineStr">
        <is>
          <t>anonymus0475</t>
        </is>
      </c>
      <c r="B476" s="97" t="inlineStr">
        <is>
          <t>L</t>
        </is>
      </c>
      <c r="C476" s="97" t="inlineStr">
        <is>
          <t>35-69 Bulan</t>
        </is>
      </c>
      <c r="D476" s="97" t="n">
        <v>12.6</v>
      </c>
      <c r="E476" s="97" t="n">
        <v>99</v>
      </c>
      <c r="F476" s="97" t="inlineStr">
        <is>
          <t>Kurang</t>
        </is>
      </c>
      <c r="G476" s="97" t="inlineStr">
        <is>
          <t>Pendek</t>
        </is>
      </c>
      <c r="H476" s="97" t="inlineStr">
        <is>
          <t>Gizi Kurang</t>
        </is>
      </c>
      <c r="I476" s="98" t="inlineStr">
        <is>
          <t>Ya</t>
        </is>
      </c>
      <c r="J476" s="98">
        <f>IF(G476="Normal","Tidak",IF(G476="Pendek","Potensi Stunting",IF(G476="Sangat Pendek","Stunting","")))</f>
        <v/>
      </c>
    </row>
    <row r="477" ht="15.75" customHeight="1" s="95">
      <c r="A477" s="97" t="inlineStr">
        <is>
          <t>anonymus0476</t>
        </is>
      </c>
      <c r="B477" s="97" t="inlineStr">
        <is>
          <t>L</t>
        </is>
      </c>
      <c r="C477" s="97" t="inlineStr">
        <is>
          <t>35-69 Bulan</t>
        </is>
      </c>
      <c r="D477" s="97" t="n">
        <v>11.5</v>
      </c>
      <c r="E477" s="97" t="n">
        <v>89</v>
      </c>
      <c r="F477" s="97" t="inlineStr">
        <is>
          <t>Kurang</t>
        </is>
      </c>
      <c r="G477" s="97" t="inlineStr">
        <is>
          <t>Pendek</t>
        </is>
      </c>
      <c r="H477" s="97" t="inlineStr">
        <is>
          <t>Gizi Baik</t>
        </is>
      </c>
      <c r="I477" s="98" t="inlineStr">
        <is>
          <t>Ya</t>
        </is>
      </c>
      <c r="J477" s="98">
        <f>IF(G477="Normal","Tidak",IF(G477="Pendek","Potensi Stunting",IF(G477="Sangat Pendek","Stunting","")))</f>
        <v/>
      </c>
    </row>
    <row r="478" ht="15.75" customHeight="1" s="95">
      <c r="A478" s="97" t="inlineStr">
        <is>
          <t>anonymus0477</t>
        </is>
      </c>
      <c r="B478" s="97" t="inlineStr">
        <is>
          <t>L</t>
        </is>
      </c>
      <c r="C478" s="97" t="inlineStr">
        <is>
          <t>35-69 Bulan</t>
        </is>
      </c>
      <c r="D478" s="97" t="n">
        <v>12.2</v>
      </c>
      <c r="E478" s="97" t="n">
        <v>97.2</v>
      </c>
      <c r="F478" s="97" t="inlineStr">
        <is>
          <t>Normal</t>
        </is>
      </c>
      <c r="G478" s="97" t="inlineStr">
        <is>
          <t>Normal</t>
        </is>
      </c>
      <c r="H478" s="97" t="inlineStr">
        <is>
          <t>Gizi Kurang</t>
        </is>
      </c>
      <c r="I478" s="98" t="inlineStr">
        <is>
          <t>Ya</t>
        </is>
      </c>
      <c r="J478" s="98">
        <f>IF(G478="Normal","Tidak",IF(G478="Pendek","Potensi Stunting",IF(G478="Sangat Pendek","Stunting","")))</f>
        <v/>
      </c>
    </row>
    <row r="479" ht="15.75" customHeight="1" s="95">
      <c r="A479" s="97" t="inlineStr">
        <is>
          <t>anonymus0478</t>
        </is>
      </c>
      <c r="B479" s="97" t="inlineStr">
        <is>
          <t>L</t>
        </is>
      </c>
      <c r="C479" s="97" t="inlineStr">
        <is>
          <t>1-34 Bulan</t>
        </is>
      </c>
      <c r="D479" s="97" t="n">
        <v>13.9</v>
      </c>
      <c r="E479" s="97" t="n">
        <v>77</v>
      </c>
      <c r="F479" s="97" t="inlineStr">
        <is>
          <t>Berat Badan Normal</t>
        </is>
      </c>
      <c r="G479" s="97" t="inlineStr">
        <is>
          <t>Normal</t>
        </is>
      </c>
      <c r="H479" s="97" t="inlineStr">
        <is>
          <t>Gizi Baik</t>
        </is>
      </c>
      <c r="I479" s="98" t="inlineStr">
        <is>
          <t>Ya</t>
        </is>
      </c>
      <c r="J479" s="98">
        <f>IF(G479="Normal","Tidak",IF(G479="Pendek","Potensi Stunting",IF(G479="Sangat Pendek","Stunting","")))</f>
        <v/>
      </c>
    </row>
    <row r="480" ht="15.75" customHeight="1" s="95">
      <c r="A480" s="97" t="inlineStr">
        <is>
          <t>anonymus0479</t>
        </is>
      </c>
      <c r="B480" s="97" t="inlineStr">
        <is>
          <t>L</t>
        </is>
      </c>
      <c r="C480" s="97" t="inlineStr">
        <is>
          <t>35-69 Bulan</t>
        </is>
      </c>
      <c r="D480" s="97" t="n">
        <v>16</v>
      </c>
      <c r="E480" s="97" t="n">
        <v>114</v>
      </c>
      <c r="F480" s="97" t="inlineStr">
        <is>
          <t>Normal</t>
        </is>
      </c>
      <c r="G480" s="97" t="inlineStr">
        <is>
          <t>Normal</t>
        </is>
      </c>
      <c r="H480" s="97" t="inlineStr">
        <is>
          <t>Gizi Kurang</t>
        </is>
      </c>
      <c r="I480" s="98" t="inlineStr">
        <is>
          <t>Ya</t>
        </is>
      </c>
      <c r="J480" s="98">
        <f>IF(G480="Normal","Tidak",IF(G480="Pendek","Potensi Stunting",IF(G480="Sangat Pendek","Stunting","")))</f>
        <v/>
      </c>
    </row>
    <row r="481" ht="15.75" customHeight="1" s="95">
      <c r="A481" s="97" t="inlineStr">
        <is>
          <t>anonymus0480</t>
        </is>
      </c>
      <c r="B481" s="97" t="inlineStr">
        <is>
          <t xml:space="preserve">P </t>
        </is>
      </c>
      <c r="C481" s="97" t="inlineStr">
        <is>
          <t>1-34 Bulan</t>
        </is>
      </c>
      <c r="D481" s="97" t="inlineStr">
        <is>
          <t>13.4</t>
        </is>
      </c>
      <c r="E481" s="97" t="n">
        <v>96</v>
      </c>
      <c r="F481" s="97" t="inlineStr">
        <is>
          <t>Berat Badan Normal</t>
        </is>
      </c>
      <c r="G481" s="97" t="inlineStr">
        <is>
          <t>Normal</t>
        </is>
      </c>
      <c r="H481" s="97" t="inlineStr">
        <is>
          <t>Gizi Baik</t>
        </is>
      </c>
      <c r="I481" s="98" t="inlineStr">
        <is>
          <t>Ya</t>
        </is>
      </c>
      <c r="J481" s="98">
        <f>IF(G481="Normal","Tidak",IF(G481="Pendek","Potensi Stunting",IF(G481="Sangat Pendek","Stunting","")))</f>
        <v/>
      </c>
    </row>
    <row r="482" ht="15.75" customHeight="1" s="95">
      <c r="A482" s="97" t="inlineStr">
        <is>
          <t>anonymus0481</t>
        </is>
      </c>
      <c r="B482" s="97" t="inlineStr">
        <is>
          <t xml:space="preserve">P </t>
        </is>
      </c>
      <c r="C482" s="97" t="inlineStr">
        <is>
          <t>35-69 Bulan</t>
        </is>
      </c>
      <c r="D482" s="97" t="n">
        <v>16</v>
      </c>
      <c r="E482" s="97" t="n">
        <v>103</v>
      </c>
      <c r="F482" s="97" t="inlineStr">
        <is>
          <t>Berat Badan Normal</t>
        </is>
      </c>
      <c r="G482" s="97" t="inlineStr">
        <is>
          <t>Normal</t>
        </is>
      </c>
      <c r="H482" s="97" t="inlineStr">
        <is>
          <t>Gizi Baik</t>
        </is>
      </c>
      <c r="I482" s="98" t="inlineStr">
        <is>
          <t>Ya</t>
        </is>
      </c>
      <c r="J482" s="98">
        <f>IF(G482="Normal","Tidak",IF(G482="Pendek","Potensi Stunting",IF(G482="Sangat Pendek","Stunting","")))</f>
        <v/>
      </c>
    </row>
    <row r="483" ht="15.75" customHeight="1" s="95">
      <c r="A483" s="97" t="inlineStr">
        <is>
          <t>anonymus0482</t>
        </is>
      </c>
      <c r="B483" s="97" t="inlineStr">
        <is>
          <t xml:space="preserve">P </t>
        </is>
      </c>
      <c r="C483" s="97" t="inlineStr">
        <is>
          <t>35-69 Bulan</t>
        </is>
      </c>
      <c r="D483" s="97" t="inlineStr">
        <is>
          <t>16.1</t>
        </is>
      </c>
      <c r="E483" s="97" t="n">
        <v>100</v>
      </c>
      <c r="F483" s="97" t="inlineStr">
        <is>
          <t>Berat Badan Normal</t>
        </is>
      </c>
      <c r="G483" s="97" t="inlineStr">
        <is>
          <t>Normal</t>
        </is>
      </c>
      <c r="H483" s="97" t="inlineStr">
        <is>
          <t>Gizi Baik</t>
        </is>
      </c>
      <c r="I483" s="98" t="inlineStr">
        <is>
          <t>Ya</t>
        </is>
      </c>
      <c r="J483" s="98">
        <f>IF(G483="Normal","Tidak",IF(G483="Pendek","Potensi Stunting",IF(G483="Sangat Pendek","Stunting","")))</f>
        <v/>
      </c>
    </row>
    <row r="484" ht="15.75" customHeight="1" s="95">
      <c r="A484" s="97" t="inlineStr">
        <is>
          <t>anonymus0483</t>
        </is>
      </c>
      <c r="B484" s="97" t="inlineStr">
        <is>
          <t>L</t>
        </is>
      </c>
      <c r="C484" s="97" t="inlineStr">
        <is>
          <t>35-69 Bulan</t>
        </is>
      </c>
      <c r="D484" s="97" t="n">
        <v>10.1</v>
      </c>
      <c r="E484" s="97" t="n">
        <v>98</v>
      </c>
      <c r="F484" s="97" t="inlineStr">
        <is>
          <t>Berat Badan Normal</t>
        </is>
      </c>
      <c r="G484" s="97" t="inlineStr">
        <is>
          <t>Normal</t>
        </is>
      </c>
      <c r="H484" s="97" t="inlineStr">
        <is>
          <t>Gizi Baik</t>
        </is>
      </c>
      <c r="I484" s="98" t="inlineStr">
        <is>
          <t>Ya</t>
        </is>
      </c>
      <c r="J484" s="98">
        <f>IF(G484="Normal","Tidak",IF(G484="Pendek","Potensi Stunting",IF(G484="Sangat Pendek","Stunting","")))</f>
        <v/>
      </c>
    </row>
    <row r="485" ht="15.75" customHeight="1" s="95">
      <c r="A485" s="97" t="inlineStr">
        <is>
          <t>anonymus0484</t>
        </is>
      </c>
      <c r="B485" s="97" t="inlineStr">
        <is>
          <t xml:space="preserve">L </t>
        </is>
      </c>
      <c r="C485" s="97" t="inlineStr">
        <is>
          <t>35-69 Bulan</t>
        </is>
      </c>
      <c r="D485" s="97" t="inlineStr">
        <is>
          <t>14.7</t>
        </is>
      </c>
      <c r="E485" s="97" t="n">
        <v>97</v>
      </c>
      <c r="F485" s="97" t="inlineStr">
        <is>
          <t>Berat Badan Normal</t>
        </is>
      </c>
      <c r="G485" s="97" t="inlineStr">
        <is>
          <t>Normal</t>
        </is>
      </c>
      <c r="H485" s="97" t="inlineStr">
        <is>
          <t>Gizi Baik</t>
        </is>
      </c>
      <c r="I485" s="98" t="inlineStr">
        <is>
          <t>Ya</t>
        </is>
      </c>
      <c r="J485" s="98">
        <f>IF(G485="Normal","Tidak",IF(G485="Pendek","Potensi Stunting",IF(G485="Sangat Pendek","Stunting","")))</f>
        <v/>
      </c>
    </row>
    <row r="486" ht="15.75" customHeight="1" s="95">
      <c r="A486" s="97" t="inlineStr">
        <is>
          <t>anonymus0485</t>
        </is>
      </c>
      <c r="B486" s="97" t="inlineStr">
        <is>
          <t>P</t>
        </is>
      </c>
      <c r="C486" s="97" t="inlineStr">
        <is>
          <t>35-69 Bulan</t>
        </is>
      </c>
      <c r="D486" s="97" t="n">
        <v>16.5</v>
      </c>
      <c r="E486" s="97" t="n">
        <v>96</v>
      </c>
      <c r="F486" s="97" t="inlineStr">
        <is>
          <t>Berat Badan Normal</t>
        </is>
      </c>
      <c r="G486" s="97" t="inlineStr">
        <is>
          <t>Normal</t>
        </is>
      </c>
      <c r="H486" s="97" t="inlineStr">
        <is>
          <t>Gizi Baik</t>
        </is>
      </c>
      <c r="I486" s="98" t="inlineStr">
        <is>
          <t>Ya</t>
        </is>
      </c>
      <c r="J486" s="98">
        <f>IF(G486="Normal","Tidak",IF(G486="Pendek","Potensi Stunting",IF(G486="Sangat Pendek","Stunting","")))</f>
        <v/>
      </c>
    </row>
    <row r="487" ht="15.75" customHeight="1" s="95">
      <c r="A487" s="97" t="inlineStr">
        <is>
          <t>anonymus0486</t>
        </is>
      </c>
      <c r="B487" s="97" t="inlineStr">
        <is>
          <t>P</t>
        </is>
      </c>
      <c r="C487" s="97" t="inlineStr">
        <is>
          <t>35-69 Bulan</t>
        </is>
      </c>
      <c r="D487" s="97" t="n">
        <v>13.6</v>
      </c>
      <c r="E487" s="97" t="n">
        <v>89</v>
      </c>
      <c r="F487" s="97" t="inlineStr">
        <is>
          <t>Normal</t>
        </is>
      </c>
      <c r="G487" s="97" t="inlineStr">
        <is>
          <t>Pendek</t>
        </is>
      </c>
      <c r="H487" s="97" t="inlineStr">
        <is>
          <t>Risiko Gizi Lebih</t>
        </is>
      </c>
      <c r="I487" s="98" t="inlineStr">
        <is>
          <t>Ya</t>
        </is>
      </c>
      <c r="J487" s="98">
        <f>IF(G487="Normal","Tidak",IF(G487="Pendek","Potensi Stunting",IF(G487="Sangat Pendek","Stunting","")))</f>
        <v/>
      </c>
    </row>
    <row r="488" ht="15.75" customHeight="1" s="95">
      <c r="A488" s="97" t="inlineStr">
        <is>
          <t>anonymus0487</t>
        </is>
      </c>
      <c r="B488" s="97" t="inlineStr">
        <is>
          <t>P</t>
        </is>
      </c>
      <c r="C488" s="97" t="inlineStr">
        <is>
          <t>35-69 Bulan</t>
        </is>
      </c>
      <c r="D488" s="97" t="n">
        <v>13.2</v>
      </c>
      <c r="E488" s="97" t="n">
        <v>119</v>
      </c>
      <c r="F488" s="97" t="inlineStr">
        <is>
          <t>Berat Badan Normal</t>
        </is>
      </c>
      <c r="G488" s="97" t="inlineStr">
        <is>
          <t>Normal</t>
        </is>
      </c>
      <c r="H488" s="97" t="inlineStr">
        <is>
          <t>Gizi Baik</t>
        </is>
      </c>
      <c r="I488" s="98" t="inlineStr">
        <is>
          <t>Ya</t>
        </is>
      </c>
      <c r="J488" s="98">
        <f>IF(G488="Normal","Tidak",IF(G488="Pendek","Potensi Stunting",IF(G488="Sangat Pendek","Stunting","")))</f>
        <v/>
      </c>
    </row>
    <row r="489" ht="15.75" customHeight="1" s="95">
      <c r="A489" s="97" t="inlineStr">
        <is>
          <t>anonymus0488</t>
        </is>
      </c>
      <c r="B489" s="97" t="inlineStr">
        <is>
          <t xml:space="preserve">P </t>
        </is>
      </c>
      <c r="C489" s="97" t="inlineStr">
        <is>
          <t>1-34 Bulan</t>
        </is>
      </c>
      <c r="D489" s="97" t="inlineStr">
        <is>
          <t>6.4</t>
        </is>
      </c>
      <c r="E489" s="97" t="n">
        <v>65</v>
      </c>
      <c r="F489" s="97" t="inlineStr">
        <is>
          <t>Berat Badan Normal</t>
        </is>
      </c>
      <c r="G489" s="97" t="inlineStr">
        <is>
          <t>Normal</t>
        </is>
      </c>
      <c r="H489" s="97" t="inlineStr">
        <is>
          <t>Gizi Baik</t>
        </is>
      </c>
      <c r="I489" s="98" t="inlineStr">
        <is>
          <t>Ya</t>
        </is>
      </c>
      <c r="J489" s="98">
        <f>IF(G489="Normal","Tidak",IF(G489="Pendek","Potensi Stunting",IF(G489="Sangat Pendek","Stunting","")))</f>
        <v/>
      </c>
    </row>
    <row r="490" ht="15.75" customHeight="1" s="95">
      <c r="A490" s="97" t="inlineStr">
        <is>
          <t>anonymus0489</t>
        </is>
      </c>
      <c r="B490" s="97" t="inlineStr">
        <is>
          <t>P</t>
        </is>
      </c>
      <c r="C490" s="97" t="inlineStr">
        <is>
          <t>35-69 Bulan</t>
        </is>
      </c>
      <c r="D490" s="97" t="n">
        <v>10.5</v>
      </c>
      <c r="E490" s="97" t="n">
        <v>90</v>
      </c>
      <c r="F490" s="97" t="inlineStr">
        <is>
          <t>Kurang</t>
        </is>
      </c>
      <c r="G490" s="97" t="inlineStr">
        <is>
          <t>Normal</t>
        </is>
      </c>
      <c r="H490" s="97" t="inlineStr">
        <is>
          <t>Gizi Kurang</t>
        </is>
      </c>
      <c r="I490" s="98" t="inlineStr">
        <is>
          <t>Ya</t>
        </is>
      </c>
      <c r="J490" s="98">
        <f>IF(G490="Normal","Tidak",IF(G490="Pendek","Potensi Stunting",IF(G490="Sangat Pendek","Stunting","")))</f>
        <v/>
      </c>
    </row>
    <row r="491" ht="15.75" customHeight="1" s="95">
      <c r="A491" s="97" t="inlineStr">
        <is>
          <t>anonymus0490</t>
        </is>
      </c>
      <c r="B491" s="97" t="inlineStr">
        <is>
          <t xml:space="preserve">P </t>
        </is>
      </c>
      <c r="C491" s="97" t="inlineStr">
        <is>
          <t>1-34 Bulan</t>
        </is>
      </c>
      <c r="D491" s="97" t="inlineStr">
        <is>
          <t>7.5</t>
        </is>
      </c>
      <c r="E491" s="97" t="n">
        <v>70</v>
      </c>
      <c r="F491" s="97" t="inlineStr">
        <is>
          <t>Berat Badan Normal</t>
        </is>
      </c>
      <c r="G491" s="97" t="inlineStr">
        <is>
          <t>Pendek</t>
        </is>
      </c>
      <c r="H491" s="97" t="inlineStr">
        <is>
          <t>Gizi Baik</t>
        </is>
      </c>
      <c r="I491" s="98" t="inlineStr">
        <is>
          <t>Ya</t>
        </is>
      </c>
      <c r="J491" s="98">
        <f>IF(G491="Normal","Tidak",IF(G491="Pendek","Potensi Stunting",IF(G491="Sangat Pendek","Stunting","")))</f>
        <v/>
      </c>
    </row>
    <row r="492" ht="15.75" customHeight="1" s="95">
      <c r="A492" s="97" t="inlineStr">
        <is>
          <t>anonymus0491</t>
        </is>
      </c>
      <c r="B492" s="97" t="inlineStr">
        <is>
          <t>P</t>
        </is>
      </c>
      <c r="C492" s="97" t="inlineStr">
        <is>
          <t>35-69 Bulan</t>
        </is>
      </c>
      <c r="D492" s="97" t="n">
        <v>12.5</v>
      </c>
      <c r="E492" s="97" t="n">
        <v>99.3</v>
      </c>
      <c r="F492" s="97" t="inlineStr">
        <is>
          <t>Kurang</t>
        </is>
      </c>
      <c r="G492" s="97" t="inlineStr">
        <is>
          <t>Normal</t>
        </is>
      </c>
      <c r="H492" s="97" t="inlineStr">
        <is>
          <t>Gizi Kurang</t>
        </is>
      </c>
      <c r="I492" s="98" t="inlineStr">
        <is>
          <t>Ya</t>
        </is>
      </c>
      <c r="J492" s="98">
        <f>IF(G492="Normal","Tidak",IF(G492="Pendek","Potensi Stunting",IF(G492="Sangat Pendek","Stunting","")))</f>
        <v/>
      </c>
    </row>
    <row r="493" ht="15.75" customHeight="1" s="95">
      <c r="A493" s="97" t="inlineStr">
        <is>
          <t>anonymus0492</t>
        </is>
      </c>
      <c r="B493" s="97" t="inlineStr">
        <is>
          <t xml:space="preserve">P </t>
        </is>
      </c>
      <c r="C493" s="97" t="inlineStr">
        <is>
          <t>35-69 Bulan</t>
        </is>
      </c>
      <c r="D493" s="97" t="inlineStr">
        <is>
          <t>12.7</t>
        </is>
      </c>
      <c r="E493" s="97" t="n">
        <v>97</v>
      </c>
      <c r="F493" s="97" t="inlineStr">
        <is>
          <t>Berat Badan Normal</t>
        </is>
      </c>
      <c r="G493" s="97" t="inlineStr">
        <is>
          <t>Normal</t>
        </is>
      </c>
      <c r="H493" s="97" t="inlineStr">
        <is>
          <t>Gizi Baik</t>
        </is>
      </c>
      <c r="I493" s="98" t="inlineStr">
        <is>
          <t>Ya</t>
        </is>
      </c>
      <c r="J493" s="98">
        <f>IF(G493="Normal","Tidak",IF(G493="Pendek","Potensi Stunting",IF(G493="Sangat Pendek","Stunting","")))</f>
        <v/>
      </c>
    </row>
    <row r="494" ht="15.75" customHeight="1" s="95">
      <c r="A494" s="97" t="inlineStr">
        <is>
          <t>anonymus0493</t>
        </is>
      </c>
      <c r="B494" s="97" t="inlineStr">
        <is>
          <t>P</t>
        </is>
      </c>
      <c r="C494" s="97" t="inlineStr">
        <is>
          <t>35-69 Bulan</t>
        </is>
      </c>
      <c r="D494" s="97" t="n">
        <v>11.7</v>
      </c>
      <c r="E494" s="97" t="n">
        <v>102</v>
      </c>
      <c r="F494" s="97" t="inlineStr">
        <is>
          <t>Berat Badan Normal</t>
        </is>
      </c>
      <c r="G494" s="97" t="inlineStr">
        <is>
          <t>Normal</t>
        </is>
      </c>
      <c r="H494" s="97" t="inlineStr">
        <is>
          <t>Gizi Baik</t>
        </is>
      </c>
      <c r="I494" s="98" t="inlineStr">
        <is>
          <t>Ya</t>
        </is>
      </c>
      <c r="J494" s="98">
        <f>IF(G494="Normal","Tidak",IF(G494="Pendek","Potensi Stunting",IF(G494="Sangat Pendek","Stunting","")))</f>
        <v/>
      </c>
    </row>
    <row r="495" ht="15.75" customHeight="1" s="95">
      <c r="A495" s="97" t="inlineStr">
        <is>
          <t>anonymus0494</t>
        </is>
      </c>
      <c r="B495" s="97" t="inlineStr">
        <is>
          <t xml:space="preserve">L </t>
        </is>
      </c>
      <c r="C495" s="97" t="inlineStr">
        <is>
          <t>1-34 Bulan</t>
        </is>
      </c>
      <c r="D495" s="97" t="n">
        <v>11</v>
      </c>
      <c r="E495" s="97" t="n">
        <v>81</v>
      </c>
      <c r="F495" s="97" t="inlineStr">
        <is>
          <t>Berat Badan Normal</t>
        </is>
      </c>
      <c r="G495" s="97" t="inlineStr">
        <is>
          <t>Normal</t>
        </is>
      </c>
      <c r="H495" s="97" t="inlineStr">
        <is>
          <t>Gizi Baik</t>
        </is>
      </c>
      <c r="I495" s="98" t="inlineStr">
        <is>
          <t>Ya</t>
        </is>
      </c>
      <c r="J495" s="98">
        <f>IF(G495="Normal","Tidak",IF(G495="Pendek","Potensi Stunting",IF(G495="Sangat Pendek","Stunting","")))</f>
        <v/>
      </c>
    </row>
    <row r="496" ht="15.75" customHeight="1" s="95">
      <c r="A496" s="97" t="inlineStr">
        <is>
          <t>anonymus0495</t>
        </is>
      </c>
      <c r="B496" s="97" t="inlineStr">
        <is>
          <t>P</t>
        </is>
      </c>
      <c r="C496" s="97" t="inlineStr">
        <is>
          <t>35-69 Bulan</t>
        </is>
      </c>
      <c r="D496" s="97" t="n">
        <v>17.5</v>
      </c>
      <c r="E496" s="97" t="n">
        <v>113</v>
      </c>
      <c r="F496" s="97" t="inlineStr">
        <is>
          <t>Risiko Lebih</t>
        </is>
      </c>
      <c r="G496" s="97" t="inlineStr">
        <is>
          <t>Normal</t>
        </is>
      </c>
      <c r="H496" s="97" t="inlineStr">
        <is>
          <t>Gizi Lebih</t>
        </is>
      </c>
      <c r="I496" s="98" t="inlineStr">
        <is>
          <t>Ya</t>
        </is>
      </c>
      <c r="J496" s="98">
        <f>IF(G496="Normal","Tidak",IF(G496="Pendek","Potensi Stunting",IF(G496="Sangat Pendek","Stunting","")))</f>
        <v/>
      </c>
    </row>
    <row r="497" ht="15.75" customHeight="1" s="95">
      <c r="A497" s="97" t="inlineStr">
        <is>
          <t>anonymus0496</t>
        </is>
      </c>
      <c r="B497" s="97" t="inlineStr">
        <is>
          <t>P</t>
        </is>
      </c>
      <c r="C497" s="97" t="inlineStr">
        <is>
          <t>1-34 Bulan</t>
        </is>
      </c>
      <c r="D497" s="97" t="n">
        <v>6.4</v>
      </c>
      <c r="E497" s="97" t="n">
        <v>95</v>
      </c>
      <c r="F497" s="97" t="inlineStr">
        <is>
          <t>Kurang</t>
        </is>
      </c>
      <c r="G497" s="97" t="inlineStr">
        <is>
          <t>Normal</t>
        </is>
      </c>
      <c r="H497" s="97" t="inlineStr">
        <is>
          <t>Gizi Kurang</t>
        </is>
      </c>
      <c r="I497" s="98" t="inlineStr">
        <is>
          <t>Ya</t>
        </is>
      </c>
      <c r="J497" s="98">
        <f>IF(G497="Normal","Tidak",IF(G497="Pendek","Potensi Stunting",IF(G497="Sangat Pendek","Stunting","")))</f>
        <v/>
      </c>
    </row>
    <row r="498" ht="15.75" customHeight="1" s="95">
      <c r="A498" s="97" t="inlineStr">
        <is>
          <t>anonymus0497</t>
        </is>
      </c>
      <c r="B498" s="97" t="inlineStr">
        <is>
          <t xml:space="preserve">P </t>
        </is>
      </c>
      <c r="C498" s="97" t="inlineStr">
        <is>
          <t>1-34 Bulan</t>
        </is>
      </c>
      <c r="D498" s="97" t="inlineStr">
        <is>
          <t>9.3</t>
        </is>
      </c>
      <c r="E498" s="97" t="n">
        <v>76</v>
      </c>
      <c r="F498" s="97" t="inlineStr">
        <is>
          <t>Berat Badan Normal</t>
        </is>
      </c>
      <c r="G498" s="97" t="inlineStr">
        <is>
          <t>Normal</t>
        </is>
      </c>
      <c r="H498" s="97" t="inlineStr">
        <is>
          <t>Gizi Baik</t>
        </is>
      </c>
      <c r="I498" s="98" t="inlineStr">
        <is>
          <t>Ya</t>
        </is>
      </c>
      <c r="J498" s="98">
        <f>IF(G498="Normal","Tidak",IF(G498="Pendek","Potensi Stunting",IF(G498="Sangat Pendek","Stunting","")))</f>
        <v/>
      </c>
    </row>
    <row r="499" ht="15.75" customHeight="1" s="95">
      <c r="A499" s="97" t="inlineStr">
        <is>
          <t>anonymus0498</t>
        </is>
      </c>
      <c r="B499" s="97" t="inlineStr">
        <is>
          <t xml:space="preserve">P </t>
        </is>
      </c>
      <c r="C499" s="97" t="inlineStr">
        <is>
          <t>35-69 Bulan</t>
        </is>
      </c>
      <c r="D499" s="97" t="n">
        <v>15</v>
      </c>
      <c r="E499" s="97" t="n">
        <v>96</v>
      </c>
      <c r="F499" s="97" t="inlineStr">
        <is>
          <t>Berat Badan Normal</t>
        </is>
      </c>
      <c r="G499" s="97" t="inlineStr">
        <is>
          <t>Normal</t>
        </is>
      </c>
      <c r="H499" s="97" t="inlineStr">
        <is>
          <t>Gizi Baik</t>
        </is>
      </c>
      <c r="I499" s="98" t="inlineStr">
        <is>
          <t>Ya</t>
        </is>
      </c>
      <c r="J499" s="98">
        <f>IF(G499="Normal","Tidak",IF(G499="Pendek","Potensi Stunting",IF(G499="Sangat Pendek","Stunting","")))</f>
        <v/>
      </c>
    </row>
    <row r="500" ht="15.75" customHeight="1" s="95">
      <c r="A500" s="97" t="inlineStr">
        <is>
          <t>anonymus0499</t>
        </is>
      </c>
      <c r="B500" s="97" t="inlineStr">
        <is>
          <t>L</t>
        </is>
      </c>
      <c r="C500" s="97" t="inlineStr">
        <is>
          <t>1-34 Bulan</t>
        </is>
      </c>
      <c r="D500" s="97" t="n">
        <v>7.7</v>
      </c>
      <c r="E500" s="97" t="n">
        <v>96</v>
      </c>
      <c r="F500" s="97" t="inlineStr">
        <is>
          <t>Kurang</t>
        </is>
      </c>
      <c r="G500" s="97" t="inlineStr">
        <is>
          <t>Normal</t>
        </is>
      </c>
      <c r="H500" s="97" t="inlineStr">
        <is>
          <t>Gizi Kurang</t>
        </is>
      </c>
      <c r="I500" s="98" t="inlineStr">
        <is>
          <t>Ya</t>
        </is>
      </c>
      <c r="J500" s="98">
        <f>IF(G500="Normal","Tidak",IF(G500="Pendek","Potensi Stunting",IF(G500="Sangat Pendek","Stunting","")))</f>
        <v/>
      </c>
    </row>
    <row r="501" ht="15.75" customHeight="1" s="95">
      <c r="A501" s="97" t="inlineStr">
        <is>
          <t>anonymus0500</t>
        </is>
      </c>
      <c r="B501" s="97" t="inlineStr">
        <is>
          <t>P</t>
        </is>
      </c>
      <c r="C501" s="97" t="inlineStr">
        <is>
          <t>35-69 Bulan</t>
        </is>
      </c>
      <c r="D501" s="97" t="n">
        <v>11</v>
      </c>
      <c r="E501" s="97" t="n">
        <v>85</v>
      </c>
      <c r="F501" s="97" t="inlineStr">
        <is>
          <t>Normal</t>
        </is>
      </c>
      <c r="G501" s="97" t="inlineStr">
        <is>
          <t>Pendek</t>
        </is>
      </c>
      <c r="H501" s="97" t="inlineStr">
        <is>
          <t>Gizi Baik</t>
        </is>
      </c>
      <c r="I501" s="98" t="inlineStr">
        <is>
          <t>Ya</t>
        </is>
      </c>
      <c r="J501" s="98">
        <f>IF(G501="Normal","Tidak",IF(G501="Pendek","Potensi Stunting",IF(G501="Sangat Pendek","Stunting","")))</f>
        <v/>
      </c>
    </row>
    <row r="502" ht="15.75" customHeight="1" s="95">
      <c r="A502" s="97" t="inlineStr">
        <is>
          <t>anonymus0501</t>
        </is>
      </c>
      <c r="B502" s="97" t="inlineStr">
        <is>
          <t xml:space="preserve">P </t>
        </is>
      </c>
      <c r="C502" s="97" t="inlineStr">
        <is>
          <t>1-34 Bulan</t>
        </is>
      </c>
      <c r="D502" s="97" t="inlineStr">
        <is>
          <t>8.9</t>
        </is>
      </c>
      <c r="E502" s="97" t="n">
        <v>72</v>
      </c>
      <c r="F502" s="97" t="inlineStr">
        <is>
          <t>Berat Badan Normal</t>
        </is>
      </c>
      <c r="G502" s="97" t="inlineStr">
        <is>
          <t>Normal</t>
        </is>
      </c>
      <c r="H502" s="97" t="inlineStr">
        <is>
          <t>Gizi Baik</t>
        </is>
      </c>
      <c r="I502" s="98" t="inlineStr">
        <is>
          <t>Ya</t>
        </is>
      </c>
      <c r="J502" s="98">
        <f>IF(G502="Normal","Tidak",IF(G502="Pendek","Potensi Stunting",IF(G502="Sangat Pendek","Stunting","")))</f>
        <v/>
      </c>
    </row>
    <row r="503" ht="15.75" customHeight="1" s="95">
      <c r="A503" s="97" t="inlineStr">
        <is>
          <t>anonymus0502</t>
        </is>
      </c>
      <c r="B503" s="97" t="inlineStr">
        <is>
          <t>P</t>
        </is>
      </c>
      <c r="C503" s="97" t="inlineStr">
        <is>
          <t>1-34 Bulan</t>
        </is>
      </c>
      <c r="D503" s="97" t="n">
        <v>12.4</v>
      </c>
      <c r="E503" s="97" t="n">
        <v>99</v>
      </c>
      <c r="F503" s="97" t="inlineStr">
        <is>
          <t>Berat Badan Normal</t>
        </is>
      </c>
      <c r="G503" s="97" t="inlineStr">
        <is>
          <t>Normal</t>
        </is>
      </c>
      <c r="H503" s="97" t="inlineStr">
        <is>
          <t>Gizi Baik</t>
        </is>
      </c>
      <c r="I503" s="98" t="inlineStr">
        <is>
          <t>Ya</t>
        </is>
      </c>
      <c r="J503" s="98">
        <f>IF(G503="Normal","Tidak",IF(G503="Pendek","Potensi Stunting",IF(G503="Sangat Pendek","Stunting","")))</f>
        <v/>
      </c>
    </row>
    <row r="504" ht="15.75" customHeight="1" s="95">
      <c r="A504" s="97" t="inlineStr">
        <is>
          <t>anonymus0503</t>
        </is>
      </c>
      <c r="B504" s="97" t="inlineStr">
        <is>
          <t>L</t>
        </is>
      </c>
      <c r="C504" s="97" t="inlineStr">
        <is>
          <t>35-69 Bulan</t>
        </is>
      </c>
      <c r="D504" s="97" t="n">
        <v>17.8</v>
      </c>
      <c r="E504" s="97" t="n">
        <v>118</v>
      </c>
      <c r="F504" s="97" t="inlineStr">
        <is>
          <t>Risiko Lebih</t>
        </is>
      </c>
      <c r="G504" s="97" t="inlineStr">
        <is>
          <t>Normal</t>
        </is>
      </c>
      <c r="H504" s="97" t="inlineStr">
        <is>
          <t>Gizi Lebih</t>
        </is>
      </c>
      <c r="I504" s="98" t="inlineStr">
        <is>
          <t>Ya</t>
        </is>
      </c>
      <c r="J504" s="98">
        <f>IF(G504="Normal","Tidak",IF(G504="Pendek","Potensi Stunting",IF(G504="Sangat Pendek","Stunting","")))</f>
        <v/>
      </c>
    </row>
    <row r="505" ht="15.75" customHeight="1" s="95">
      <c r="A505" s="97" t="inlineStr">
        <is>
          <t>anonymus0504</t>
        </is>
      </c>
      <c r="B505" s="97" t="inlineStr">
        <is>
          <t>P</t>
        </is>
      </c>
      <c r="C505" s="97" t="inlineStr">
        <is>
          <t>35-69 Bulan</t>
        </is>
      </c>
      <c r="D505" s="97" t="n">
        <v>13</v>
      </c>
      <c r="E505" s="97" t="n">
        <v>97</v>
      </c>
      <c r="F505" s="97" t="inlineStr">
        <is>
          <t>Berat Badan Normal</t>
        </is>
      </c>
      <c r="G505" s="97" t="inlineStr">
        <is>
          <t>Normal</t>
        </is>
      </c>
      <c r="H505" s="97" t="inlineStr">
        <is>
          <t>Gizi Baik</t>
        </is>
      </c>
      <c r="I505" s="98" t="inlineStr">
        <is>
          <t>Ya</t>
        </is>
      </c>
      <c r="J505" s="98">
        <f>IF(G505="Normal","Tidak",IF(G505="Pendek","Potensi Stunting",IF(G505="Sangat Pendek","Stunting","")))</f>
        <v/>
      </c>
    </row>
    <row r="506" ht="15.75" customHeight="1" s="95">
      <c r="A506" s="97" t="inlineStr">
        <is>
          <t>anonymus0505</t>
        </is>
      </c>
      <c r="B506" s="97" t="inlineStr">
        <is>
          <t>P</t>
        </is>
      </c>
      <c r="C506" s="97" t="inlineStr">
        <is>
          <t>1-34 Bulan</t>
        </is>
      </c>
      <c r="D506" s="97" t="n">
        <v>12.3</v>
      </c>
      <c r="E506" s="97" t="n">
        <v>91</v>
      </c>
      <c r="F506" s="97" t="inlineStr">
        <is>
          <t>Berat Badan Normal</t>
        </is>
      </c>
      <c r="G506" s="97" t="inlineStr">
        <is>
          <t>Normal</t>
        </is>
      </c>
      <c r="H506" s="97" t="inlineStr">
        <is>
          <t>Gizi Baik</t>
        </is>
      </c>
      <c r="I506" s="98" t="inlineStr">
        <is>
          <t>Ya</t>
        </is>
      </c>
      <c r="J506" s="98">
        <f>IF(G506="Normal","Tidak",IF(G506="Pendek","Potensi Stunting",IF(G506="Sangat Pendek","Stunting","")))</f>
        <v/>
      </c>
    </row>
    <row r="507" ht="15.75" customHeight="1" s="95">
      <c r="A507" s="97" t="inlineStr">
        <is>
          <t>anonymus0506</t>
        </is>
      </c>
      <c r="B507" s="97" t="inlineStr">
        <is>
          <t xml:space="preserve">L </t>
        </is>
      </c>
      <c r="C507" s="97" t="inlineStr">
        <is>
          <t>35-69 Bulan</t>
        </is>
      </c>
      <c r="D507" s="97" t="inlineStr">
        <is>
          <t>19.8</t>
        </is>
      </c>
      <c r="E507" s="97" t="n">
        <v>105</v>
      </c>
      <c r="F507" s="97" t="inlineStr">
        <is>
          <t>Berat Badan Normal</t>
        </is>
      </c>
      <c r="G507" s="97" t="inlineStr">
        <is>
          <t>Normal</t>
        </is>
      </c>
      <c r="H507" s="97" t="inlineStr">
        <is>
          <t>Risiko Gizi Lebih</t>
        </is>
      </c>
      <c r="I507" s="98" t="inlineStr">
        <is>
          <t>Ya</t>
        </is>
      </c>
      <c r="J507" s="98">
        <f>IF(G507="Normal","Tidak",IF(G507="Pendek","Potensi Stunting",IF(G507="Sangat Pendek","Stunting","")))</f>
        <v/>
      </c>
    </row>
    <row r="508" ht="15.75" customHeight="1" s="95">
      <c r="A508" s="97" t="inlineStr">
        <is>
          <t>anonymus0507</t>
        </is>
      </c>
      <c r="B508" s="97" t="inlineStr">
        <is>
          <t>P</t>
        </is>
      </c>
      <c r="C508" s="97" t="inlineStr">
        <is>
          <t>35-69 Bulan</t>
        </is>
      </c>
      <c r="D508" s="97" t="n">
        <v>11.7</v>
      </c>
      <c r="E508" s="97" t="n">
        <v>80</v>
      </c>
      <c r="F508" s="97" t="inlineStr">
        <is>
          <t>Normal</t>
        </is>
      </c>
      <c r="G508" s="97" t="inlineStr">
        <is>
          <t>Pendek</t>
        </is>
      </c>
      <c r="H508" s="97" t="inlineStr">
        <is>
          <t>Risiko Gizi Lebih</t>
        </is>
      </c>
      <c r="I508" s="98" t="inlineStr">
        <is>
          <t>Ya</t>
        </is>
      </c>
      <c r="J508" s="98">
        <f>IF(G508="Normal","Tidak",IF(G508="Pendek","Potensi Stunting",IF(G508="Sangat Pendek","Stunting","")))</f>
        <v/>
      </c>
    </row>
    <row r="509" ht="15.75" customHeight="1" s="95">
      <c r="A509" s="97" t="inlineStr">
        <is>
          <t>anonymus0508</t>
        </is>
      </c>
      <c r="B509" s="97" t="inlineStr">
        <is>
          <t>L</t>
        </is>
      </c>
      <c r="C509" s="97" t="inlineStr">
        <is>
          <t>35-69 Bulan</t>
        </is>
      </c>
      <c r="D509" s="97" t="n">
        <v>10</v>
      </c>
      <c r="E509" s="97" t="n">
        <v>101</v>
      </c>
      <c r="F509" s="97" t="inlineStr">
        <is>
          <t>Berat Badan Normal</t>
        </is>
      </c>
      <c r="G509" s="97" t="inlineStr">
        <is>
          <t>Normal</t>
        </is>
      </c>
      <c r="H509" s="97" t="inlineStr">
        <is>
          <t>Gizi Baik</t>
        </is>
      </c>
      <c r="I509" s="98" t="inlineStr">
        <is>
          <t>Ya</t>
        </is>
      </c>
      <c r="J509" s="98">
        <f>IF(G509="Normal","Tidak",IF(G509="Pendek","Potensi Stunting",IF(G509="Sangat Pendek","Stunting","")))</f>
        <v/>
      </c>
    </row>
    <row r="510" ht="15.75" customHeight="1" s="95">
      <c r="A510" s="97" t="inlineStr">
        <is>
          <t>anonymus0509</t>
        </is>
      </c>
      <c r="B510" s="97" t="inlineStr">
        <is>
          <t>P</t>
        </is>
      </c>
      <c r="C510" s="97" t="inlineStr">
        <is>
          <t>35-69 Bulan</t>
        </is>
      </c>
      <c r="D510" s="97" t="n">
        <v>11.6</v>
      </c>
      <c r="E510" s="97" t="n">
        <v>86.5</v>
      </c>
      <c r="F510" s="97" t="inlineStr">
        <is>
          <t>Sangat Kurang</t>
        </is>
      </c>
      <c r="G510" s="97" t="inlineStr">
        <is>
          <t>Sangat Pendek</t>
        </is>
      </c>
      <c r="H510" s="97" t="inlineStr">
        <is>
          <t>Gizi Baik</t>
        </is>
      </c>
      <c r="I510" s="98" t="inlineStr">
        <is>
          <t>Ya</t>
        </is>
      </c>
      <c r="J510" s="98">
        <f>IF(G510="Normal","Tidak",IF(G510="Pendek","Potensi Stunting",IF(G510="Sangat Pendek","Stunting","")))</f>
        <v/>
      </c>
    </row>
    <row r="511" ht="15.75" customHeight="1" s="95">
      <c r="A511" s="97" t="inlineStr">
        <is>
          <t>anonymus0510</t>
        </is>
      </c>
      <c r="B511" s="97" t="inlineStr">
        <is>
          <t>L</t>
        </is>
      </c>
      <c r="C511" s="97" t="inlineStr">
        <is>
          <t>1-34 Bulan</t>
        </is>
      </c>
      <c r="D511" s="97" t="n">
        <v>10.8</v>
      </c>
      <c r="E511" s="97" t="n">
        <v>91</v>
      </c>
      <c r="F511" s="97" t="inlineStr">
        <is>
          <t>Berat Badan Normal</t>
        </is>
      </c>
      <c r="G511" s="97" t="inlineStr">
        <is>
          <t>Normal</t>
        </is>
      </c>
      <c r="H511" s="97" t="inlineStr">
        <is>
          <t>Gizi Baik</t>
        </is>
      </c>
      <c r="I511" s="98" t="inlineStr">
        <is>
          <t>Ya</t>
        </is>
      </c>
      <c r="J511" s="98">
        <f>IF(G511="Normal","Tidak",IF(G511="Pendek","Potensi Stunting",IF(G511="Sangat Pendek","Stunting","")))</f>
        <v/>
      </c>
    </row>
    <row r="512" ht="15.75" customHeight="1" s="95">
      <c r="A512" s="97" t="inlineStr">
        <is>
          <t>anonymus0511</t>
        </is>
      </c>
      <c r="B512" s="97" t="inlineStr">
        <is>
          <t>L</t>
        </is>
      </c>
      <c r="C512" s="97" t="inlineStr">
        <is>
          <t>35-69 Bulan</t>
        </is>
      </c>
      <c r="D512" s="97" t="n">
        <v>14.8</v>
      </c>
      <c r="E512" s="97" t="n">
        <v>90</v>
      </c>
      <c r="F512" s="97" t="inlineStr">
        <is>
          <t>Normal</t>
        </is>
      </c>
      <c r="G512" s="97" t="inlineStr">
        <is>
          <t>Pendek</t>
        </is>
      </c>
      <c r="H512" s="97" t="inlineStr">
        <is>
          <t>Risiko Gizi Lebih</t>
        </is>
      </c>
      <c r="I512" s="98" t="inlineStr">
        <is>
          <t>Ya</t>
        </is>
      </c>
      <c r="J512" s="98">
        <f>IF(G512="Normal","Tidak",IF(G512="Pendek","Potensi Stunting",IF(G512="Sangat Pendek","Stunting","")))</f>
        <v/>
      </c>
    </row>
    <row r="513" ht="15.75" customHeight="1" s="95">
      <c r="A513" s="97" t="inlineStr">
        <is>
          <t>anonymus0512</t>
        </is>
      </c>
      <c r="B513" s="97" t="inlineStr">
        <is>
          <t>L</t>
        </is>
      </c>
      <c r="C513" s="97" t="inlineStr">
        <is>
          <t>35-69 Bulan</t>
        </is>
      </c>
      <c r="D513" s="97" t="n">
        <v>16.1</v>
      </c>
      <c r="E513" s="97" t="n">
        <v>92</v>
      </c>
      <c r="F513" s="97" t="inlineStr">
        <is>
          <t>Berat Badan Normal</t>
        </is>
      </c>
      <c r="G513" s="97" t="inlineStr">
        <is>
          <t>Normal</t>
        </is>
      </c>
      <c r="H513" s="97" t="inlineStr">
        <is>
          <t>Gizi Baik</t>
        </is>
      </c>
      <c r="I513" s="98" t="inlineStr">
        <is>
          <t>Ya</t>
        </is>
      </c>
      <c r="J513" s="98">
        <f>IF(G513="Normal","Tidak",IF(G513="Pendek","Potensi Stunting",IF(G513="Sangat Pendek","Stunting","")))</f>
        <v/>
      </c>
    </row>
    <row r="514" ht="15.75" customHeight="1" s="95">
      <c r="A514" s="97" t="inlineStr">
        <is>
          <t>anonymus0513</t>
        </is>
      </c>
      <c r="B514" s="97" t="inlineStr">
        <is>
          <t>P</t>
        </is>
      </c>
      <c r="C514" s="97" t="inlineStr">
        <is>
          <t>1-34 Bulan</t>
        </is>
      </c>
      <c r="D514" s="97" t="n">
        <v>7.6</v>
      </c>
      <c r="E514" s="97" t="n">
        <v>74</v>
      </c>
      <c r="F514" s="97" t="inlineStr">
        <is>
          <t>Kurang</t>
        </is>
      </c>
      <c r="G514" s="97" t="inlineStr">
        <is>
          <t>Pendek</t>
        </is>
      </c>
      <c r="H514" s="97" t="inlineStr">
        <is>
          <t>Gizi Baik</t>
        </is>
      </c>
      <c r="I514" s="98" t="inlineStr">
        <is>
          <t>Ya</t>
        </is>
      </c>
      <c r="J514" s="98">
        <f>IF(G514="Normal","Tidak",IF(G514="Pendek","Potensi Stunting",IF(G514="Sangat Pendek","Stunting","")))</f>
        <v/>
      </c>
    </row>
    <row r="515" ht="15.75" customHeight="1" s="95">
      <c r="A515" s="97" t="inlineStr">
        <is>
          <t>anonymus0514</t>
        </is>
      </c>
      <c r="B515" s="97" t="inlineStr">
        <is>
          <t xml:space="preserve">L </t>
        </is>
      </c>
      <c r="C515" s="97" t="inlineStr">
        <is>
          <t>1-34 Bulan</t>
        </is>
      </c>
      <c r="D515" s="97" t="inlineStr">
        <is>
          <t>12.7</t>
        </is>
      </c>
      <c r="E515" s="97" t="n">
        <v>84</v>
      </c>
      <c r="F515" s="97" t="inlineStr">
        <is>
          <t>Risiko Lebih</t>
        </is>
      </c>
      <c r="G515" s="97" t="inlineStr">
        <is>
          <t>Normal</t>
        </is>
      </c>
      <c r="H515" s="97" t="inlineStr">
        <is>
          <t>Risiko Gizi Lebih</t>
        </is>
      </c>
      <c r="I515" s="98" t="inlineStr">
        <is>
          <t>Ya</t>
        </is>
      </c>
      <c r="J515" s="98">
        <f>IF(G515="Normal","Tidak",IF(G515="Pendek","Potensi Stunting",IF(G515="Sangat Pendek","Stunting","")))</f>
        <v/>
      </c>
    </row>
    <row r="516" ht="15.75" customHeight="1" s="95">
      <c r="A516" s="97" t="inlineStr">
        <is>
          <t>anonymus0515</t>
        </is>
      </c>
      <c r="B516" s="97" t="inlineStr">
        <is>
          <t>P</t>
        </is>
      </c>
      <c r="C516" s="97" t="inlineStr">
        <is>
          <t>1-34 Bulan</t>
        </is>
      </c>
      <c r="D516" s="97" t="n">
        <v>11.4</v>
      </c>
      <c r="E516" s="97" t="n">
        <v>74</v>
      </c>
      <c r="F516" s="97" t="inlineStr">
        <is>
          <t>Berat Badan Normal</t>
        </is>
      </c>
      <c r="G516" s="97" t="inlineStr">
        <is>
          <t>Normal</t>
        </is>
      </c>
      <c r="H516" s="97" t="inlineStr">
        <is>
          <t>Gizi Baik</t>
        </is>
      </c>
      <c r="I516" s="98" t="inlineStr">
        <is>
          <t>Ya</t>
        </is>
      </c>
      <c r="J516" s="98">
        <f>IF(G516="Normal","Tidak",IF(G516="Pendek","Potensi Stunting",IF(G516="Sangat Pendek","Stunting","")))</f>
        <v/>
      </c>
    </row>
    <row r="517" ht="15.75" customHeight="1" s="95">
      <c r="A517" s="97" t="inlineStr">
        <is>
          <t>anonymus0516</t>
        </is>
      </c>
      <c r="B517" s="97" t="inlineStr">
        <is>
          <t>P</t>
        </is>
      </c>
      <c r="C517" s="97" t="inlineStr">
        <is>
          <t>35-69 Bulan</t>
        </is>
      </c>
      <c r="D517" s="97" t="n">
        <v>13.5</v>
      </c>
      <c r="E517" s="97" t="n">
        <v>106</v>
      </c>
      <c r="F517" s="97" t="inlineStr">
        <is>
          <t>Berat Badan Normal</t>
        </is>
      </c>
      <c r="G517" s="97" t="inlineStr">
        <is>
          <t>Normal</t>
        </is>
      </c>
      <c r="H517" s="97" t="inlineStr">
        <is>
          <t>Gizi Baik</t>
        </is>
      </c>
      <c r="I517" s="98" t="inlineStr">
        <is>
          <t>Ya</t>
        </is>
      </c>
      <c r="J517" s="98">
        <f>IF(G517="Normal","Tidak",IF(G517="Pendek","Potensi Stunting",IF(G517="Sangat Pendek","Stunting","")))</f>
        <v/>
      </c>
    </row>
    <row r="518" ht="15.75" customHeight="1" s="95">
      <c r="A518" s="97" t="inlineStr">
        <is>
          <t>anonymus0517</t>
        </is>
      </c>
      <c r="B518" s="97" t="inlineStr">
        <is>
          <t>L</t>
        </is>
      </c>
      <c r="C518" s="97" t="inlineStr">
        <is>
          <t>1-34 Bulan</t>
        </is>
      </c>
      <c r="D518" s="97" t="n">
        <v>7</v>
      </c>
      <c r="E518" s="97" t="n">
        <v>72</v>
      </c>
      <c r="F518" s="97" t="inlineStr">
        <is>
          <t>Kurang</t>
        </is>
      </c>
      <c r="G518" s="97" t="inlineStr">
        <is>
          <t>Normal</t>
        </is>
      </c>
      <c r="H518" s="97" t="inlineStr">
        <is>
          <t>Gizi Kurang</t>
        </is>
      </c>
      <c r="I518" s="98" t="inlineStr">
        <is>
          <t>Ya</t>
        </is>
      </c>
      <c r="J518" s="98">
        <f>IF(G518="Normal","Tidak",IF(G518="Pendek","Potensi Stunting",IF(G518="Sangat Pendek","Stunting","")))</f>
        <v/>
      </c>
    </row>
    <row r="519" ht="15.75" customHeight="1" s="95">
      <c r="A519" s="97" t="inlineStr">
        <is>
          <t>anonymus0518</t>
        </is>
      </c>
      <c r="B519" s="97" t="inlineStr">
        <is>
          <t>P</t>
        </is>
      </c>
      <c r="C519" s="97" t="inlineStr">
        <is>
          <t>35-69 Bulan</t>
        </is>
      </c>
      <c r="D519" s="97" t="n">
        <v>12</v>
      </c>
      <c r="E519" s="97" t="n">
        <v>94</v>
      </c>
      <c r="F519" s="97" t="inlineStr">
        <is>
          <t>Kurang</t>
        </is>
      </c>
      <c r="G519" s="97" t="inlineStr">
        <is>
          <t>Pendek</t>
        </is>
      </c>
      <c r="H519" s="97" t="inlineStr">
        <is>
          <t>Gizi Baik</t>
        </is>
      </c>
      <c r="I519" s="98" t="inlineStr">
        <is>
          <t>Ya</t>
        </is>
      </c>
      <c r="J519" s="98">
        <f>IF(G519="Normal","Tidak",IF(G519="Pendek","Potensi Stunting",IF(G519="Sangat Pendek","Stunting","")))</f>
        <v/>
      </c>
    </row>
    <row r="520" ht="15.75" customHeight="1" s="95">
      <c r="A520" s="97" t="inlineStr">
        <is>
          <t>anonymus0519</t>
        </is>
      </c>
      <c r="B520" s="97" t="inlineStr">
        <is>
          <t>L</t>
        </is>
      </c>
      <c r="C520" s="97" t="inlineStr">
        <is>
          <t>1-34 Bulan</t>
        </is>
      </c>
      <c r="D520" s="97" t="n">
        <v>8.300000000000001</v>
      </c>
      <c r="E520" s="97" t="n">
        <v>72.5</v>
      </c>
      <c r="F520" s="97" t="inlineStr">
        <is>
          <t>Normal</t>
        </is>
      </c>
      <c r="G520" s="97" t="inlineStr">
        <is>
          <t>Pendek</t>
        </is>
      </c>
      <c r="H520" s="97" t="inlineStr">
        <is>
          <t>Gizi Baik</t>
        </is>
      </c>
      <c r="I520" s="98" t="inlineStr">
        <is>
          <t>Ya</t>
        </is>
      </c>
      <c r="J520" s="98">
        <f>IF(G520="Normal","Tidak",IF(G520="Pendek","Potensi Stunting",IF(G520="Sangat Pendek","Stunting","")))</f>
        <v/>
      </c>
    </row>
    <row r="521" ht="15.75" customHeight="1" s="95">
      <c r="A521" s="97" t="inlineStr">
        <is>
          <t>anonymus0520</t>
        </is>
      </c>
      <c r="B521" s="97" t="inlineStr">
        <is>
          <t>L</t>
        </is>
      </c>
      <c r="C521" s="97" t="inlineStr">
        <is>
          <t>35-69 Bulan</t>
        </is>
      </c>
      <c r="D521" s="97" t="n">
        <v>11</v>
      </c>
      <c r="E521" s="97" t="n">
        <v>89</v>
      </c>
      <c r="F521" s="97" t="inlineStr">
        <is>
          <t>Kurang</t>
        </is>
      </c>
      <c r="G521" s="97" t="inlineStr">
        <is>
          <t>Pendek</t>
        </is>
      </c>
      <c r="H521" s="97" t="inlineStr">
        <is>
          <t>Gizi Baik</t>
        </is>
      </c>
      <c r="I521" s="98" t="inlineStr">
        <is>
          <t>Ya</t>
        </is>
      </c>
      <c r="J521" s="98">
        <f>IF(G521="Normal","Tidak",IF(G521="Pendek","Potensi Stunting",IF(G521="Sangat Pendek","Stunting","")))</f>
        <v/>
      </c>
    </row>
    <row r="522" ht="15.75" customHeight="1" s="95">
      <c r="A522" s="97" t="inlineStr">
        <is>
          <t>anonymus0521</t>
        </is>
      </c>
      <c r="B522" s="97" t="inlineStr">
        <is>
          <t xml:space="preserve">P </t>
        </is>
      </c>
      <c r="C522" s="97" t="inlineStr">
        <is>
          <t>1-34 Bulan</t>
        </is>
      </c>
      <c r="D522" s="97" t="n">
        <v>8</v>
      </c>
      <c r="E522" s="97" t="n">
        <v>71</v>
      </c>
      <c r="F522" s="97" t="inlineStr">
        <is>
          <t>Berat Badan Normal</t>
        </is>
      </c>
      <c r="G522" s="97" t="inlineStr">
        <is>
          <t>Normal</t>
        </is>
      </c>
      <c r="H522" s="97" t="inlineStr">
        <is>
          <t>Gizi Baik</t>
        </is>
      </c>
      <c r="I522" s="98" t="inlineStr">
        <is>
          <t>Ya</t>
        </is>
      </c>
      <c r="J522" s="98">
        <f>IF(G522="Normal","Tidak",IF(G522="Pendek","Potensi Stunting",IF(G522="Sangat Pendek","Stunting","")))</f>
        <v/>
      </c>
    </row>
    <row r="523" ht="15.75" customHeight="1" s="95">
      <c r="A523" s="97" t="inlineStr">
        <is>
          <t>anonymus0522</t>
        </is>
      </c>
      <c r="B523" s="97" t="inlineStr">
        <is>
          <t>P</t>
        </is>
      </c>
      <c r="C523" s="97" t="inlineStr">
        <is>
          <t>1-34 Bulan</t>
        </is>
      </c>
      <c r="D523" s="97" t="n">
        <v>13.9</v>
      </c>
      <c r="E523" s="97" t="n">
        <v>83</v>
      </c>
      <c r="F523" s="97" t="inlineStr">
        <is>
          <t>Berat Badan Normal</t>
        </is>
      </c>
      <c r="G523" s="97" t="inlineStr">
        <is>
          <t>Normal</t>
        </is>
      </c>
      <c r="H523" s="97" t="inlineStr">
        <is>
          <t>Gizi Baik</t>
        </is>
      </c>
      <c r="I523" s="98" t="inlineStr">
        <is>
          <t>Ya</t>
        </is>
      </c>
      <c r="J523" s="98">
        <f>IF(G523="Normal","Tidak",IF(G523="Pendek","Potensi Stunting",IF(G523="Sangat Pendek","Stunting","")))</f>
        <v/>
      </c>
    </row>
    <row r="524" ht="15.75" customHeight="1" s="95">
      <c r="A524" s="97" t="inlineStr">
        <is>
          <t>anonymus0523</t>
        </is>
      </c>
      <c r="B524" s="97" t="inlineStr">
        <is>
          <t xml:space="preserve">L </t>
        </is>
      </c>
      <c r="C524" s="97" t="inlineStr">
        <is>
          <t>1-34 Bulan</t>
        </is>
      </c>
      <c r="D524" s="97" t="inlineStr">
        <is>
          <t>9.2</t>
        </is>
      </c>
      <c r="E524" s="97" t="n">
        <v>81</v>
      </c>
      <c r="F524" s="97" t="inlineStr">
        <is>
          <t>Berat Badan Normal</t>
        </is>
      </c>
      <c r="G524" s="97" t="inlineStr">
        <is>
          <t>Normal</t>
        </is>
      </c>
      <c r="H524" s="97" t="inlineStr">
        <is>
          <t>Gizi Baik</t>
        </is>
      </c>
      <c r="I524" s="98" t="inlineStr">
        <is>
          <t>Ya</t>
        </is>
      </c>
      <c r="J524" s="98">
        <f>IF(G524="Normal","Tidak",IF(G524="Pendek","Potensi Stunting",IF(G524="Sangat Pendek","Stunting","")))</f>
        <v/>
      </c>
    </row>
    <row r="525" ht="15.75" customHeight="1" s="95">
      <c r="A525" s="97" t="inlineStr">
        <is>
          <t>anonymus0524</t>
        </is>
      </c>
      <c r="B525" s="97" t="inlineStr">
        <is>
          <t>L</t>
        </is>
      </c>
      <c r="C525" s="97" t="inlineStr">
        <is>
          <t>35-69 Bulan</t>
        </is>
      </c>
      <c r="D525" s="97" t="n">
        <v>13.6</v>
      </c>
      <c r="E525" s="97" t="n">
        <v>87.3</v>
      </c>
      <c r="F525" s="97" t="inlineStr">
        <is>
          <t>Kurang</t>
        </is>
      </c>
      <c r="G525" s="97" t="inlineStr">
        <is>
          <t>Sangat Pendek</t>
        </is>
      </c>
      <c r="H525" s="97" t="inlineStr">
        <is>
          <t>Risiko Gizi Lebih</t>
        </is>
      </c>
      <c r="I525" s="98" t="inlineStr">
        <is>
          <t>Ya</t>
        </is>
      </c>
      <c r="J525" s="98">
        <f>IF(G525="Normal","Tidak",IF(G525="Pendek","Potensi Stunting",IF(G525="Sangat Pendek","Stunting","")))</f>
        <v/>
      </c>
    </row>
    <row r="526" ht="15.75" customHeight="1" s="95">
      <c r="A526" s="97" t="inlineStr">
        <is>
          <t>anonymus0525</t>
        </is>
      </c>
      <c r="B526" s="97" t="inlineStr">
        <is>
          <t>P</t>
        </is>
      </c>
      <c r="C526" s="97" t="inlineStr">
        <is>
          <t>35-69 Bulan</t>
        </is>
      </c>
      <c r="D526" s="97" t="n">
        <v>11.4</v>
      </c>
      <c r="E526" s="97" t="n">
        <v>94</v>
      </c>
      <c r="F526" s="97" t="inlineStr">
        <is>
          <t>Normal</t>
        </is>
      </c>
      <c r="G526" s="97" t="inlineStr">
        <is>
          <t>Normal</t>
        </is>
      </c>
      <c r="H526" s="97" t="inlineStr">
        <is>
          <t>Gizi Kurang</t>
        </is>
      </c>
      <c r="I526" s="98" t="inlineStr">
        <is>
          <t>Ya</t>
        </is>
      </c>
      <c r="J526" s="98">
        <f>IF(G526="Normal","Tidak",IF(G526="Pendek","Potensi Stunting",IF(G526="Sangat Pendek","Stunting","")))</f>
        <v/>
      </c>
    </row>
    <row r="527" ht="15.75" customHeight="1" s="95">
      <c r="A527" s="97" t="inlineStr">
        <is>
          <t>anonymus0526</t>
        </is>
      </c>
      <c r="B527" s="97" t="inlineStr">
        <is>
          <t>P</t>
        </is>
      </c>
      <c r="C527" s="97" t="inlineStr">
        <is>
          <t>35-69 Bulan</t>
        </is>
      </c>
      <c r="D527" s="97" t="n">
        <v>9.199999999999999</v>
      </c>
      <c r="E527" s="97" t="n">
        <v>81</v>
      </c>
      <c r="F527" s="97" t="inlineStr">
        <is>
          <t>Kurang</t>
        </is>
      </c>
      <c r="G527" s="97" t="inlineStr">
        <is>
          <t>Pendek</t>
        </is>
      </c>
      <c r="H527" s="97" t="inlineStr">
        <is>
          <t>Gizi Baik</t>
        </is>
      </c>
      <c r="I527" s="98" t="inlineStr">
        <is>
          <t>Ya</t>
        </is>
      </c>
      <c r="J527" s="98">
        <f>IF(G527="Normal","Tidak",IF(G527="Pendek","Potensi Stunting",IF(G527="Sangat Pendek","Stunting","")))</f>
        <v/>
      </c>
    </row>
    <row r="528" ht="15.75" customHeight="1" s="95">
      <c r="A528" s="97" t="inlineStr">
        <is>
          <t>anonymus0527</t>
        </is>
      </c>
      <c r="B528" s="97" t="inlineStr">
        <is>
          <t xml:space="preserve">L </t>
        </is>
      </c>
      <c r="C528" s="97" t="inlineStr">
        <is>
          <t>35-69 Bulan</t>
        </is>
      </c>
      <c r="D528" s="97" t="inlineStr">
        <is>
          <t>16.3</t>
        </is>
      </c>
      <c r="E528" s="97" t="n">
        <v>101</v>
      </c>
      <c r="F528" s="97" t="inlineStr">
        <is>
          <t>Berat Badan Normal</t>
        </is>
      </c>
      <c r="G528" s="97" t="inlineStr">
        <is>
          <t>Normal</t>
        </is>
      </c>
      <c r="H528" s="97" t="inlineStr">
        <is>
          <t>Gizi Baik</t>
        </is>
      </c>
      <c r="I528" s="98" t="inlineStr">
        <is>
          <t>Ya</t>
        </is>
      </c>
      <c r="J528" s="98">
        <f>IF(G528="Normal","Tidak",IF(G528="Pendek","Potensi Stunting",IF(G528="Sangat Pendek","Stunting","")))</f>
        <v/>
      </c>
    </row>
    <row r="529" ht="15.75" customHeight="1" s="95">
      <c r="A529" s="97" t="inlineStr">
        <is>
          <t>anonymus0528</t>
        </is>
      </c>
      <c r="B529" s="97" t="inlineStr">
        <is>
          <t>L</t>
        </is>
      </c>
      <c r="C529" s="97" t="inlineStr">
        <is>
          <t>1-34 Bulan</t>
        </is>
      </c>
      <c r="D529" s="97" t="n">
        <v>12.4</v>
      </c>
      <c r="E529" s="97" t="n">
        <v>92</v>
      </c>
      <c r="F529" s="97" t="inlineStr">
        <is>
          <t>Berat Badan Normal</t>
        </is>
      </c>
      <c r="G529" s="97" t="inlineStr">
        <is>
          <t>Normal</t>
        </is>
      </c>
      <c r="H529" s="97" t="inlineStr">
        <is>
          <t>Gizi Baik</t>
        </is>
      </c>
      <c r="I529" s="98" t="inlineStr">
        <is>
          <t>Ya</t>
        </is>
      </c>
      <c r="J529" s="98">
        <f>IF(G529="Normal","Tidak",IF(G529="Pendek","Potensi Stunting",IF(G529="Sangat Pendek","Stunting","")))</f>
        <v/>
      </c>
    </row>
    <row r="530" ht="15.75" customHeight="1" s="95">
      <c r="A530" s="97" t="inlineStr">
        <is>
          <t>anonymus0529</t>
        </is>
      </c>
      <c r="B530" s="97" t="inlineStr">
        <is>
          <t>L</t>
        </is>
      </c>
      <c r="C530" s="97" t="inlineStr">
        <is>
          <t>35-69 Bulan</t>
        </is>
      </c>
      <c r="D530" s="97" t="n">
        <v>12.2</v>
      </c>
      <c r="E530" s="97" t="n">
        <v>97</v>
      </c>
      <c r="F530" s="97" t="inlineStr">
        <is>
          <t>Berat Badan Normal</t>
        </is>
      </c>
      <c r="G530" s="97" t="inlineStr">
        <is>
          <t>Normal</t>
        </is>
      </c>
      <c r="H530" s="97" t="inlineStr">
        <is>
          <t>Gizi Baik</t>
        </is>
      </c>
      <c r="I530" s="98" t="inlineStr">
        <is>
          <t>Ya</t>
        </is>
      </c>
      <c r="J530" s="98">
        <f>IF(G530="Normal","Tidak",IF(G530="Pendek","Potensi Stunting",IF(G530="Sangat Pendek","Stunting","")))</f>
        <v/>
      </c>
    </row>
    <row r="531" ht="15.75" customHeight="1" s="95">
      <c r="A531" s="97" t="inlineStr">
        <is>
          <t>anonymus0530</t>
        </is>
      </c>
      <c r="B531" s="97" t="inlineStr">
        <is>
          <t>P</t>
        </is>
      </c>
      <c r="C531" s="97" t="inlineStr">
        <is>
          <t>35-69 Bulan</t>
        </is>
      </c>
      <c r="D531" s="97" t="n">
        <v>11.1</v>
      </c>
      <c r="E531" s="97" t="n">
        <v>109</v>
      </c>
      <c r="F531" s="97" t="inlineStr">
        <is>
          <t>Berat Badan Normal</t>
        </is>
      </c>
      <c r="G531" s="97" t="inlineStr">
        <is>
          <t>Normal</t>
        </is>
      </c>
      <c r="H531" s="97" t="inlineStr">
        <is>
          <t>Gizi Baik</t>
        </is>
      </c>
      <c r="I531" s="98" t="inlineStr">
        <is>
          <t>Ya</t>
        </is>
      </c>
      <c r="J531" s="98">
        <f>IF(G531="Normal","Tidak",IF(G531="Pendek","Potensi Stunting",IF(G531="Sangat Pendek","Stunting","")))</f>
        <v/>
      </c>
    </row>
    <row r="532" ht="15.75" customHeight="1" s="95">
      <c r="A532" s="97" t="inlineStr">
        <is>
          <t>anonymus0531</t>
        </is>
      </c>
      <c r="B532" s="97" t="inlineStr">
        <is>
          <t>P</t>
        </is>
      </c>
      <c r="C532" s="97" t="inlineStr">
        <is>
          <t>35-69 Bulan</t>
        </is>
      </c>
      <c r="D532" s="97" t="n">
        <v>10.5</v>
      </c>
      <c r="E532" s="97" t="n">
        <v>88.3</v>
      </c>
      <c r="F532" s="97" t="inlineStr">
        <is>
          <t>Kurang</t>
        </is>
      </c>
      <c r="G532" s="97" t="inlineStr">
        <is>
          <t>Pendek</t>
        </is>
      </c>
      <c r="H532" s="97" t="inlineStr">
        <is>
          <t>Gizi Baik</t>
        </is>
      </c>
      <c r="I532" s="98" t="inlineStr">
        <is>
          <t>Ya</t>
        </is>
      </c>
      <c r="J532" s="98">
        <f>IF(G532="Normal","Tidak",IF(G532="Pendek","Potensi Stunting",IF(G532="Sangat Pendek","Stunting","")))</f>
        <v/>
      </c>
    </row>
    <row r="533" ht="15.75" customHeight="1" s="95">
      <c r="A533" s="97" t="inlineStr">
        <is>
          <t>anonymus0532</t>
        </is>
      </c>
      <c r="B533" s="97" t="inlineStr">
        <is>
          <t xml:space="preserve">L </t>
        </is>
      </c>
      <c r="C533" s="97" t="inlineStr">
        <is>
          <t>1-34 Bulan</t>
        </is>
      </c>
      <c r="D533" s="97" t="inlineStr">
        <is>
          <t>8.6</t>
        </is>
      </c>
      <c r="E533" s="97" t="n">
        <v>72</v>
      </c>
      <c r="F533" s="97" t="inlineStr">
        <is>
          <t>Berat Badan Normal</t>
        </is>
      </c>
      <c r="G533" s="97" t="inlineStr">
        <is>
          <t>Normal</t>
        </is>
      </c>
      <c r="H533" s="97" t="inlineStr">
        <is>
          <t>Gizi Baik</t>
        </is>
      </c>
      <c r="I533" s="98" t="inlineStr">
        <is>
          <t>Ya</t>
        </is>
      </c>
      <c r="J533" s="98">
        <f>IF(G533="Normal","Tidak",IF(G533="Pendek","Potensi Stunting",IF(G533="Sangat Pendek","Stunting","")))</f>
        <v/>
      </c>
    </row>
    <row r="534" ht="15.75" customHeight="1" s="95">
      <c r="A534" s="97" t="inlineStr">
        <is>
          <t>anonymus0533</t>
        </is>
      </c>
      <c r="B534" s="97" t="inlineStr">
        <is>
          <t xml:space="preserve">P </t>
        </is>
      </c>
      <c r="C534" s="97" t="inlineStr">
        <is>
          <t>35-69 Bulan</t>
        </is>
      </c>
      <c r="D534" s="97" t="n">
        <v>14</v>
      </c>
      <c r="E534" s="97" t="n">
        <v>105</v>
      </c>
      <c r="F534" s="97" t="inlineStr">
        <is>
          <t>Berat Badan Normal</t>
        </is>
      </c>
      <c r="G534" s="97" t="inlineStr">
        <is>
          <t>Normal</t>
        </is>
      </c>
      <c r="H534" s="97" t="inlineStr">
        <is>
          <t>Gizi Kurang</t>
        </is>
      </c>
      <c r="I534" s="98" t="inlineStr">
        <is>
          <t>Ya</t>
        </is>
      </c>
      <c r="J534" s="98">
        <f>IF(G534="Normal","Tidak",IF(G534="Pendek","Potensi Stunting",IF(G534="Sangat Pendek","Stunting","")))</f>
        <v/>
      </c>
    </row>
    <row r="535" ht="15.75" customHeight="1" s="95">
      <c r="A535" s="97" t="inlineStr">
        <is>
          <t>anonymus0534</t>
        </is>
      </c>
      <c r="B535" s="97" t="inlineStr">
        <is>
          <t>P</t>
        </is>
      </c>
      <c r="C535" s="97" t="inlineStr">
        <is>
          <t>35-69 Bulan</t>
        </is>
      </c>
      <c r="D535" s="97" t="n">
        <v>10.7</v>
      </c>
      <c r="E535" s="97" t="n">
        <v>99</v>
      </c>
      <c r="F535" s="97" t="inlineStr">
        <is>
          <t>Berat Badan Normal</t>
        </is>
      </c>
      <c r="G535" s="97" t="inlineStr">
        <is>
          <t>Normal</t>
        </is>
      </c>
      <c r="H535" s="97" t="inlineStr">
        <is>
          <t>Gizi Baik</t>
        </is>
      </c>
      <c r="I535" s="98" t="inlineStr">
        <is>
          <t>Ya</t>
        </is>
      </c>
      <c r="J535" s="98">
        <f>IF(G535="Normal","Tidak",IF(G535="Pendek","Potensi Stunting",IF(G535="Sangat Pendek","Stunting","")))</f>
        <v/>
      </c>
    </row>
    <row r="536" ht="15.75" customHeight="1" s="95">
      <c r="A536" s="97" t="inlineStr">
        <is>
          <t>anonymus0535</t>
        </is>
      </c>
      <c r="B536" s="97" t="inlineStr">
        <is>
          <t>L</t>
        </is>
      </c>
      <c r="C536" s="97" t="inlineStr">
        <is>
          <t>1-34 Bulan</t>
        </is>
      </c>
      <c r="D536" s="97" t="n">
        <v>13.2</v>
      </c>
      <c r="E536" s="97" t="n">
        <v>80</v>
      </c>
      <c r="F536" s="97" t="inlineStr">
        <is>
          <t>Berat Badan Normal</t>
        </is>
      </c>
      <c r="G536" s="97" t="inlineStr">
        <is>
          <t>Normal</t>
        </is>
      </c>
      <c r="H536" s="97" t="inlineStr">
        <is>
          <t>Gizi Baik</t>
        </is>
      </c>
      <c r="I536" s="98" t="inlineStr">
        <is>
          <t>Ya</t>
        </is>
      </c>
      <c r="J536" s="98">
        <f>IF(G536="Normal","Tidak",IF(G536="Pendek","Potensi Stunting",IF(G536="Sangat Pendek","Stunting","")))</f>
        <v/>
      </c>
    </row>
    <row r="537" ht="15.75" customHeight="1" s="95">
      <c r="A537" s="97" t="inlineStr">
        <is>
          <t>anonymus0536</t>
        </is>
      </c>
      <c r="B537" s="97" t="inlineStr">
        <is>
          <t>L</t>
        </is>
      </c>
      <c r="C537" s="97" t="inlineStr">
        <is>
          <t>35-69 Bulan</t>
        </is>
      </c>
      <c r="D537" s="97" t="n">
        <v>10.4</v>
      </c>
      <c r="E537" s="97" t="n">
        <v>82</v>
      </c>
      <c r="F537" s="97" t="inlineStr">
        <is>
          <t>Normal</t>
        </is>
      </c>
      <c r="G537" s="97" t="inlineStr">
        <is>
          <t>Pendek</t>
        </is>
      </c>
      <c r="H537" s="97" t="inlineStr">
        <is>
          <t>Gizi Baik</t>
        </is>
      </c>
      <c r="I537" s="98" t="inlineStr">
        <is>
          <t>Ya</t>
        </is>
      </c>
      <c r="J537" s="98">
        <f>IF(G537="Normal","Tidak",IF(G537="Pendek","Potensi Stunting",IF(G537="Sangat Pendek","Stunting","")))</f>
        <v/>
      </c>
    </row>
    <row r="538" ht="15.75" customHeight="1" s="95">
      <c r="A538" s="97" t="inlineStr">
        <is>
          <t>anonymus0537</t>
        </is>
      </c>
      <c r="B538" s="97" t="inlineStr">
        <is>
          <t>P</t>
        </is>
      </c>
      <c r="C538" s="97" t="inlineStr">
        <is>
          <t>1-34 Bulan</t>
        </is>
      </c>
      <c r="D538" s="97" t="n">
        <v>10</v>
      </c>
      <c r="E538" s="97" t="n">
        <v>88.59999999999999</v>
      </c>
      <c r="F538" s="97" t="inlineStr">
        <is>
          <t>Normal</t>
        </is>
      </c>
      <c r="G538" s="97" t="inlineStr">
        <is>
          <t>Normal</t>
        </is>
      </c>
      <c r="H538" s="97" t="inlineStr">
        <is>
          <t>Gizi Kurang</t>
        </is>
      </c>
      <c r="I538" s="98" t="inlineStr">
        <is>
          <t>Ya</t>
        </is>
      </c>
      <c r="J538" s="98">
        <f>IF(G538="Normal","Tidak",IF(G538="Pendek","Potensi Stunting",IF(G538="Sangat Pendek","Stunting","")))</f>
        <v/>
      </c>
    </row>
    <row r="539" ht="15.75" customHeight="1" s="95">
      <c r="A539" s="97" t="inlineStr">
        <is>
          <t>anonymus0538</t>
        </is>
      </c>
      <c r="B539" s="97" t="inlineStr">
        <is>
          <t xml:space="preserve">P </t>
        </is>
      </c>
      <c r="C539" s="97" t="inlineStr">
        <is>
          <t>35-69 Bulan</t>
        </is>
      </c>
      <c r="D539" s="97" t="inlineStr">
        <is>
          <t>11.3</t>
        </is>
      </c>
      <c r="E539" s="97" t="n">
        <v>92</v>
      </c>
      <c r="F539" s="97" t="inlineStr">
        <is>
          <t>Kurang</t>
        </is>
      </c>
      <c r="G539" s="97" t="inlineStr">
        <is>
          <t>Normal</t>
        </is>
      </c>
      <c r="H539" s="97" t="inlineStr">
        <is>
          <t>Gizi Baik</t>
        </is>
      </c>
      <c r="I539" s="98" t="inlineStr">
        <is>
          <t>Ya</t>
        </is>
      </c>
      <c r="J539" s="98">
        <f>IF(G539="Normal","Tidak",IF(G539="Pendek","Potensi Stunting",IF(G539="Sangat Pendek","Stunting","")))</f>
        <v/>
      </c>
    </row>
    <row r="540" ht="15.75" customHeight="1" s="95">
      <c r="A540" s="97" t="inlineStr">
        <is>
          <t>anonymus0539</t>
        </is>
      </c>
      <c r="B540" s="97" t="inlineStr">
        <is>
          <t>P</t>
        </is>
      </c>
      <c r="C540" s="97" t="inlineStr">
        <is>
          <t>35-69 Bulan</t>
        </is>
      </c>
      <c r="D540" s="97" t="n">
        <v>8.9</v>
      </c>
      <c r="E540" s="97" t="n">
        <v>76</v>
      </c>
      <c r="F540" s="97" t="inlineStr">
        <is>
          <t>Kurang</t>
        </is>
      </c>
      <c r="G540" s="97" t="inlineStr">
        <is>
          <t>Sangat Pendek</t>
        </is>
      </c>
      <c r="H540" s="97" t="inlineStr">
        <is>
          <t>Gizi Baik</t>
        </is>
      </c>
      <c r="I540" s="98" t="inlineStr">
        <is>
          <t>Ya</t>
        </is>
      </c>
      <c r="J540" s="98">
        <f>IF(G540="Normal","Tidak",IF(G540="Pendek","Potensi Stunting",IF(G540="Sangat Pendek","Stunting","")))</f>
        <v/>
      </c>
    </row>
    <row r="541" ht="15.75" customHeight="1" s="95">
      <c r="A541" s="97" t="inlineStr">
        <is>
          <t>anonymus0540</t>
        </is>
      </c>
      <c r="B541" s="97" t="inlineStr">
        <is>
          <t>L</t>
        </is>
      </c>
      <c r="C541" s="97" t="inlineStr">
        <is>
          <t>1-34 Bulan</t>
        </is>
      </c>
      <c r="D541" s="97" t="n">
        <v>14.7</v>
      </c>
      <c r="E541" s="97" t="n">
        <v>92</v>
      </c>
      <c r="F541" s="97" t="inlineStr">
        <is>
          <t>Berat Badan Normal</t>
        </is>
      </c>
      <c r="G541" s="97" t="inlineStr">
        <is>
          <t>Normal</t>
        </is>
      </c>
      <c r="H541" s="97" t="inlineStr">
        <is>
          <t>Gizi Baik</t>
        </is>
      </c>
      <c r="I541" s="98" t="inlineStr">
        <is>
          <t>Ya</t>
        </is>
      </c>
      <c r="J541" s="98">
        <f>IF(G541="Normal","Tidak",IF(G541="Pendek","Potensi Stunting",IF(G541="Sangat Pendek","Stunting","")))</f>
        <v/>
      </c>
    </row>
    <row r="542" ht="15.75" customHeight="1" s="95">
      <c r="A542" s="97" t="inlineStr">
        <is>
          <t>anonymus0541</t>
        </is>
      </c>
      <c r="B542" s="97" t="inlineStr">
        <is>
          <t xml:space="preserve">P </t>
        </is>
      </c>
      <c r="C542" s="97" t="inlineStr">
        <is>
          <t>35-69 Bulan</t>
        </is>
      </c>
      <c r="D542" s="97" t="inlineStr">
        <is>
          <t>13.4</t>
        </is>
      </c>
      <c r="E542" s="97" t="n">
        <v>97</v>
      </c>
      <c r="F542" s="97" t="inlineStr">
        <is>
          <t>Berat Badan Normal</t>
        </is>
      </c>
      <c r="G542" s="97" t="inlineStr">
        <is>
          <t>Normal</t>
        </is>
      </c>
      <c r="H542" s="97" t="inlineStr">
        <is>
          <t>Gizi Baik</t>
        </is>
      </c>
      <c r="I542" s="98" t="inlineStr">
        <is>
          <t>Ya</t>
        </is>
      </c>
      <c r="J542" s="98">
        <f>IF(G542="Normal","Tidak",IF(G542="Pendek","Potensi Stunting",IF(G542="Sangat Pendek","Stunting","")))</f>
        <v/>
      </c>
    </row>
    <row r="543" ht="15.75" customHeight="1" s="95">
      <c r="A543" s="97" t="inlineStr">
        <is>
          <t>anonymus0542</t>
        </is>
      </c>
      <c r="B543" s="97" t="inlineStr">
        <is>
          <t>L</t>
        </is>
      </c>
      <c r="C543" s="97" t="inlineStr">
        <is>
          <t>35-69 Bulan</t>
        </is>
      </c>
      <c r="D543" s="97" t="n">
        <v>18.3</v>
      </c>
      <c r="E543" s="97" t="n">
        <v>101</v>
      </c>
      <c r="F543" s="97" t="inlineStr">
        <is>
          <t>Risiko Lebih</t>
        </is>
      </c>
      <c r="G543" s="97" t="inlineStr">
        <is>
          <t>Normal</t>
        </is>
      </c>
      <c r="H543" s="97" t="inlineStr">
        <is>
          <t>Gizi Lebih</t>
        </is>
      </c>
      <c r="I543" s="98" t="inlineStr">
        <is>
          <t>Ya</t>
        </is>
      </c>
      <c r="J543" s="98">
        <f>IF(G543="Normal","Tidak",IF(G543="Pendek","Potensi Stunting",IF(G543="Sangat Pendek","Stunting","")))</f>
        <v/>
      </c>
    </row>
    <row r="544" ht="15.75" customHeight="1" s="95">
      <c r="A544" s="97" t="inlineStr">
        <is>
          <t>anonymus0543</t>
        </is>
      </c>
      <c r="B544" s="97" t="inlineStr">
        <is>
          <t>P</t>
        </is>
      </c>
      <c r="C544" s="97" t="inlineStr">
        <is>
          <t>35-69 Bulan</t>
        </is>
      </c>
      <c r="D544" s="97" t="n">
        <v>10</v>
      </c>
      <c r="E544" s="97" t="n">
        <v>88</v>
      </c>
      <c r="F544" s="97" t="inlineStr">
        <is>
          <t>Kurang</t>
        </is>
      </c>
      <c r="G544" s="97" t="inlineStr">
        <is>
          <t>Normal</t>
        </is>
      </c>
      <c r="H544" s="97" t="inlineStr">
        <is>
          <t>Gizi Kurang</t>
        </is>
      </c>
      <c r="I544" s="98" t="inlineStr">
        <is>
          <t>Ya</t>
        </is>
      </c>
      <c r="J544" s="98">
        <f>IF(G544="Normal","Tidak",IF(G544="Pendek","Potensi Stunting",IF(G544="Sangat Pendek","Stunting","")))</f>
        <v/>
      </c>
    </row>
    <row r="545" ht="15.75" customHeight="1" s="95">
      <c r="A545" s="99" t="inlineStr">
        <is>
          <t>anonymus0544</t>
        </is>
      </c>
      <c r="B545" s="97" t="inlineStr">
        <is>
          <t>P</t>
        </is>
      </c>
      <c r="C545" s="97" t="n">
        <v>92</v>
      </c>
      <c r="D545" s="97" t="n">
        <v>11.8</v>
      </c>
      <c r="E545" s="97" t="n">
        <v>94</v>
      </c>
      <c r="F545" s="97" t="inlineStr">
        <is>
          <t>Kurang</t>
        </is>
      </c>
      <c r="G545" s="97" t="inlineStr">
        <is>
          <t>Pendek</t>
        </is>
      </c>
      <c r="H545" s="97" t="inlineStr">
        <is>
          <t>Gizi Baik</t>
        </is>
      </c>
      <c r="I545" s="98" t="inlineStr">
        <is>
          <t>Ya</t>
        </is>
      </c>
      <c r="J545" s="98">
        <f>IF(G545="Normal","Tidak",IF(G545="Pendek","Potensi Stunting",IF(G545="Sangat Pendek","Stunting","")))</f>
        <v/>
      </c>
    </row>
    <row r="546" ht="15.75" customHeight="1" s="95">
      <c r="A546" s="97" t="inlineStr">
        <is>
          <t>anonymus0545</t>
        </is>
      </c>
      <c r="B546" s="97" t="inlineStr">
        <is>
          <t>P</t>
        </is>
      </c>
      <c r="C546" s="97" t="inlineStr">
        <is>
          <t>1-34 Bulan</t>
        </is>
      </c>
      <c r="D546" s="97" t="n">
        <v>14.8</v>
      </c>
      <c r="E546" s="97" t="n">
        <v>78</v>
      </c>
      <c r="F546" s="97" t="inlineStr">
        <is>
          <t>Berat Badan Normal</t>
        </is>
      </c>
      <c r="G546" s="97" t="inlineStr">
        <is>
          <t>Normal</t>
        </is>
      </c>
      <c r="H546" s="97" t="inlineStr">
        <is>
          <t>Gizi Baik</t>
        </is>
      </c>
      <c r="I546" s="98" t="inlineStr">
        <is>
          <t>Ya</t>
        </is>
      </c>
      <c r="J546" s="98">
        <f>IF(G546="Normal","Tidak",IF(G546="Pendek","Potensi Stunting",IF(G546="Sangat Pendek","Stunting","")))</f>
        <v/>
      </c>
    </row>
    <row r="547" ht="15.75" customHeight="1" s="95">
      <c r="A547" s="97" t="inlineStr">
        <is>
          <t>anonymus0546</t>
        </is>
      </c>
      <c r="B547" s="97" t="inlineStr">
        <is>
          <t>L</t>
        </is>
      </c>
      <c r="C547" s="97" t="inlineStr">
        <is>
          <t>1-34 Bulan</t>
        </is>
      </c>
      <c r="D547" s="97" t="n">
        <v>7.1</v>
      </c>
      <c r="E547" s="97" t="n">
        <v>88</v>
      </c>
      <c r="F547" s="97" t="inlineStr">
        <is>
          <t>Kurang</t>
        </is>
      </c>
      <c r="G547" s="97" t="inlineStr">
        <is>
          <t>Normal</t>
        </is>
      </c>
      <c r="H547" s="97" t="inlineStr">
        <is>
          <t>Gizi Kurang</t>
        </is>
      </c>
      <c r="I547" s="98" t="inlineStr">
        <is>
          <t>Ya</t>
        </is>
      </c>
      <c r="J547" s="98">
        <f>IF(G547="Normal","Tidak",IF(G547="Pendek","Potensi Stunting",IF(G547="Sangat Pendek","Stunting","")))</f>
        <v/>
      </c>
    </row>
    <row r="548" ht="15.75" customHeight="1" s="95">
      <c r="A548" s="97" t="inlineStr">
        <is>
          <t>anonymus0547</t>
        </is>
      </c>
      <c r="B548" s="97" t="inlineStr">
        <is>
          <t>P</t>
        </is>
      </c>
      <c r="C548" s="97" t="inlineStr">
        <is>
          <t>1-34 Bulan</t>
        </is>
      </c>
      <c r="D548" s="97" t="n">
        <v>14.6</v>
      </c>
      <c r="E548" s="97" t="n">
        <v>76</v>
      </c>
      <c r="F548" s="97" t="inlineStr">
        <is>
          <t>Berat Badan Normal</t>
        </is>
      </c>
      <c r="G548" s="97" t="inlineStr">
        <is>
          <t>Normal</t>
        </is>
      </c>
      <c r="H548" s="97" t="inlineStr">
        <is>
          <t>Gizi Baik</t>
        </is>
      </c>
      <c r="I548" s="98" t="inlineStr">
        <is>
          <t>Ya</t>
        </is>
      </c>
      <c r="J548" s="98">
        <f>IF(G548="Normal","Tidak",IF(G548="Pendek","Potensi Stunting",IF(G548="Sangat Pendek","Stunting","")))</f>
        <v/>
      </c>
    </row>
    <row r="549" ht="15.75" customHeight="1" s="95">
      <c r="A549" s="97" t="inlineStr">
        <is>
          <t>anonymus0548</t>
        </is>
      </c>
      <c r="B549" s="97" t="inlineStr">
        <is>
          <t>L</t>
        </is>
      </c>
      <c r="C549" s="97" t="inlineStr">
        <is>
          <t>1-34 Bulan</t>
        </is>
      </c>
      <c r="D549" s="97" t="n">
        <v>3.5</v>
      </c>
      <c r="E549" s="97" t="n">
        <v>50</v>
      </c>
      <c r="F549" s="97" t="inlineStr">
        <is>
          <t>Normal</t>
        </is>
      </c>
      <c r="G549" s="97" t="inlineStr">
        <is>
          <t>Pendek</t>
        </is>
      </c>
      <c r="H549" s="97" t="inlineStr">
        <is>
          <t>Gizi Baik</t>
        </is>
      </c>
      <c r="I549" s="98" t="inlineStr">
        <is>
          <t>Ya</t>
        </is>
      </c>
      <c r="J549" s="98">
        <f>IF(G549="Normal","Tidak",IF(G549="Pendek","Potensi Stunting",IF(G549="Sangat Pendek","Stunting","")))</f>
        <v/>
      </c>
    </row>
    <row r="550" ht="15.75" customHeight="1" s="95">
      <c r="A550" s="97" t="inlineStr">
        <is>
          <t>anonymus0549</t>
        </is>
      </c>
      <c r="B550" s="97" t="inlineStr">
        <is>
          <t>P</t>
        </is>
      </c>
      <c r="C550" s="97" t="inlineStr">
        <is>
          <t>1-34 Bulan</t>
        </is>
      </c>
      <c r="D550" s="97" t="n">
        <v>12.8</v>
      </c>
      <c r="E550" s="97" t="n">
        <v>78</v>
      </c>
      <c r="F550" s="97" t="inlineStr">
        <is>
          <t>Berat Badan Normal</t>
        </is>
      </c>
      <c r="G550" s="97" t="inlineStr">
        <is>
          <t>Normal</t>
        </is>
      </c>
      <c r="H550" s="97" t="inlineStr">
        <is>
          <t>Gizi Baik</t>
        </is>
      </c>
      <c r="I550" s="98" t="inlineStr">
        <is>
          <t>Ya</t>
        </is>
      </c>
      <c r="J550" s="98">
        <f>IF(G550="Normal","Tidak",IF(G550="Pendek","Potensi Stunting",IF(G550="Sangat Pendek","Stunting","")))</f>
        <v/>
      </c>
    </row>
    <row r="551" ht="15.75" customHeight="1" s="95">
      <c r="A551" s="97" t="inlineStr">
        <is>
          <t>anonymus0550</t>
        </is>
      </c>
      <c r="B551" s="97" t="inlineStr">
        <is>
          <t xml:space="preserve">P </t>
        </is>
      </c>
      <c r="C551" s="97" t="inlineStr">
        <is>
          <t>1-34 Bulan</t>
        </is>
      </c>
      <c r="D551" s="97" t="inlineStr">
        <is>
          <t>8.2</t>
        </is>
      </c>
      <c r="E551" s="97" t="n">
        <v>67</v>
      </c>
      <c r="F551" s="97" t="inlineStr">
        <is>
          <t>Berat Badan Normal</t>
        </is>
      </c>
      <c r="G551" s="97" t="inlineStr">
        <is>
          <t>Normal</t>
        </is>
      </c>
      <c r="H551" s="97" t="inlineStr">
        <is>
          <t>Gizi Baik</t>
        </is>
      </c>
      <c r="I551" s="98" t="inlineStr">
        <is>
          <t>Ya</t>
        </is>
      </c>
      <c r="J551" s="98">
        <f>IF(G551="Normal","Tidak",IF(G551="Pendek","Potensi Stunting",IF(G551="Sangat Pendek","Stunting","")))</f>
        <v/>
      </c>
    </row>
    <row r="552" ht="15.75" customHeight="1" s="95">
      <c r="A552" s="97" t="inlineStr">
        <is>
          <t>anonymus0551</t>
        </is>
      </c>
      <c r="B552" s="97" t="inlineStr">
        <is>
          <t>L</t>
        </is>
      </c>
      <c r="C552" s="97" t="inlineStr">
        <is>
          <t>1-34 Bulan</t>
        </is>
      </c>
      <c r="D552" s="97" t="n">
        <v>14.6</v>
      </c>
      <c r="E552" s="97" t="n">
        <v>92</v>
      </c>
      <c r="F552" s="97" t="inlineStr">
        <is>
          <t>Berat Badan Normal</t>
        </is>
      </c>
      <c r="G552" s="97" t="inlineStr">
        <is>
          <t>Normal</t>
        </is>
      </c>
      <c r="H552" s="97" t="inlineStr">
        <is>
          <t>Gizi Baik</t>
        </is>
      </c>
      <c r="I552" s="98" t="inlineStr">
        <is>
          <t>Ya</t>
        </is>
      </c>
      <c r="J552" s="98">
        <f>IF(G552="Normal","Tidak",IF(G552="Pendek","Potensi Stunting",IF(G552="Sangat Pendek","Stunting","")))</f>
        <v/>
      </c>
    </row>
    <row r="553" ht="15.75" customHeight="1" s="95">
      <c r="A553" s="97" t="inlineStr">
        <is>
          <t>anonymus0552</t>
        </is>
      </c>
      <c r="B553" s="97" t="inlineStr">
        <is>
          <t>P</t>
        </is>
      </c>
      <c r="C553" s="97" t="inlineStr">
        <is>
          <t>35-69 Bulan</t>
        </is>
      </c>
      <c r="D553" s="97" t="n">
        <v>12.9</v>
      </c>
      <c r="E553" s="97" t="n">
        <v>95.5</v>
      </c>
      <c r="F553" s="97" t="inlineStr">
        <is>
          <t>Kurang</t>
        </is>
      </c>
      <c r="G553" s="97" t="inlineStr">
        <is>
          <t>Pendek</t>
        </is>
      </c>
      <c r="H553" s="97" t="inlineStr">
        <is>
          <t>Gizi Baik</t>
        </is>
      </c>
      <c r="I553" s="98" t="inlineStr">
        <is>
          <t>Ya</t>
        </is>
      </c>
      <c r="J553" s="98">
        <f>IF(G553="Normal","Tidak",IF(G553="Pendek","Potensi Stunting",IF(G553="Sangat Pendek","Stunting","")))</f>
        <v/>
      </c>
    </row>
    <row r="554" ht="15.75" customHeight="1" s="95">
      <c r="A554" s="97" t="inlineStr">
        <is>
          <t>anonymus0553</t>
        </is>
      </c>
      <c r="B554" s="97" t="inlineStr">
        <is>
          <t>L</t>
        </is>
      </c>
      <c r="C554" s="97" t="inlineStr">
        <is>
          <t>1-34 Bulan</t>
        </is>
      </c>
      <c r="D554" s="97" t="n">
        <v>12.7</v>
      </c>
      <c r="E554" s="97" t="n">
        <v>80</v>
      </c>
      <c r="F554" s="97" t="inlineStr">
        <is>
          <t>Berat Badan Normal</t>
        </is>
      </c>
      <c r="G554" s="97" t="inlineStr">
        <is>
          <t>Normal</t>
        </is>
      </c>
      <c r="H554" s="97" t="inlineStr">
        <is>
          <t>Gizi Baik</t>
        </is>
      </c>
      <c r="I554" s="98" t="inlineStr">
        <is>
          <t>Ya</t>
        </is>
      </c>
      <c r="J554" s="98">
        <f>IF(G554="Normal","Tidak",IF(G554="Pendek","Potensi Stunting",IF(G554="Sangat Pendek","Stunting","")))</f>
        <v/>
      </c>
    </row>
    <row r="555" ht="15.75" customHeight="1" s="95">
      <c r="A555" s="97" t="inlineStr">
        <is>
          <t>anonymus0554</t>
        </is>
      </c>
      <c r="B555" s="97" t="inlineStr">
        <is>
          <t>L</t>
        </is>
      </c>
      <c r="C555" s="97" t="inlineStr">
        <is>
          <t>35-69 Bulan</t>
        </is>
      </c>
      <c r="D555" s="97" t="n">
        <v>17.2</v>
      </c>
      <c r="E555" s="97" t="n">
        <v>97</v>
      </c>
      <c r="F555" s="97" t="inlineStr">
        <is>
          <t>Risiko Lebih</t>
        </is>
      </c>
      <c r="G555" s="97" t="inlineStr">
        <is>
          <t>Normal</t>
        </is>
      </c>
      <c r="H555" s="97" t="inlineStr">
        <is>
          <t>Gizi Lebih</t>
        </is>
      </c>
      <c r="I555" s="98" t="inlineStr">
        <is>
          <t>Ya</t>
        </is>
      </c>
      <c r="J555" s="98">
        <f>IF(G555="Normal","Tidak",IF(G555="Pendek","Potensi Stunting",IF(G555="Sangat Pendek","Stunting","")))</f>
        <v/>
      </c>
    </row>
    <row r="556" ht="15.75" customHeight="1" s="95">
      <c r="A556" s="97" t="inlineStr">
        <is>
          <t>anonymus0555</t>
        </is>
      </c>
      <c r="B556" s="97" t="inlineStr">
        <is>
          <t xml:space="preserve">P </t>
        </is>
      </c>
      <c r="C556" s="97" t="inlineStr">
        <is>
          <t>1-34 Bulan</t>
        </is>
      </c>
      <c r="D556" s="97" t="inlineStr">
        <is>
          <t>7.2</t>
        </is>
      </c>
      <c r="E556" s="97" t="n">
        <v>75</v>
      </c>
      <c r="F556" s="97" t="inlineStr">
        <is>
          <t>Kurang</t>
        </is>
      </c>
      <c r="G556" s="97" t="inlineStr">
        <is>
          <t>Normal</t>
        </is>
      </c>
      <c r="H556" s="97" t="inlineStr">
        <is>
          <t>Gizi Kurang</t>
        </is>
      </c>
      <c r="I556" s="98" t="inlineStr">
        <is>
          <t>Ya</t>
        </is>
      </c>
      <c r="J556" s="98">
        <f>IF(G556="Normal","Tidak",IF(G556="Pendek","Potensi Stunting",IF(G556="Sangat Pendek","Stunting","")))</f>
        <v/>
      </c>
    </row>
    <row r="557" ht="15.75" customHeight="1" s="95">
      <c r="A557" s="97" t="inlineStr">
        <is>
          <t>anonymus0556</t>
        </is>
      </c>
      <c r="B557" s="97" t="inlineStr">
        <is>
          <t>P</t>
        </is>
      </c>
      <c r="C557" s="97" t="inlineStr">
        <is>
          <t>35-69 Bulan</t>
        </is>
      </c>
      <c r="D557" s="97" t="n">
        <v>17.3</v>
      </c>
      <c r="E557" s="97" t="n">
        <v>109</v>
      </c>
      <c r="F557" s="97" t="inlineStr">
        <is>
          <t>Risiko Lebih</t>
        </is>
      </c>
      <c r="G557" s="97" t="inlineStr">
        <is>
          <t>Normal</t>
        </is>
      </c>
      <c r="H557" s="97" t="inlineStr">
        <is>
          <t>Gizi Lebih</t>
        </is>
      </c>
      <c r="I557" s="98" t="inlineStr">
        <is>
          <t>Ya</t>
        </is>
      </c>
      <c r="J557" s="98">
        <f>IF(G557="Normal","Tidak",IF(G557="Pendek","Potensi Stunting",IF(G557="Sangat Pendek","Stunting","")))</f>
        <v/>
      </c>
    </row>
    <row r="558" ht="15.75" customHeight="1" s="95">
      <c r="A558" s="97" t="inlineStr">
        <is>
          <t>anonymus0557</t>
        </is>
      </c>
      <c r="B558" s="97" t="inlineStr">
        <is>
          <t>P</t>
        </is>
      </c>
      <c r="C558" s="97" t="inlineStr">
        <is>
          <t>35-69 Bulan</t>
        </is>
      </c>
      <c r="D558" s="97" t="n">
        <v>15.5</v>
      </c>
      <c r="E558" s="97" t="n">
        <v>108</v>
      </c>
      <c r="F558" s="97" t="inlineStr">
        <is>
          <t>Berat Badan Normal</t>
        </is>
      </c>
      <c r="G558" s="97" t="inlineStr">
        <is>
          <t>Normal</t>
        </is>
      </c>
      <c r="H558" s="97" t="inlineStr">
        <is>
          <t>Gizi Baik</t>
        </is>
      </c>
      <c r="I558" s="98" t="inlineStr">
        <is>
          <t>Ya</t>
        </is>
      </c>
      <c r="J558" s="98">
        <f>IF(G558="Normal","Tidak",IF(G558="Pendek","Potensi Stunting",IF(G558="Sangat Pendek","Stunting","")))</f>
        <v/>
      </c>
    </row>
    <row r="559" ht="15.75" customHeight="1" s="95">
      <c r="A559" s="97" t="inlineStr">
        <is>
          <t>anonymus0558</t>
        </is>
      </c>
      <c r="B559" s="97" t="inlineStr">
        <is>
          <t>P</t>
        </is>
      </c>
      <c r="C559" s="97" t="inlineStr">
        <is>
          <t>1-34 Bulan</t>
        </is>
      </c>
      <c r="D559" s="97" t="n">
        <v>10</v>
      </c>
      <c r="E559" s="97" t="n">
        <v>88</v>
      </c>
      <c r="F559" s="97" t="inlineStr">
        <is>
          <t>Normal</t>
        </is>
      </c>
      <c r="G559" s="97" t="inlineStr">
        <is>
          <t>Normal</t>
        </is>
      </c>
      <c r="H559" s="97" t="inlineStr">
        <is>
          <t>Gizi Kurang</t>
        </is>
      </c>
      <c r="I559" s="98" t="inlineStr">
        <is>
          <t>Ya</t>
        </is>
      </c>
      <c r="J559" s="98">
        <f>IF(G559="Normal","Tidak",IF(G559="Pendek","Potensi Stunting",IF(G559="Sangat Pendek","Stunting","")))</f>
        <v/>
      </c>
    </row>
    <row r="560" ht="15.75" customHeight="1" s="95">
      <c r="A560" s="97" t="inlineStr">
        <is>
          <t>anonymus0559</t>
        </is>
      </c>
      <c r="B560" s="97" t="inlineStr">
        <is>
          <t>P</t>
        </is>
      </c>
      <c r="C560" s="97" t="inlineStr">
        <is>
          <t>1-34 Bulan</t>
        </is>
      </c>
      <c r="D560" s="97" t="n">
        <v>11.2</v>
      </c>
      <c r="E560" s="97" t="n">
        <v>96</v>
      </c>
      <c r="F560" s="97" t="inlineStr">
        <is>
          <t>Berat Badan Normal</t>
        </is>
      </c>
      <c r="G560" s="97" t="inlineStr">
        <is>
          <t>Normal</t>
        </is>
      </c>
      <c r="H560" s="97" t="inlineStr">
        <is>
          <t>Gizi Baik</t>
        </is>
      </c>
      <c r="I560" s="98" t="inlineStr">
        <is>
          <t>Ya</t>
        </is>
      </c>
      <c r="J560" s="98">
        <f>IF(G560="Normal","Tidak",IF(G560="Pendek","Potensi Stunting",IF(G560="Sangat Pendek","Stunting","")))</f>
        <v/>
      </c>
    </row>
    <row r="561" ht="15.75" customHeight="1" s="95">
      <c r="A561" s="99" t="inlineStr">
        <is>
          <t>anonymus0560</t>
        </is>
      </c>
      <c r="B561" s="97" t="inlineStr">
        <is>
          <t>L</t>
        </is>
      </c>
      <c r="C561" s="97" t="n">
        <v>70</v>
      </c>
      <c r="D561" s="97" t="n">
        <v>13</v>
      </c>
      <c r="E561" s="97" t="n">
        <v>99</v>
      </c>
      <c r="F561" s="97" t="inlineStr">
        <is>
          <t>Kurang</t>
        </is>
      </c>
      <c r="G561" s="97" t="inlineStr">
        <is>
          <t>Pendek</t>
        </is>
      </c>
      <c r="H561" s="97" t="inlineStr">
        <is>
          <t>Gizi Baik</t>
        </is>
      </c>
      <c r="I561" s="98" t="inlineStr">
        <is>
          <t>Ya</t>
        </is>
      </c>
      <c r="J561" s="98">
        <f>IF(G561="Normal","Tidak",IF(G561="Pendek","Potensi Stunting",IF(G561="Sangat Pendek","Stunting","")))</f>
        <v/>
      </c>
    </row>
    <row r="562" ht="15.75" customHeight="1" s="95">
      <c r="A562" s="97" t="inlineStr">
        <is>
          <t>anonymus0561</t>
        </is>
      </c>
      <c r="B562" s="97" t="inlineStr">
        <is>
          <t>L</t>
        </is>
      </c>
      <c r="C562" s="97" t="inlineStr">
        <is>
          <t>1-34 Bulan</t>
        </is>
      </c>
      <c r="D562" s="97" t="n">
        <v>8.4</v>
      </c>
      <c r="E562" s="97" t="n">
        <v>85</v>
      </c>
      <c r="F562" s="97" t="inlineStr">
        <is>
          <t>Kurang</t>
        </is>
      </c>
      <c r="G562" s="97" t="inlineStr">
        <is>
          <t>Normal</t>
        </is>
      </c>
      <c r="H562" s="97" t="inlineStr">
        <is>
          <t>Gizi Kurang</t>
        </is>
      </c>
      <c r="I562" s="98" t="inlineStr">
        <is>
          <t>Ya</t>
        </is>
      </c>
      <c r="J562" s="98">
        <f>IF(G562="Normal","Tidak",IF(G562="Pendek","Potensi Stunting",IF(G562="Sangat Pendek","Stunting","")))</f>
        <v/>
      </c>
    </row>
    <row r="563" ht="15.75" customHeight="1" s="95">
      <c r="A563" s="97" t="inlineStr">
        <is>
          <t>anonymus0562</t>
        </is>
      </c>
      <c r="B563" s="97" t="inlineStr">
        <is>
          <t xml:space="preserve">P </t>
        </is>
      </c>
      <c r="C563" s="97" t="inlineStr">
        <is>
          <t>1-34 Bulan</t>
        </is>
      </c>
      <c r="D563" s="97" t="inlineStr">
        <is>
          <t>9.5</t>
        </is>
      </c>
      <c r="E563" s="97" t="n">
        <v>79</v>
      </c>
      <c r="F563" s="97" t="inlineStr">
        <is>
          <t>Berat Badan Normal</t>
        </is>
      </c>
      <c r="G563" s="97" t="inlineStr">
        <is>
          <t>Normal</t>
        </is>
      </c>
      <c r="H563" s="97" t="inlineStr">
        <is>
          <t>Gizi Baik</t>
        </is>
      </c>
      <c r="I563" s="98" t="inlineStr">
        <is>
          <t>Ya</t>
        </is>
      </c>
      <c r="J563" s="98">
        <f>IF(G563="Normal","Tidak",IF(G563="Pendek","Potensi Stunting",IF(G563="Sangat Pendek","Stunting","")))</f>
        <v/>
      </c>
    </row>
    <row r="564" ht="15.75" customHeight="1" s="95">
      <c r="A564" s="97" t="inlineStr">
        <is>
          <t>anonymus0563</t>
        </is>
      </c>
      <c r="B564" s="97" t="inlineStr">
        <is>
          <t>P</t>
        </is>
      </c>
      <c r="C564" s="97" t="inlineStr">
        <is>
          <t>35-69 Bulan</t>
        </is>
      </c>
      <c r="D564" s="97" t="n">
        <v>11.5</v>
      </c>
      <c r="E564" s="97" t="n">
        <v>112</v>
      </c>
      <c r="F564" s="97" t="inlineStr">
        <is>
          <t>Berat Badan Normal</t>
        </is>
      </c>
      <c r="G564" s="97" t="inlineStr">
        <is>
          <t>Normal</t>
        </is>
      </c>
      <c r="H564" s="97" t="inlineStr">
        <is>
          <t>Gizi Baik</t>
        </is>
      </c>
      <c r="I564" s="98" t="inlineStr">
        <is>
          <t>Ya</t>
        </is>
      </c>
      <c r="J564" s="98">
        <f>IF(G564="Normal","Tidak",IF(G564="Pendek","Potensi Stunting",IF(G564="Sangat Pendek","Stunting","")))</f>
        <v/>
      </c>
    </row>
    <row r="565" ht="15.75" customHeight="1" s="95">
      <c r="A565" s="97" t="inlineStr">
        <is>
          <t>anonymus0564</t>
        </is>
      </c>
      <c r="B565" s="97" t="inlineStr">
        <is>
          <t>P</t>
        </is>
      </c>
      <c r="C565" s="97" t="inlineStr">
        <is>
          <t>1-34 Bulan</t>
        </is>
      </c>
      <c r="D565" s="97" t="n">
        <v>8.6</v>
      </c>
      <c r="E565" s="97" t="n">
        <v>100</v>
      </c>
      <c r="F565" s="97" t="inlineStr">
        <is>
          <t>Kurang</t>
        </is>
      </c>
      <c r="G565" s="97" t="inlineStr">
        <is>
          <t>Normal</t>
        </is>
      </c>
      <c r="H565" s="97" t="inlineStr">
        <is>
          <t>Gizi Kurang</t>
        </is>
      </c>
      <c r="I565" s="98" t="inlineStr">
        <is>
          <t>Ya</t>
        </is>
      </c>
      <c r="J565" s="98">
        <f>IF(G565="Normal","Tidak",IF(G565="Pendek","Potensi Stunting",IF(G565="Sangat Pendek","Stunting","")))</f>
        <v/>
      </c>
    </row>
    <row r="566" ht="15.75" customHeight="1" s="95">
      <c r="A566" s="97" t="inlineStr">
        <is>
          <t>anonymus0565</t>
        </is>
      </c>
      <c r="B566" s="97" t="inlineStr">
        <is>
          <t>L</t>
        </is>
      </c>
      <c r="C566" s="97" t="inlineStr">
        <is>
          <t>35-69 Bulan</t>
        </is>
      </c>
      <c r="D566" s="97" t="n">
        <v>18.2</v>
      </c>
      <c r="E566" s="97" t="n">
        <v>118</v>
      </c>
      <c r="F566" s="97" t="inlineStr">
        <is>
          <t>Risiko Lebih</t>
        </is>
      </c>
      <c r="G566" s="97" t="inlineStr">
        <is>
          <t>Normal</t>
        </is>
      </c>
      <c r="H566" s="97" t="inlineStr">
        <is>
          <t>Gizi Lebih</t>
        </is>
      </c>
      <c r="I566" s="98" t="inlineStr">
        <is>
          <t>Ya</t>
        </is>
      </c>
      <c r="J566" s="98">
        <f>IF(G566="Normal","Tidak",IF(G566="Pendek","Potensi Stunting",IF(G566="Sangat Pendek","Stunting","")))</f>
        <v/>
      </c>
    </row>
    <row r="567" ht="15.75" customHeight="1" s="95">
      <c r="A567" s="97" t="inlineStr">
        <is>
          <t>anonymus0566</t>
        </is>
      </c>
      <c r="B567" s="97" t="inlineStr">
        <is>
          <t xml:space="preserve">L </t>
        </is>
      </c>
      <c r="C567" s="97" t="inlineStr">
        <is>
          <t>1-34 Bulan</t>
        </is>
      </c>
      <c r="D567" s="97" t="n">
        <v>8</v>
      </c>
      <c r="E567" s="97" t="n">
        <v>70</v>
      </c>
      <c r="F567" s="97" t="inlineStr">
        <is>
          <t>Berat Badan Normal</t>
        </is>
      </c>
      <c r="G567" s="97" t="inlineStr">
        <is>
          <t>Normal</t>
        </is>
      </c>
      <c r="H567" s="97" t="inlineStr">
        <is>
          <t>Gizi Baik</t>
        </is>
      </c>
      <c r="I567" s="98" t="inlineStr">
        <is>
          <t>Ya</t>
        </is>
      </c>
      <c r="J567" s="98">
        <f>IF(G567="Normal","Tidak",IF(G567="Pendek","Potensi Stunting",IF(G567="Sangat Pendek","Stunting","")))</f>
        <v/>
      </c>
    </row>
    <row r="568" ht="15.75" customHeight="1" s="95">
      <c r="A568" s="97" t="inlineStr">
        <is>
          <t>anonymus0567</t>
        </is>
      </c>
      <c r="B568" s="97" t="inlineStr">
        <is>
          <t>L</t>
        </is>
      </c>
      <c r="C568" s="97" t="inlineStr">
        <is>
          <t>35-69 Bulan</t>
        </is>
      </c>
      <c r="D568" s="97" t="n">
        <v>13.2</v>
      </c>
      <c r="E568" s="97" t="n">
        <v>109</v>
      </c>
      <c r="F568" s="97" t="inlineStr">
        <is>
          <t>Berat Badan Normal</t>
        </is>
      </c>
      <c r="G568" s="97" t="inlineStr">
        <is>
          <t>Normal</t>
        </is>
      </c>
      <c r="H568" s="97" t="inlineStr">
        <is>
          <t>Gizi Baik</t>
        </is>
      </c>
      <c r="I568" s="98" t="inlineStr">
        <is>
          <t>Ya</t>
        </is>
      </c>
      <c r="J568" s="98">
        <f>IF(G568="Normal","Tidak",IF(G568="Pendek","Potensi Stunting",IF(G568="Sangat Pendek","Stunting","")))</f>
        <v/>
      </c>
    </row>
    <row r="569" ht="15.75" customHeight="1" s="95">
      <c r="A569" s="97" t="inlineStr">
        <is>
          <t>anonymus0568</t>
        </is>
      </c>
      <c r="B569" s="97" t="inlineStr">
        <is>
          <t>L</t>
        </is>
      </c>
      <c r="C569" s="97" t="inlineStr">
        <is>
          <t>35-69 Bulan</t>
        </is>
      </c>
      <c r="D569" s="97" t="n">
        <v>8.1</v>
      </c>
      <c r="E569" s="97" t="n">
        <v>76</v>
      </c>
      <c r="F569" s="97" t="inlineStr">
        <is>
          <t>Sangat Kurang</t>
        </is>
      </c>
      <c r="G569" s="97" t="inlineStr">
        <is>
          <t>Sangat Pendek</t>
        </is>
      </c>
      <c r="H569" s="97" t="inlineStr">
        <is>
          <t>Gizi Kurang</t>
        </is>
      </c>
      <c r="I569" s="98" t="inlineStr">
        <is>
          <t>Ya</t>
        </is>
      </c>
      <c r="J569" s="98">
        <f>IF(G569="Normal","Tidak",IF(G569="Pendek","Potensi Stunting",IF(G569="Sangat Pendek","Stunting","")))</f>
        <v/>
      </c>
    </row>
    <row r="570" ht="15.75" customHeight="1" s="95">
      <c r="A570" s="97" t="inlineStr">
        <is>
          <t>anonymus0569</t>
        </is>
      </c>
      <c r="B570" s="97" t="inlineStr">
        <is>
          <t>P</t>
        </is>
      </c>
      <c r="C570" s="97" t="inlineStr">
        <is>
          <t>1-34 Bulan</t>
        </is>
      </c>
      <c r="D570" s="97" t="n">
        <v>11.6</v>
      </c>
      <c r="E570" s="97" t="n">
        <v>72</v>
      </c>
      <c r="F570" s="97" t="inlineStr">
        <is>
          <t>Berat Badan Normal</t>
        </is>
      </c>
      <c r="G570" s="97" t="inlineStr">
        <is>
          <t>Normal</t>
        </is>
      </c>
      <c r="H570" s="97" t="inlineStr">
        <is>
          <t>Gizi Baik</t>
        </is>
      </c>
      <c r="I570" s="98" t="inlineStr">
        <is>
          <t>Ya</t>
        </is>
      </c>
      <c r="J570" s="98">
        <f>IF(G570="Normal","Tidak",IF(G570="Pendek","Potensi Stunting",IF(G570="Sangat Pendek","Stunting","")))</f>
        <v/>
      </c>
    </row>
    <row r="571" ht="15.75" customHeight="1" s="95">
      <c r="A571" s="97" t="inlineStr">
        <is>
          <t>anonymus0570</t>
        </is>
      </c>
      <c r="B571" s="97" t="inlineStr">
        <is>
          <t>L</t>
        </is>
      </c>
      <c r="C571" s="97" t="inlineStr">
        <is>
          <t>1-34 Bulan</t>
        </is>
      </c>
      <c r="D571" s="97" t="n">
        <v>9.800000000000001</v>
      </c>
      <c r="E571" s="97" t="n">
        <v>78</v>
      </c>
      <c r="F571" s="97" t="inlineStr">
        <is>
          <t>Normal</t>
        </is>
      </c>
      <c r="G571" s="97" t="inlineStr">
        <is>
          <t>Pendek</t>
        </is>
      </c>
      <c r="H571" s="97" t="inlineStr">
        <is>
          <t>Gizi Baik</t>
        </is>
      </c>
      <c r="I571" s="98" t="inlineStr">
        <is>
          <t>Ya</t>
        </is>
      </c>
      <c r="J571" s="98">
        <f>IF(G571="Normal","Tidak",IF(G571="Pendek","Potensi Stunting",IF(G571="Sangat Pendek","Stunting","")))</f>
        <v/>
      </c>
    </row>
    <row r="572" ht="15.75" customHeight="1" s="95">
      <c r="A572" s="97" t="inlineStr">
        <is>
          <t>anonymus0571</t>
        </is>
      </c>
      <c r="B572" s="97" t="inlineStr">
        <is>
          <t xml:space="preserve">L </t>
        </is>
      </c>
      <c r="C572" s="97" t="inlineStr">
        <is>
          <t>35-69 Bulan</t>
        </is>
      </c>
      <c r="D572" s="97" t="inlineStr">
        <is>
          <t>16.8</t>
        </is>
      </c>
      <c r="E572" s="97" t="n">
        <v>102</v>
      </c>
      <c r="F572" s="97" t="inlineStr">
        <is>
          <t>Berat Badan Normal</t>
        </is>
      </c>
      <c r="G572" s="97" t="inlineStr">
        <is>
          <t>Normal</t>
        </is>
      </c>
      <c r="H572" s="97" t="inlineStr">
        <is>
          <t>Gizi Baik</t>
        </is>
      </c>
      <c r="I572" s="98" t="inlineStr">
        <is>
          <t>Ya</t>
        </is>
      </c>
      <c r="J572" s="98">
        <f>IF(G572="Normal","Tidak",IF(G572="Pendek","Potensi Stunting",IF(G572="Sangat Pendek","Stunting","")))</f>
        <v/>
      </c>
    </row>
    <row r="573" ht="15.75" customHeight="1" s="95">
      <c r="A573" s="97" t="inlineStr">
        <is>
          <t>anonymus0572</t>
        </is>
      </c>
      <c r="B573" s="97" t="inlineStr">
        <is>
          <t>L</t>
        </is>
      </c>
      <c r="C573" s="97" t="inlineStr">
        <is>
          <t>1-34 Bulan</t>
        </is>
      </c>
      <c r="D573" s="97" t="n">
        <v>6</v>
      </c>
      <c r="E573" s="97" t="n">
        <v>89</v>
      </c>
      <c r="F573" s="97" t="inlineStr">
        <is>
          <t>Kurang</t>
        </is>
      </c>
      <c r="G573" s="97" t="inlineStr">
        <is>
          <t>Normal</t>
        </is>
      </c>
      <c r="H573" s="97" t="inlineStr">
        <is>
          <t>Gizi Kurang</t>
        </is>
      </c>
      <c r="I573" s="98" t="inlineStr">
        <is>
          <t>Ya</t>
        </is>
      </c>
      <c r="J573" s="98">
        <f>IF(G573="Normal","Tidak",IF(G573="Pendek","Potensi Stunting",IF(G573="Sangat Pendek","Stunting","")))</f>
        <v/>
      </c>
    </row>
    <row r="574" ht="15.75" customHeight="1" s="95">
      <c r="A574" s="97" t="inlineStr">
        <is>
          <t>anonymus0573</t>
        </is>
      </c>
      <c r="B574" s="97" t="inlineStr">
        <is>
          <t>P</t>
        </is>
      </c>
      <c r="C574" s="97" t="inlineStr">
        <is>
          <t>35-69 Bulan</t>
        </is>
      </c>
      <c r="D574" s="97" t="n">
        <v>11.5</v>
      </c>
      <c r="E574" s="97" t="n">
        <v>95</v>
      </c>
      <c r="F574" s="97" t="inlineStr">
        <is>
          <t>Berat Badan Normal</t>
        </is>
      </c>
      <c r="G574" s="97" t="inlineStr">
        <is>
          <t>Normal</t>
        </is>
      </c>
      <c r="H574" s="97" t="inlineStr">
        <is>
          <t>Gizi Baik</t>
        </is>
      </c>
      <c r="I574" s="98" t="inlineStr">
        <is>
          <t>Ya</t>
        </is>
      </c>
      <c r="J574" s="98">
        <f>IF(G574="Normal","Tidak",IF(G574="Pendek","Potensi Stunting",IF(G574="Sangat Pendek","Stunting","")))</f>
        <v/>
      </c>
    </row>
    <row r="575" ht="15.75" customHeight="1" s="95">
      <c r="A575" s="97" t="inlineStr">
        <is>
          <t>anonymus0574</t>
        </is>
      </c>
      <c r="B575" s="97" t="inlineStr">
        <is>
          <t>L</t>
        </is>
      </c>
      <c r="C575" s="97" t="inlineStr">
        <is>
          <t>35-69 Bulan</t>
        </is>
      </c>
      <c r="D575" s="97" t="n">
        <v>12.7</v>
      </c>
      <c r="E575" s="97" t="n">
        <v>94</v>
      </c>
      <c r="F575" s="97" t="inlineStr">
        <is>
          <t>Berat Badan Normal</t>
        </is>
      </c>
      <c r="G575" s="97" t="inlineStr">
        <is>
          <t>Normal</t>
        </is>
      </c>
      <c r="H575" s="97" t="inlineStr">
        <is>
          <t>Gizi Baik</t>
        </is>
      </c>
      <c r="I575" s="98" t="inlineStr">
        <is>
          <t>Ya</t>
        </is>
      </c>
      <c r="J575" s="98">
        <f>IF(G575="Normal","Tidak",IF(G575="Pendek","Potensi Stunting",IF(G575="Sangat Pendek","Stunting","")))</f>
        <v/>
      </c>
    </row>
    <row r="576" ht="15.75" customHeight="1" s="95">
      <c r="A576" s="97" t="inlineStr">
        <is>
          <t>anonymus0575</t>
        </is>
      </c>
      <c r="B576" s="97" t="inlineStr">
        <is>
          <t>L</t>
        </is>
      </c>
      <c r="C576" s="97" t="inlineStr">
        <is>
          <t>35-69 Bulan</t>
        </is>
      </c>
      <c r="D576" s="97" t="n">
        <v>13.2</v>
      </c>
      <c r="E576" s="97" t="n">
        <v>95</v>
      </c>
      <c r="F576" s="97" t="inlineStr">
        <is>
          <t>Normal</t>
        </is>
      </c>
      <c r="G576" s="97" t="inlineStr">
        <is>
          <t>Pendek</t>
        </is>
      </c>
      <c r="H576" s="97" t="inlineStr">
        <is>
          <t>Gizi Baik</t>
        </is>
      </c>
      <c r="I576" s="98" t="inlineStr">
        <is>
          <t>Ya</t>
        </is>
      </c>
      <c r="J576" s="98">
        <f>IF(G576="Normal","Tidak",IF(G576="Pendek","Potensi Stunting",IF(G576="Sangat Pendek","Stunting","")))</f>
        <v/>
      </c>
    </row>
    <row r="577" ht="15.75" customHeight="1" s="95">
      <c r="A577" s="97" t="inlineStr">
        <is>
          <t>anonymus0576</t>
        </is>
      </c>
      <c r="B577" s="97" t="inlineStr">
        <is>
          <t>P</t>
        </is>
      </c>
      <c r="C577" s="97" t="inlineStr">
        <is>
          <t>35-69 Bulan</t>
        </is>
      </c>
      <c r="D577" s="97" t="n">
        <v>10.6</v>
      </c>
      <c r="E577" s="97" t="n">
        <v>92</v>
      </c>
      <c r="F577" s="97" t="inlineStr">
        <is>
          <t>Kurang</t>
        </is>
      </c>
      <c r="G577" s="97" t="inlineStr">
        <is>
          <t>Normal</t>
        </is>
      </c>
      <c r="H577" s="97" t="inlineStr">
        <is>
          <t>Gizi Kurang</t>
        </is>
      </c>
      <c r="I577" s="98" t="inlineStr">
        <is>
          <t>Ya</t>
        </is>
      </c>
      <c r="J577" s="98">
        <f>IF(G577="Normal","Tidak",IF(G577="Pendek","Potensi Stunting",IF(G577="Sangat Pendek","Stunting","")))</f>
        <v/>
      </c>
    </row>
    <row r="578" ht="15.75" customHeight="1" s="95">
      <c r="A578" s="97" t="inlineStr">
        <is>
          <t>anonymus0577</t>
        </is>
      </c>
      <c r="B578" s="97" t="inlineStr">
        <is>
          <t xml:space="preserve">L </t>
        </is>
      </c>
      <c r="C578" s="97" t="inlineStr">
        <is>
          <t>35-69 Bulan</t>
        </is>
      </c>
      <c r="D578" s="97" t="inlineStr">
        <is>
          <t>17.9</t>
        </is>
      </c>
      <c r="E578" s="97" t="n">
        <v>103</v>
      </c>
      <c r="F578" s="97" t="inlineStr">
        <is>
          <t>Berat Badan Normal</t>
        </is>
      </c>
      <c r="G578" s="97" t="inlineStr">
        <is>
          <t>Normal</t>
        </is>
      </c>
      <c r="H578" s="97" t="inlineStr">
        <is>
          <t>Risiko Gizi Lebih</t>
        </is>
      </c>
      <c r="I578" s="98" t="inlineStr">
        <is>
          <t>Ya</t>
        </is>
      </c>
      <c r="J578" s="98">
        <f>IF(G578="Normal","Tidak",IF(G578="Pendek","Potensi Stunting",IF(G578="Sangat Pendek","Stunting","")))</f>
        <v/>
      </c>
    </row>
    <row r="579" ht="15.75" customHeight="1" s="95">
      <c r="A579" s="97" t="inlineStr">
        <is>
          <t>anonymus0578</t>
        </is>
      </c>
      <c r="B579" s="97" t="inlineStr">
        <is>
          <t>P</t>
        </is>
      </c>
      <c r="C579" s="97" t="inlineStr">
        <is>
          <t>35-69 Bulan</t>
        </is>
      </c>
      <c r="D579" s="97" t="n">
        <v>14.9</v>
      </c>
      <c r="E579" s="97" t="n">
        <v>118</v>
      </c>
      <c r="F579" s="97" t="inlineStr">
        <is>
          <t>Berat Badan Normal</t>
        </is>
      </c>
      <c r="G579" s="97" t="inlineStr">
        <is>
          <t>Normal</t>
        </is>
      </c>
      <c r="H579" s="97" t="inlineStr">
        <is>
          <t>Gizi Baik</t>
        </is>
      </c>
      <c r="I579" s="98" t="inlineStr">
        <is>
          <t>Ya</t>
        </is>
      </c>
      <c r="J579" s="98">
        <f>IF(G579="Normal","Tidak",IF(G579="Pendek","Potensi Stunting",IF(G579="Sangat Pendek","Stunting","")))</f>
        <v/>
      </c>
    </row>
    <row r="580" ht="15.75" customHeight="1" s="95">
      <c r="A580" s="97" t="inlineStr">
        <is>
          <t>anonymus0579</t>
        </is>
      </c>
      <c r="B580" s="97" t="inlineStr">
        <is>
          <t xml:space="preserve">L </t>
        </is>
      </c>
      <c r="C580" s="97" t="inlineStr">
        <is>
          <t>35-69 Bulan</t>
        </is>
      </c>
      <c r="D580" s="97" t="inlineStr">
        <is>
          <t>18.6</t>
        </is>
      </c>
      <c r="E580" s="97" t="n">
        <v>105</v>
      </c>
      <c r="F580" s="97" t="inlineStr">
        <is>
          <t>Berat Badan Normal</t>
        </is>
      </c>
      <c r="G580" s="97" t="inlineStr">
        <is>
          <t>Normal</t>
        </is>
      </c>
      <c r="H580" s="97" t="inlineStr">
        <is>
          <t>baik</t>
        </is>
      </c>
      <c r="I580" s="98" t="inlineStr">
        <is>
          <t>Ya</t>
        </is>
      </c>
      <c r="J580" s="98">
        <f>IF(G580="Normal","Tidak",IF(G580="Pendek","Potensi Stunting",IF(G580="Sangat Pendek","Stunting","")))</f>
        <v/>
      </c>
    </row>
    <row r="581" ht="15.75" customHeight="1" s="95">
      <c r="A581" s="97" t="inlineStr">
        <is>
          <t>anonymus0580</t>
        </is>
      </c>
      <c r="B581" s="97" t="inlineStr">
        <is>
          <t xml:space="preserve">P </t>
        </is>
      </c>
      <c r="C581" s="97" t="inlineStr">
        <is>
          <t>1-34 Bulan</t>
        </is>
      </c>
      <c r="D581" s="97" t="n">
        <v>10</v>
      </c>
      <c r="E581" s="97" t="n">
        <v>80</v>
      </c>
      <c r="F581" s="97" t="inlineStr">
        <is>
          <t>Berat Badan Normal</t>
        </is>
      </c>
      <c r="G581" s="97" t="inlineStr">
        <is>
          <t>Normal</t>
        </is>
      </c>
      <c r="H581" s="97" t="inlineStr">
        <is>
          <t>Gizi Baik</t>
        </is>
      </c>
      <c r="I581" s="98" t="inlineStr">
        <is>
          <t>Ya</t>
        </is>
      </c>
      <c r="J581" s="98">
        <f>IF(G581="Normal","Tidak",IF(G581="Pendek","Potensi Stunting",IF(G581="Sangat Pendek","Stunting","")))</f>
        <v/>
      </c>
    </row>
    <row r="582" ht="15.75" customHeight="1" s="95">
      <c r="A582" s="97" t="inlineStr">
        <is>
          <t>anonymus0581</t>
        </is>
      </c>
      <c r="B582" s="97" t="inlineStr">
        <is>
          <t>P</t>
        </is>
      </c>
      <c r="C582" s="97" t="inlineStr">
        <is>
          <t>1-34 Bulan</t>
        </is>
      </c>
      <c r="D582" s="97" t="n">
        <v>14.4</v>
      </c>
      <c r="E582" s="97" t="n">
        <v>82</v>
      </c>
      <c r="F582" s="97" t="inlineStr">
        <is>
          <t>Berat Badan Normal</t>
        </is>
      </c>
      <c r="G582" s="97" t="inlineStr">
        <is>
          <t>Normal</t>
        </is>
      </c>
      <c r="H582" s="97" t="inlineStr">
        <is>
          <t>Gizi Baik</t>
        </is>
      </c>
      <c r="I582" s="98" t="inlineStr">
        <is>
          <t>Ya</t>
        </is>
      </c>
      <c r="J582" s="98">
        <f>IF(G582="Normal","Tidak",IF(G582="Pendek","Potensi Stunting",IF(G582="Sangat Pendek","Stunting","")))</f>
        <v/>
      </c>
    </row>
    <row r="583" ht="15.75" customHeight="1" s="95">
      <c r="A583" s="97" t="inlineStr">
        <is>
          <t>anonymus0582</t>
        </is>
      </c>
      <c r="B583" s="97" t="inlineStr">
        <is>
          <t>L</t>
        </is>
      </c>
      <c r="C583" s="97" t="inlineStr">
        <is>
          <t>1-34 Bulan</t>
        </is>
      </c>
      <c r="D583" s="97" t="n">
        <v>11.1</v>
      </c>
      <c r="E583" s="97" t="n">
        <v>76</v>
      </c>
      <c r="F583" s="97" t="inlineStr">
        <is>
          <t>Berat Badan Normal</t>
        </is>
      </c>
      <c r="G583" s="97" t="inlineStr">
        <is>
          <t>Normal</t>
        </is>
      </c>
      <c r="H583" s="97" t="inlineStr">
        <is>
          <t>Gizi Baik</t>
        </is>
      </c>
      <c r="I583" s="98" t="inlineStr">
        <is>
          <t>Ya</t>
        </is>
      </c>
      <c r="J583" s="98">
        <f>IF(G583="Normal","Tidak",IF(G583="Pendek","Potensi Stunting",IF(G583="Sangat Pendek","Stunting","")))</f>
        <v/>
      </c>
    </row>
    <row r="584" ht="15.75" customHeight="1" s="95">
      <c r="A584" s="97" t="inlineStr">
        <is>
          <t>anonymus0583</t>
        </is>
      </c>
      <c r="B584" s="97" t="inlineStr">
        <is>
          <t>P</t>
        </is>
      </c>
      <c r="C584" s="97" t="inlineStr">
        <is>
          <t>1-34 Bulan</t>
        </is>
      </c>
      <c r="D584" s="97" t="n">
        <v>7.7</v>
      </c>
      <c r="E584" s="97" t="n">
        <v>83</v>
      </c>
      <c r="F584" s="97" t="inlineStr">
        <is>
          <t>Kurang</t>
        </is>
      </c>
      <c r="G584" s="97" t="inlineStr">
        <is>
          <t>Normal</t>
        </is>
      </c>
      <c r="H584" s="97" t="inlineStr">
        <is>
          <t>Gizi Kurang</t>
        </is>
      </c>
      <c r="I584" s="98" t="inlineStr">
        <is>
          <t>Ya</t>
        </is>
      </c>
      <c r="J584" s="98">
        <f>IF(G584="Normal","Tidak",IF(G584="Pendek","Potensi Stunting",IF(G584="Sangat Pendek","Stunting","")))</f>
        <v/>
      </c>
    </row>
    <row r="585" ht="15.75" customHeight="1" s="95">
      <c r="A585" s="97" t="inlineStr">
        <is>
          <t>anonymus0584</t>
        </is>
      </c>
      <c r="B585" s="97" t="inlineStr">
        <is>
          <t>P</t>
        </is>
      </c>
      <c r="C585" s="97" t="inlineStr">
        <is>
          <t>1-34 Bulan</t>
        </is>
      </c>
      <c r="D585" s="97" t="n">
        <v>6.3</v>
      </c>
      <c r="E585" s="97" t="n">
        <v>80</v>
      </c>
      <c r="F585" s="97" t="inlineStr">
        <is>
          <t>Kurang</t>
        </is>
      </c>
      <c r="G585" s="97" t="inlineStr">
        <is>
          <t>Normal</t>
        </is>
      </c>
      <c r="H585" s="97" t="inlineStr">
        <is>
          <t>Gizi Kurang</t>
        </is>
      </c>
      <c r="I585" s="98" t="inlineStr">
        <is>
          <t>Ya</t>
        </is>
      </c>
      <c r="J585" s="98">
        <f>IF(G585="Normal","Tidak",IF(G585="Pendek","Potensi Stunting",IF(G585="Sangat Pendek","Stunting","")))</f>
        <v/>
      </c>
    </row>
    <row r="586" ht="15.75" customHeight="1" s="95">
      <c r="A586" s="97" t="inlineStr">
        <is>
          <t>anonymus0585</t>
        </is>
      </c>
      <c r="B586" s="97" t="inlineStr">
        <is>
          <t>L</t>
        </is>
      </c>
      <c r="C586" s="97" t="inlineStr">
        <is>
          <t>1-34 Bulan</t>
        </is>
      </c>
      <c r="D586" s="97" t="n">
        <v>14.5</v>
      </c>
      <c r="E586" s="97" t="n">
        <v>88</v>
      </c>
      <c r="F586" s="97" t="inlineStr">
        <is>
          <t>Berat Badan Normal</t>
        </is>
      </c>
      <c r="G586" s="97" t="inlineStr">
        <is>
          <t>Normal</t>
        </is>
      </c>
      <c r="H586" s="97" t="inlineStr">
        <is>
          <t>Gizi Baik</t>
        </is>
      </c>
      <c r="I586" s="98" t="inlineStr">
        <is>
          <t>Ya</t>
        </is>
      </c>
      <c r="J586" s="98">
        <f>IF(G586="Normal","Tidak",IF(G586="Pendek","Potensi Stunting",IF(G586="Sangat Pendek","Stunting","")))</f>
        <v/>
      </c>
    </row>
    <row r="587" ht="15.75" customHeight="1" s="95">
      <c r="A587" s="99" t="inlineStr">
        <is>
          <t>anonymus0586</t>
        </is>
      </c>
      <c r="B587" s="97" t="inlineStr">
        <is>
          <t>P</t>
        </is>
      </c>
      <c r="C587" s="97" t="n">
        <v>84</v>
      </c>
      <c r="D587" s="97" t="n">
        <v>10.8</v>
      </c>
      <c r="E587" s="97" t="n">
        <v>93</v>
      </c>
      <c r="F587" s="97" t="inlineStr">
        <is>
          <t>Kurang</t>
        </is>
      </c>
      <c r="G587" s="97" t="inlineStr">
        <is>
          <t>Pendek</t>
        </is>
      </c>
      <c r="H587" s="97" t="inlineStr">
        <is>
          <t>Gizi Kurang</t>
        </is>
      </c>
      <c r="I587" s="98" t="inlineStr">
        <is>
          <t>Ya</t>
        </is>
      </c>
      <c r="J587" s="98">
        <f>IF(G587="Normal","Tidak",IF(G587="Pendek","Potensi Stunting",IF(G587="Sangat Pendek","Stunting","")))</f>
        <v/>
      </c>
    </row>
    <row r="588" ht="15.75" customHeight="1" s="95">
      <c r="A588" s="97" t="inlineStr">
        <is>
          <t>anonymus0587</t>
        </is>
      </c>
      <c r="B588" s="97" t="inlineStr">
        <is>
          <t xml:space="preserve">P </t>
        </is>
      </c>
      <c r="C588" s="97" t="inlineStr">
        <is>
          <t>35-69 Bulan</t>
        </is>
      </c>
      <c r="D588" s="97" t="inlineStr">
        <is>
          <t>12.1</t>
        </is>
      </c>
      <c r="E588" s="97" t="n">
        <v>104</v>
      </c>
      <c r="F588" s="97" t="inlineStr">
        <is>
          <t>Kurang</t>
        </is>
      </c>
      <c r="G588" s="97" t="inlineStr">
        <is>
          <t>Normal</t>
        </is>
      </c>
      <c r="H588" s="97" t="inlineStr">
        <is>
          <t>Gizi Buruk</t>
        </is>
      </c>
      <c r="I588" s="98" t="inlineStr">
        <is>
          <t>Ya</t>
        </is>
      </c>
      <c r="J588" s="98">
        <f>IF(G588="Normal","Tidak",IF(G588="Pendek","Potensi Stunting",IF(G588="Sangat Pendek","Stunting","")))</f>
        <v/>
      </c>
    </row>
    <row r="589" ht="15.75" customHeight="1" s="95">
      <c r="A589" s="97" t="inlineStr">
        <is>
          <t>anonymus0588</t>
        </is>
      </c>
      <c r="B589" s="97" t="inlineStr">
        <is>
          <t xml:space="preserve">L </t>
        </is>
      </c>
      <c r="C589" s="97" t="inlineStr">
        <is>
          <t>1-34 Bulan</t>
        </is>
      </c>
      <c r="D589" s="97" t="inlineStr">
        <is>
          <t>14.6</t>
        </is>
      </c>
      <c r="E589" s="97" t="n">
        <v>92</v>
      </c>
      <c r="F589" s="97" t="inlineStr">
        <is>
          <t>Berat Badan Normal</t>
        </is>
      </c>
      <c r="G589" s="97" t="inlineStr">
        <is>
          <t>Normal</t>
        </is>
      </c>
      <c r="H589" s="97" t="inlineStr">
        <is>
          <t>Risiko Gizi Lebih</t>
        </is>
      </c>
      <c r="I589" s="98" t="inlineStr">
        <is>
          <t>Ya</t>
        </is>
      </c>
      <c r="J589" s="98">
        <f>IF(G589="Normal","Tidak",IF(G589="Pendek","Potensi Stunting",IF(G589="Sangat Pendek","Stunting","")))</f>
        <v/>
      </c>
    </row>
    <row r="590" ht="15.75" customHeight="1" s="95">
      <c r="A590" s="97" t="inlineStr">
        <is>
          <t>anonymus0589</t>
        </is>
      </c>
      <c r="B590" s="97" t="inlineStr">
        <is>
          <t>P</t>
        </is>
      </c>
      <c r="C590" s="97" t="inlineStr">
        <is>
          <t>35-69 Bulan</t>
        </is>
      </c>
      <c r="D590" s="97" t="n">
        <v>14.4</v>
      </c>
      <c r="E590" s="97" t="n">
        <v>108</v>
      </c>
      <c r="F590" s="97" t="inlineStr">
        <is>
          <t>Berat Badan Normal</t>
        </is>
      </c>
      <c r="G590" s="97" t="inlineStr">
        <is>
          <t>Normal</t>
        </is>
      </c>
      <c r="H590" s="97" t="inlineStr">
        <is>
          <t>Gizi Baik</t>
        </is>
      </c>
      <c r="I590" s="98" t="inlineStr">
        <is>
          <t>Ya</t>
        </is>
      </c>
      <c r="J590" s="98">
        <f>IF(G590="Normal","Tidak",IF(G590="Pendek","Potensi Stunting",IF(G590="Sangat Pendek","Stunting","")))</f>
        <v/>
      </c>
    </row>
    <row r="591" ht="15.75" customHeight="1" s="95">
      <c r="A591" s="97" t="inlineStr">
        <is>
          <t>anonymus0590</t>
        </is>
      </c>
      <c r="B591" s="97" t="inlineStr">
        <is>
          <t>P</t>
        </is>
      </c>
      <c r="C591" s="97" t="inlineStr">
        <is>
          <t>1-34 Bulan</t>
        </is>
      </c>
      <c r="D591" s="97" t="n">
        <v>6.9</v>
      </c>
      <c r="E591" s="97" t="n">
        <v>72</v>
      </c>
      <c r="F591" s="97" t="inlineStr">
        <is>
          <t>Kurang</t>
        </is>
      </c>
      <c r="G591" s="97" t="inlineStr">
        <is>
          <t>Normal</t>
        </is>
      </c>
      <c r="H591" s="97" t="inlineStr">
        <is>
          <t>Gizi Kurang</t>
        </is>
      </c>
      <c r="I591" s="98" t="inlineStr">
        <is>
          <t>Ya</t>
        </is>
      </c>
      <c r="J591" s="98">
        <f>IF(G591="Normal","Tidak",IF(G591="Pendek","Potensi Stunting",IF(G591="Sangat Pendek","Stunting","")))</f>
        <v/>
      </c>
    </row>
    <row r="592" ht="15.75" customHeight="1" s="95">
      <c r="A592" s="97" t="inlineStr">
        <is>
          <t>anonymus0591</t>
        </is>
      </c>
      <c r="B592" s="97" t="inlineStr">
        <is>
          <t>P</t>
        </is>
      </c>
      <c r="C592" s="97" t="inlineStr">
        <is>
          <t>1-34 Bulan</t>
        </is>
      </c>
      <c r="D592" s="97" t="n">
        <v>6.6</v>
      </c>
      <c r="E592" s="97" t="n">
        <v>69</v>
      </c>
      <c r="F592" s="97" t="inlineStr">
        <is>
          <t>Sangat Kurang</t>
        </is>
      </c>
      <c r="G592" s="97" t="inlineStr">
        <is>
          <t>Sangat Pendek</t>
        </is>
      </c>
      <c r="H592" s="97" t="inlineStr">
        <is>
          <t>Gizi Kurang</t>
        </is>
      </c>
      <c r="I592" s="98" t="inlineStr">
        <is>
          <t>Ya</t>
        </is>
      </c>
      <c r="J592" s="98">
        <f>IF(G592="Normal","Tidak",IF(G592="Pendek","Potensi Stunting",IF(G592="Sangat Pendek","Stunting","")))</f>
        <v/>
      </c>
    </row>
    <row r="593" ht="15.75" customHeight="1" s="95">
      <c r="A593" s="97" t="inlineStr">
        <is>
          <t>anonymus0592</t>
        </is>
      </c>
      <c r="B593" s="97" t="inlineStr">
        <is>
          <t>P</t>
        </is>
      </c>
      <c r="C593" s="97" t="inlineStr">
        <is>
          <t>1-34 Bulan</t>
        </is>
      </c>
      <c r="D593" s="97" t="n">
        <v>14.9</v>
      </c>
      <c r="E593" s="97" t="n">
        <v>97</v>
      </c>
      <c r="F593" s="97" t="inlineStr">
        <is>
          <t>Berat Badan Normal</t>
        </is>
      </c>
      <c r="G593" s="97" t="inlineStr">
        <is>
          <t>Normal</t>
        </is>
      </c>
      <c r="H593" s="97" t="inlineStr">
        <is>
          <t>Gizi Baik</t>
        </is>
      </c>
      <c r="I593" s="98" t="inlineStr">
        <is>
          <t>Ya</t>
        </is>
      </c>
      <c r="J593" s="98">
        <f>IF(G593="Normal","Tidak",IF(G593="Pendek","Potensi Stunting",IF(G593="Sangat Pendek","Stunting","")))</f>
        <v/>
      </c>
    </row>
    <row r="594" ht="15.75" customHeight="1" s="95">
      <c r="A594" s="97" t="inlineStr">
        <is>
          <t>anonymus0593</t>
        </is>
      </c>
      <c r="B594" s="97" t="inlineStr">
        <is>
          <t>L</t>
        </is>
      </c>
      <c r="C594" s="97" t="inlineStr">
        <is>
          <t>35-69 Bulan</t>
        </is>
      </c>
      <c r="D594" s="97" t="n">
        <v>11.1</v>
      </c>
      <c r="E594" s="97" t="n">
        <v>83</v>
      </c>
      <c r="F594" s="97" t="inlineStr">
        <is>
          <t>Normal</t>
        </is>
      </c>
      <c r="G594" s="97" t="inlineStr">
        <is>
          <t>Pendek</t>
        </is>
      </c>
      <c r="H594" s="97" t="inlineStr">
        <is>
          <t>Gizi Baik</t>
        </is>
      </c>
      <c r="I594" s="98" t="inlineStr">
        <is>
          <t>Ya</t>
        </is>
      </c>
      <c r="J594" s="98">
        <f>IF(G594="Normal","Tidak",IF(G594="Pendek","Potensi Stunting",IF(G594="Sangat Pendek","Stunting","")))</f>
        <v/>
      </c>
    </row>
    <row r="595" ht="15.75" customHeight="1" s="95">
      <c r="A595" s="97" t="inlineStr">
        <is>
          <t>anonymus0594</t>
        </is>
      </c>
      <c r="B595" s="97" t="inlineStr">
        <is>
          <t xml:space="preserve">L </t>
        </is>
      </c>
      <c r="C595" s="97" t="inlineStr">
        <is>
          <t>35-69 Bulan</t>
        </is>
      </c>
      <c r="D595" s="97" t="inlineStr">
        <is>
          <t>12.4</t>
        </is>
      </c>
      <c r="E595" s="97" t="n">
        <v>87</v>
      </c>
      <c r="F595" s="97" t="inlineStr">
        <is>
          <t>Berat Badan Normal</t>
        </is>
      </c>
      <c r="G595" s="97" t="inlineStr">
        <is>
          <t>Normal</t>
        </is>
      </c>
      <c r="H595" s="97" t="inlineStr">
        <is>
          <t>Gizi Baik</t>
        </is>
      </c>
      <c r="I595" s="98" t="inlineStr">
        <is>
          <t>Ya</t>
        </is>
      </c>
      <c r="J595" s="98">
        <f>IF(G595="Normal","Tidak",IF(G595="Pendek","Potensi Stunting",IF(G595="Sangat Pendek","Stunting","")))</f>
        <v/>
      </c>
    </row>
    <row r="596" ht="15.75" customHeight="1" s="95">
      <c r="A596" s="97" t="inlineStr">
        <is>
          <t>anonymus0595</t>
        </is>
      </c>
      <c r="B596" s="97" t="inlineStr">
        <is>
          <t>P</t>
        </is>
      </c>
      <c r="C596" s="97" t="inlineStr">
        <is>
          <t>35-69 Bulan</t>
        </is>
      </c>
      <c r="D596" s="97" t="n">
        <v>11</v>
      </c>
      <c r="E596" s="97" t="n">
        <v>92</v>
      </c>
      <c r="F596" s="97" t="inlineStr">
        <is>
          <t>Normal</t>
        </is>
      </c>
      <c r="G596" s="97" t="inlineStr">
        <is>
          <t>Normal</t>
        </is>
      </c>
      <c r="H596" s="97" t="inlineStr">
        <is>
          <t>Gizi Kurang</t>
        </is>
      </c>
      <c r="I596" s="98" t="inlineStr">
        <is>
          <t>Ya</t>
        </is>
      </c>
      <c r="J596" s="98">
        <f>IF(G596="Normal","Tidak",IF(G596="Pendek","Potensi Stunting",IF(G596="Sangat Pendek","Stunting","")))</f>
        <v/>
      </c>
    </row>
    <row r="597" ht="15.75" customHeight="1" s="95">
      <c r="A597" s="97" t="inlineStr">
        <is>
          <t>anonymus0596</t>
        </is>
      </c>
      <c r="B597" s="97" t="inlineStr">
        <is>
          <t xml:space="preserve">P </t>
        </is>
      </c>
      <c r="C597" s="97" t="inlineStr">
        <is>
          <t>1-34 Bulan</t>
        </is>
      </c>
      <c r="D597" s="97" t="inlineStr">
        <is>
          <t>12.5</t>
        </is>
      </c>
      <c r="E597" s="97" t="n">
        <v>93</v>
      </c>
      <c r="F597" s="97" t="inlineStr">
        <is>
          <t>Berat Badan Normal</t>
        </is>
      </c>
      <c r="G597" s="97" t="inlineStr">
        <is>
          <t>Normal</t>
        </is>
      </c>
      <c r="H597" s="97" t="inlineStr">
        <is>
          <t>Gizi Baik</t>
        </is>
      </c>
      <c r="I597" s="98" t="inlineStr">
        <is>
          <t>Ya</t>
        </is>
      </c>
      <c r="J597" s="98">
        <f>IF(G597="Normal","Tidak",IF(G597="Pendek","Potensi Stunting",IF(G597="Sangat Pendek","Stunting","")))</f>
        <v/>
      </c>
    </row>
    <row r="598" ht="15.75" customHeight="1" s="95">
      <c r="A598" s="97" t="inlineStr">
        <is>
          <t>anonymus0597</t>
        </is>
      </c>
      <c r="B598" s="97" t="inlineStr">
        <is>
          <t xml:space="preserve">P </t>
        </is>
      </c>
      <c r="C598" s="97" t="inlineStr">
        <is>
          <t>1-34 Bulan</t>
        </is>
      </c>
      <c r="D598" s="97" t="inlineStr">
        <is>
          <t>6.7</t>
        </is>
      </c>
      <c r="E598" s="97" t="n">
        <v>65</v>
      </c>
      <c r="F598" s="97" t="inlineStr">
        <is>
          <t>Berat Badan Normal</t>
        </is>
      </c>
      <c r="G598" s="97" t="inlineStr">
        <is>
          <t>Normal</t>
        </is>
      </c>
      <c r="H598" s="97" t="inlineStr">
        <is>
          <t>Gizi Baik</t>
        </is>
      </c>
      <c r="I598" s="98" t="inlineStr">
        <is>
          <t>Ya</t>
        </is>
      </c>
      <c r="J598" s="98">
        <f>IF(G598="Normal","Tidak",IF(G598="Pendek","Potensi Stunting",IF(G598="Sangat Pendek","Stunting","")))</f>
        <v/>
      </c>
    </row>
    <row r="599" ht="15.75" customHeight="1" s="95">
      <c r="A599" s="97" t="inlineStr">
        <is>
          <t>anonymus0598</t>
        </is>
      </c>
      <c r="B599" s="97" t="inlineStr">
        <is>
          <t xml:space="preserve">L </t>
        </is>
      </c>
      <c r="C599" s="97" t="inlineStr">
        <is>
          <t>35-69 Bulan</t>
        </is>
      </c>
      <c r="D599" s="97" t="n">
        <v>16</v>
      </c>
      <c r="E599" s="97" t="n">
        <v>101</v>
      </c>
      <c r="F599" s="97" t="inlineStr">
        <is>
          <t>Berat Badan Normal</t>
        </is>
      </c>
      <c r="G599" s="97" t="inlineStr">
        <is>
          <t>Normal</t>
        </is>
      </c>
      <c r="H599" s="97" t="inlineStr">
        <is>
          <t>Gizi Baik</t>
        </is>
      </c>
      <c r="I599" s="98" t="inlineStr">
        <is>
          <t>Ya</t>
        </is>
      </c>
      <c r="J599" s="98">
        <f>IF(G599="Normal","Tidak",IF(G599="Pendek","Potensi Stunting",IF(G599="Sangat Pendek","Stunting","")))</f>
        <v/>
      </c>
    </row>
    <row r="600" ht="15.75" customHeight="1" s="95">
      <c r="A600" s="97" t="inlineStr">
        <is>
          <t>anonymus0599</t>
        </is>
      </c>
      <c r="B600" s="97" t="inlineStr">
        <is>
          <t>P</t>
        </is>
      </c>
      <c r="C600" s="97" t="inlineStr">
        <is>
          <t>1-34 Bulan</t>
        </is>
      </c>
      <c r="D600" s="97" t="n">
        <v>9.699999999999999</v>
      </c>
      <c r="E600" s="97" t="n">
        <v>72</v>
      </c>
      <c r="F600" s="97" t="inlineStr">
        <is>
          <t>Berat Badan Normal</t>
        </is>
      </c>
      <c r="G600" s="97" t="inlineStr">
        <is>
          <t>Normal</t>
        </is>
      </c>
      <c r="H600" s="97" t="inlineStr">
        <is>
          <t>Gizi Baik</t>
        </is>
      </c>
      <c r="I600" s="98" t="inlineStr">
        <is>
          <t>Ya</t>
        </is>
      </c>
      <c r="J600" s="98">
        <f>IF(G600="Normal","Tidak",IF(G600="Pendek","Potensi Stunting",IF(G600="Sangat Pendek","Stunting","")))</f>
        <v/>
      </c>
    </row>
    <row r="601" ht="15.75" customHeight="1" s="95">
      <c r="A601" s="97" t="inlineStr">
        <is>
          <t>anonymus0600</t>
        </is>
      </c>
      <c r="B601" s="97" t="inlineStr">
        <is>
          <t>L</t>
        </is>
      </c>
      <c r="C601" s="97" t="inlineStr">
        <is>
          <t>35-69 Bulan</t>
        </is>
      </c>
      <c r="D601" s="97" t="n">
        <v>11</v>
      </c>
      <c r="E601" s="97" t="n">
        <v>93</v>
      </c>
      <c r="F601" s="97" t="inlineStr">
        <is>
          <t>Kurang</t>
        </is>
      </c>
      <c r="G601" s="97" t="inlineStr">
        <is>
          <t>Normal</t>
        </is>
      </c>
      <c r="H601" s="97" t="inlineStr">
        <is>
          <t>Gizi Kurang</t>
        </is>
      </c>
      <c r="I601" s="98" t="inlineStr">
        <is>
          <t>Ya</t>
        </is>
      </c>
      <c r="J601" s="98">
        <f>IF(G601="Normal","Tidak",IF(G601="Pendek","Potensi Stunting",IF(G601="Sangat Pendek","Stunting","")))</f>
        <v/>
      </c>
    </row>
    <row r="602" ht="15.75" customHeight="1" s="95">
      <c r="A602" s="97" t="inlineStr">
        <is>
          <t>anonymus0601</t>
        </is>
      </c>
      <c r="B602" s="97" t="inlineStr">
        <is>
          <t xml:space="preserve">L </t>
        </is>
      </c>
      <c r="C602" s="97" t="inlineStr">
        <is>
          <t>35-69 Bulan</t>
        </is>
      </c>
      <c r="D602" s="97" t="n">
        <v>14</v>
      </c>
      <c r="E602" s="97" t="inlineStr">
        <is>
          <t>102.5</t>
        </is>
      </c>
      <c r="F602" s="97" t="inlineStr">
        <is>
          <t>Berat Badan Normal</t>
        </is>
      </c>
      <c r="G602" s="97" t="inlineStr">
        <is>
          <t>Normal</t>
        </is>
      </c>
      <c r="H602" s="97" t="inlineStr">
        <is>
          <t>Gizi Baik</t>
        </is>
      </c>
      <c r="I602" s="98" t="inlineStr">
        <is>
          <t>Ya</t>
        </is>
      </c>
      <c r="J602" s="98">
        <f>IF(G602="Normal","Tidak",IF(G602="Pendek","Potensi Stunting",IF(G602="Sangat Pendek","Stunting","")))</f>
        <v/>
      </c>
    </row>
    <row r="603" ht="15.75" customHeight="1" s="95">
      <c r="A603" s="97" t="inlineStr">
        <is>
          <t>anonymus0602</t>
        </is>
      </c>
      <c r="B603" s="97" t="inlineStr">
        <is>
          <t xml:space="preserve">L </t>
        </is>
      </c>
      <c r="C603" s="97" t="inlineStr">
        <is>
          <t>1-34 Bulan</t>
        </is>
      </c>
      <c r="D603" s="97" t="inlineStr">
        <is>
          <t>9.2</t>
        </is>
      </c>
      <c r="E603" s="97" t="n">
        <v>75</v>
      </c>
      <c r="F603" s="97" t="inlineStr">
        <is>
          <t>Berat Badan Normal</t>
        </is>
      </c>
      <c r="G603" s="97" t="inlineStr">
        <is>
          <t>Normal</t>
        </is>
      </c>
      <c r="H603" s="97" t="inlineStr">
        <is>
          <t>Gizi Baik</t>
        </is>
      </c>
      <c r="I603" s="98" t="inlineStr">
        <is>
          <t>Ya</t>
        </is>
      </c>
      <c r="J603" s="98">
        <f>IF(G603="Normal","Tidak",IF(G603="Pendek","Potensi Stunting",IF(G603="Sangat Pendek","Stunting","")))</f>
        <v/>
      </c>
    </row>
    <row r="604" ht="15.75" customHeight="1" s="95">
      <c r="A604" s="97" t="inlineStr">
        <is>
          <t>anonymus0603</t>
        </is>
      </c>
      <c r="B604" s="97" t="inlineStr">
        <is>
          <t>L</t>
        </is>
      </c>
      <c r="C604" s="97" t="inlineStr">
        <is>
          <t>35-69 Bulan</t>
        </is>
      </c>
      <c r="D604" s="97" t="n">
        <v>12</v>
      </c>
      <c r="E604" s="97" t="n">
        <v>95</v>
      </c>
      <c r="F604" s="97" t="inlineStr">
        <is>
          <t>Normal</t>
        </is>
      </c>
      <c r="G604" s="97" t="inlineStr">
        <is>
          <t>Normal</t>
        </is>
      </c>
      <c r="H604" s="97" t="inlineStr">
        <is>
          <t>Gizi Kurang</t>
        </is>
      </c>
      <c r="I604" s="98" t="inlineStr">
        <is>
          <t>Ya</t>
        </is>
      </c>
      <c r="J604" s="98">
        <f>IF(G604="Normal","Tidak",IF(G604="Pendek","Potensi Stunting",IF(G604="Sangat Pendek","Stunting","")))</f>
        <v/>
      </c>
    </row>
    <row r="605" ht="15.75" customHeight="1" s="95">
      <c r="A605" s="97" t="inlineStr">
        <is>
          <t>anonymus0604</t>
        </is>
      </c>
      <c r="B605" s="97" t="inlineStr">
        <is>
          <t>P</t>
        </is>
      </c>
      <c r="C605" s="97" t="inlineStr">
        <is>
          <t>35-69 Bulan</t>
        </is>
      </c>
      <c r="D605" s="97" t="n">
        <v>12.55</v>
      </c>
      <c r="E605" s="97" t="n">
        <v>103</v>
      </c>
      <c r="F605" s="97" t="inlineStr">
        <is>
          <t>Normal</t>
        </is>
      </c>
      <c r="G605" s="97" t="inlineStr">
        <is>
          <t>Normal</t>
        </is>
      </c>
      <c r="H605" s="97" t="inlineStr">
        <is>
          <t>Gizi Kurang</t>
        </is>
      </c>
      <c r="I605" s="98" t="inlineStr">
        <is>
          <t>Ya</t>
        </is>
      </c>
      <c r="J605" s="98">
        <f>IF(G605="Normal","Tidak",IF(G605="Pendek","Potensi Stunting",IF(G605="Sangat Pendek","Stunting","")))</f>
        <v/>
      </c>
    </row>
    <row r="606" ht="15.75" customHeight="1" s="95">
      <c r="A606" s="97" t="inlineStr">
        <is>
          <t>anonymus0605</t>
        </is>
      </c>
      <c r="B606" s="97" t="inlineStr">
        <is>
          <t>L</t>
        </is>
      </c>
      <c r="C606" s="97" t="inlineStr">
        <is>
          <t>35-69 Bulan</t>
        </is>
      </c>
      <c r="D606" s="97" t="n">
        <v>11.7</v>
      </c>
      <c r="E606" s="97" t="n">
        <v>94</v>
      </c>
      <c r="F606" s="97" t="inlineStr">
        <is>
          <t>Kurang</t>
        </is>
      </c>
      <c r="G606" s="97" t="inlineStr">
        <is>
          <t>Pendek</t>
        </is>
      </c>
      <c r="H606" s="97" t="inlineStr">
        <is>
          <t>Gizi Kurang</t>
        </is>
      </c>
      <c r="I606" s="98" t="inlineStr">
        <is>
          <t>Ya</t>
        </is>
      </c>
      <c r="J606" s="98">
        <f>IF(G606="Normal","Tidak",IF(G606="Pendek","Potensi Stunting",IF(G606="Sangat Pendek","Stunting","")))</f>
        <v/>
      </c>
    </row>
    <row r="607" ht="15.75" customHeight="1" s="95">
      <c r="A607" s="97" t="inlineStr">
        <is>
          <t>anonymus0606</t>
        </is>
      </c>
      <c r="B607" s="97" t="inlineStr">
        <is>
          <t xml:space="preserve">L </t>
        </is>
      </c>
      <c r="C607" s="97" t="inlineStr">
        <is>
          <t>35-69 Bulan</t>
        </is>
      </c>
      <c r="D607" s="97" t="inlineStr">
        <is>
          <t>17.2</t>
        </is>
      </c>
      <c r="E607" s="97" t="n">
        <v>103</v>
      </c>
      <c r="F607" s="97" t="inlineStr">
        <is>
          <t>Berat Badan Normal</t>
        </is>
      </c>
      <c r="G607" s="97" t="inlineStr">
        <is>
          <t>Normal</t>
        </is>
      </c>
      <c r="H607" s="97" t="inlineStr">
        <is>
          <t>Gizi Baik</t>
        </is>
      </c>
      <c r="I607" s="98" t="inlineStr">
        <is>
          <t>Ya</t>
        </is>
      </c>
      <c r="J607" s="98">
        <f>IF(G607="Normal","Tidak",IF(G607="Pendek","Potensi Stunting",IF(G607="Sangat Pendek","Stunting","")))</f>
        <v/>
      </c>
    </row>
    <row r="608" ht="15.75" customHeight="1" s="95">
      <c r="A608" s="97" t="inlineStr">
        <is>
          <t>anonymus0607</t>
        </is>
      </c>
      <c r="B608" s="97" t="inlineStr">
        <is>
          <t>L</t>
        </is>
      </c>
      <c r="C608" s="97" t="inlineStr">
        <is>
          <t>1-34 Bulan</t>
        </is>
      </c>
      <c r="D608" s="97" t="n">
        <v>10.5</v>
      </c>
      <c r="E608" s="97" t="n">
        <v>76</v>
      </c>
      <c r="F608" s="97" t="inlineStr">
        <is>
          <t>Normal</t>
        </is>
      </c>
      <c r="G608" s="97" t="inlineStr">
        <is>
          <t>Sangat Pendek</t>
        </is>
      </c>
      <c r="H608" s="97" t="inlineStr">
        <is>
          <t>Gizi Baik</t>
        </is>
      </c>
      <c r="I608" s="98" t="inlineStr">
        <is>
          <t>Ya</t>
        </is>
      </c>
      <c r="J608" s="98">
        <f>IF(G608="Normal","Tidak",IF(G608="Pendek","Potensi Stunting",IF(G608="Sangat Pendek","Stunting","")))</f>
        <v/>
      </c>
    </row>
    <row r="609" ht="15.75" customHeight="1" s="95">
      <c r="A609" s="97" t="inlineStr">
        <is>
          <t>anonymus0608</t>
        </is>
      </c>
      <c r="B609" s="97" t="inlineStr">
        <is>
          <t xml:space="preserve">L </t>
        </is>
      </c>
      <c r="C609" s="97" t="inlineStr">
        <is>
          <t>35-69 Bulan</t>
        </is>
      </c>
      <c r="D609" s="97" t="inlineStr">
        <is>
          <t>19.3</t>
        </is>
      </c>
      <c r="E609" s="97" t="n">
        <v>111</v>
      </c>
      <c r="F609" s="97" t="inlineStr">
        <is>
          <t>Berat Badan Normal</t>
        </is>
      </c>
      <c r="G609" s="97" t="inlineStr">
        <is>
          <t>Normal</t>
        </is>
      </c>
      <c r="H609" s="97" t="inlineStr">
        <is>
          <t>Gizi Baik</t>
        </is>
      </c>
      <c r="I609" s="98" t="inlineStr">
        <is>
          <t>Ya</t>
        </is>
      </c>
      <c r="J609" s="98">
        <f>IF(G609="Normal","Tidak",IF(G609="Pendek","Potensi Stunting",IF(G609="Sangat Pendek","Stunting","")))</f>
        <v/>
      </c>
    </row>
    <row r="610" ht="15.75" customHeight="1" s="95">
      <c r="A610" s="97" t="inlineStr">
        <is>
          <t>anonymus0609</t>
        </is>
      </c>
      <c r="B610" s="97" t="inlineStr">
        <is>
          <t xml:space="preserve">P </t>
        </is>
      </c>
      <c r="C610" s="97" t="inlineStr">
        <is>
          <t>35-69 Bulan</t>
        </is>
      </c>
      <c r="D610" s="97" t="inlineStr">
        <is>
          <t>13.6</t>
        </is>
      </c>
      <c r="E610" s="97" t="n">
        <v>94</v>
      </c>
      <c r="F610" s="97" t="inlineStr">
        <is>
          <t>Risiko Lebih</t>
        </is>
      </c>
      <c r="G610" s="97" t="inlineStr">
        <is>
          <t>Normal</t>
        </is>
      </c>
      <c r="H610" s="97" t="inlineStr">
        <is>
          <t>Gizi Baik</t>
        </is>
      </c>
      <c r="I610" s="98" t="inlineStr">
        <is>
          <t>Ya</t>
        </is>
      </c>
      <c r="J610" s="98">
        <f>IF(G610="Normal","Tidak",IF(G610="Pendek","Potensi Stunting",IF(G610="Sangat Pendek","Stunting","")))</f>
        <v/>
      </c>
    </row>
    <row r="611" ht="15.75" customHeight="1" s="95">
      <c r="A611" s="97" t="inlineStr">
        <is>
          <t>anonymus0610</t>
        </is>
      </c>
      <c r="B611" s="97" t="inlineStr">
        <is>
          <t>P</t>
        </is>
      </c>
      <c r="C611" s="97" t="inlineStr">
        <is>
          <t>1-34 Bulan</t>
        </is>
      </c>
      <c r="D611" s="97" t="n">
        <v>10</v>
      </c>
      <c r="E611" s="97" t="n">
        <v>88</v>
      </c>
      <c r="F611" s="97" t="inlineStr">
        <is>
          <t>Normal</t>
        </is>
      </c>
      <c r="G611" s="97" t="inlineStr">
        <is>
          <t>Normal</t>
        </is>
      </c>
      <c r="H611" s="97" t="inlineStr">
        <is>
          <t>Gizi Kurang</t>
        </is>
      </c>
      <c r="I611" s="98" t="inlineStr">
        <is>
          <t>Ya</t>
        </is>
      </c>
      <c r="J611" s="98">
        <f>IF(G611="Normal","Tidak",IF(G611="Pendek","Potensi Stunting",IF(G611="Sangat Pendek","Stunting","")))</f>
        <v/>
      </c>
    </row>
    <row r="612" ht="15.75" customHeight="1" s="95">
      <c r="A612" s="97" t="inlineStr">
        <is>
          <t>anonymus0611</t>
        </is>
      </c>
      <c r="B612" s="97" t="inlineStr">
        <is>
          <t>P</t>
        </is>
      </c>
      <c r="C612" s="97" t="inlineStr">
        <is>
          <t>1-34 Bulan</t>
        </is>
      </c>
      <c r="D612" s="97" t="n">
        <v>8.9</v>
      </c>
      <c r="E612" s="97" t="n">
        <v>96</v>
      </c>
      <c r="F612" s="97" t="inlineStr">
        <is>
          <t>Kurang</t>
        </is>
      </c>
      <c r="G612" s="97" t="inlineStr">
        <is>
          <t>Normal</t>
        </is>
      </c>
      <c r="H612" s="97" t="inlineStr">
        <is>
          <t>Gizi Kurang</t>
        </is>
      </c>
      <c r="I612" s="98" t="inlineStr">
        <is>
          <t>Ya</t>
        </is>
      </c>
      <c r="J612" s="98">
        <f>IF(G612="Normal","Tidak",IF(G612="Pendek","Potensi Stunting",IF(G612="Sangat Pendek","Stunting","")))</f>
        <v/>
      </c>
    </row>
    <row r="613" ht="15.75" customHeight="1" s="95">
      <c r="A613" s="97" t="inlineStr">
        <is>
          <t>anonymus0612</t>
        </is>
      </c>
      <c r="B613" s="97" t="inlineStr">
        <is>
          <t>L</t>
        </is>
      </c>
      <c r="C613" s="97" t="inlineStr">
        <is>
          <t>1-34 Bulan</t>
        </is>
      </c>
      <c r="D613" s="97" t="n">
        <v>5.8</v>
      </c>
      <c r="E613" s="97" t="n">
        <v>63.5</v>
      </c>
      <c r="F613" s="97" t="inlineStr">
        <is>
          <t>Normal</t>
        </is>
      </c>
      <c r="G613" s="97" t="inlineStr">
        <is>
          <t>Normal</t>
        </is>
      </c>
      <c r="H613" s="97" t="inlineStr">
        <is>
          <t>Gizi Kurang</t>
        </is>
      </c>
      <c r="I613" s="98" t="inlineStr">
        <is>
          <t>Ya</t>
        </is>
      </c>
      <c r="J613" s="98">
        <f>IF(G613="Normal","Tidak",IF(G613="Pendek","Potensi Stunting",IF(G613="Sangat Pendek","Stunting","")))</f>
        <v/>
      </c>
    </row>
    <row r="614" ht="15.75" customHeight="1" s="95">
      <c r="A614" s="97" t="inlineStr">
        <is>
          <t>anonymus0613</t>
        </is>
      </c>
      <c r="B614" s="97" t="inlineStr">
        <is>
          <t>P</t>
        </is>
      </c>
      <c r="C614" s="97" t="inlineStr">
        <is>
          <t>1-34 Bulan</t>
        </is>
      </c>
      <c r="D614" s="97" t="n">
        <v>12.4</v>
      </c>
      <c r="E614" s="97" t="n">
        <v>96</v>
      </c>
      <c r="F614" s="97" t="inlineStr">
        <is>
          <t>Berat Badan Normal</t>
        </is>
      </c>
      <c r="G614" s="97" t="inlineStr">
        <is>
          <t>Normal</t>
        </is>
      </c>
      <c r="H614" s="97" t="inlineStr">
        <is>
          <t>Gizi Baik</t>
        </is>
      </c>
      <c r="I614" s="98" t="inlineStr">
        <is>
          <t>Ya</t>
        </is>
      </c>
      <c r="J614" s="98">
        <f>IF(G614="Normal","Tidak",IF(G614="Pendek","Potensi Stunting",IF(G614="Sangat Pendek","Stunting","")))</f>
        <v/>
      </c>
    </row>
    <row r="615" ht="15.75" customHeight="1" s="95">
      <c r="A615" s="97" t="inlineStr">
        <is>
          <t>anonymus0614</t>
        </is>
      </c>
      <c r="B615" s="97" t="inlineStr">
        <is>
          <t>P</t>
        </is>
      </c>
      <c r="C615" s="97" t="inlineStr">
        <is>
          <t>35-69 Bulan</t>
        </is>
      </c>
      <c r="D615" s="97" t="n">
        <v>18.8</v>
      </c>
      <c r="E615" s="97" t="n">
        <v>108</v>
      </c>
      <c r="F615" s="97" t="inlineStr">
        <is>
          <t>Risiko Lebih</t>
        </is>
      </c>
      <c r="G615" s="97" t="inlineStr">
        <is>
          <t>Normal</t>
        </is>
      </c>
      <c r="H615" s="97" t="inlineStr">
        <is>
          <t>Gizi Lebih</t>
        </is>
      </c>
      <c r="I615" s="98" t="inlineStr">
        <is>
          <t>Ya</t>
        </is>
      </c>
      <c r="J615" s="98">
        <f>IF(G615="Normal","Tidak",IF(G615="Pendek","Potensi Stunting",IF(G615="Sangat Pendek","Stunting","")))</f>
        <v/>
      </c>
    </row>
    <row r="616" ht="15.75" customHeight="1" s="95">
      <c r="A616" s="97" t="inlineStr">
        <is>
          <t>anonymus0615</t>
        </is>
      </c>
      <c r="B616" s="97" t="inlineStr">
        <is>
          <t>L</t>
        </is>
      </c>
      <c r="C616" s="97" t="inlineStr">
        <is>
          <t>35-69 Bulan</t>
        </is>
      </c>
      <c r="D616" s="97" t="n">
        <v>19.4</v>
      </c>
      <c r="E616" s="97" t="n">
        <v>103</v>
      </c>
      <c r="F616" s="97" t="inlineStr">
        <is>
          <t>Risiko Lebih</t>
        </is>
      </c>
      <c r="G616" s="97" t="inlineStr">
        <is>
          <t>Normal</t>
        </is>
      </c>
      <c r="H616" s="97" t="inlineStr">
        <is>
          <t>Gizi Lebih</t>
        </is>
      </c>
      <c r="I616" s="98" t="inlineStr">
        <is>
          <t>Ya</t>
        </is>
      </c>
      <c r="J616" s="98">
        <f>IF(G616="Normal","Tidak",IF(G616="Pendek","Potensi Stunting",IF(G616="Sangat Pendek","Stunting","")))</f>
        <v/>
      </c>
    </row>
    <row r="617" ht="15.75" customHeight="1" s="95">
      <c r="A617" s="97" t="inlineStr">
        <is>
          <t>anonymus0616</t>
        </is>
      </c>
      <c r="B617" s="97" t="inlineStr">
        <is>
          <t>P</t>
        </is>
      </c>
      <c r="C617" s="97" t="inlineStr">
        <is>
          <t>35-69 Bulan</t>
        </is>
      </c>
      <c r="D617" s="97" t="n">
        <v>14.4</v>
      </c>
      <c r="E617" s="97" t="n">
        <v>98</v>
      </c>
      <c r="F617" s="97" t="inlineStr">
        <is>
          <t>Berat Badan Normal</t>
        </is>
      </c>
      <c r="G617" s="97" t="inlineStr">
        <is>
          <t>Normal</t>
        </is>
      </c>
      <c r="H617" s="97" t="inlineStr">
        <is>
          <t>Gizi Baik</t>
        </is>
      </c>
      <c r="I617" s="98" t="inlineStr">
        <is>
          <t>Ya</t>
        </is>
      </c>
      <c r="J617" s="98">
        <f>IF(G617="Normal","Tidak",IF(G617="Pendek","Potensi Stunting",IF(G617="Sangat Pendek","Stunting","")))</f>
        <v/>
      </c>
    </row>
    <row r="618" ht="15.75" customHeight="1" s="95">
      <c r="A618" s="97" t="inlineStr">
        <is>
          <t>anonymus0617</t>
        </is>
      </c>
      <c r="B618" s="97" t="inlineStr">
        <is>
          <t>P</t>
        </is>
      </c>
      <c r="C618" s="97" t="inlineStr">
        <is>
          <t>35-69 Bulan</t>
        </is>
      </c>
      <c r="D618" s="97" t="n">
        <v>16.8</v>
      </c>
      <c r="E618" s="97" t="n">
        <v>99</v>
      </c>
      <c r="F618" s="97" t="inlineStr">
        <is>
          <t>Berat Badan Normal</t>
        </is>
      </c>
      <c r="G618" s="97" t="inlineStr">
        <is>
          <t>Normal</t>
        </is>
      </c>
      <c r="H618" s="97" t="inlineStr">
        <is>
          <t>Gizi Baik</t>
        </is>
      </c>
      <c r="I618" s="98" t="inlineStr">
        <is>
          <t>Ya</t>
        </is>
      </c>
      <c r="J618" s="98">
        <f>IF(G618="Normal","Tidak",IF(G618="Pendek","Potensi Stunting",IF(G618="Sangat Pendek","Stunting","")))</f>
        <v/>
      </c>
    </row>
    <row r="619" ht="15.75" customHeight="1" s="95">
      <c r="A619" s="97" t="inlineStr">
        <is>
          <t>anonymus0618</t>
        </is>
      </c>
      <c r="B619" s="97" t="inlineStr">
        <is>
          <t>L</t>
        </is>
      </c>
      <c r="C619" s="97" t="inlineStr">
        <is>
          <t>35-69 Bulan</t>
        </is>
      </c>
      <c r="D619" s="97" t="n">
        <v>19</v>
      </c>
      <c r="E619" s="97" t="n">
        <v>115</v>
      </c>
      <c r="F619" s="97" t="inlineStr">
        <is>
          <t>Risiko Lebih</t>
        </is>
      </c>
      <c r="G619" s="97" t="inlineStr">
        <is>
          <t>Normal</t>
        </is>
      </c>
      <c r="H619" s="97" t="inlineStr">
        <is>
          <t>Gizi Lebih</t>
        </is>
      </c>
      <c r="I619" s="98" t="inlineStr">
        <is>
          <t>Ya</t>
        </is>
      </c>
      <c r="J619" s="98">
        <f>IF(G619="Normal","Tidak",IF(G619="Pendek","Potensi Stunting",IF(G619="Sangat Pendek","Stunting","")))</f>
        <v/>
      </c>
    </row>
    <row r="620" ht="15.75" customHeight="1" s="95">
      <c r="A620" s="97" t="inlineStr">
        <is>
          <t>anonymus0619</t>
        </is>
      </c>
      <c r="B620" s="97" t="inlineStr">
        <is>
          <t>P</t>
        </is>
      </c>
      <c r="C620" s="97" t="inlineStr">
        <is>
          <t>35-69 Bulan</t>
        </is>
      </c>
      <c r="D620" s="97" t="n">
        <v>13</v>
      </c>
      <c r="E620" s="97" t="n">
        <v>93</v>
      </c>
      <c r="F620" s="97" t="inlineStr">
        <is>
          <t>Berat Badan Normal</t>
        </is>
      </c>
      <c r="G620" s="97" t="inlineStr">
        <is>
          <t>Normal</t>
        </is>
      </c>
      <c r="H620" s="97" t="inlineStr">
        <is>
          <t>Gizi Baik</t>
        </is>
      </c>
      <c r="I620" s="98" t="inlineStr">
        <is>
          <t>Ya</t>
        </is>
      </c>
      <c r="J620" s="98">
        <f>IF(G620="Normal","Tidak",IF(G620="Pendek","Potensi Stunting",IF(G620="Sangat Pendek","Stunting","")))</f>
        <v/>
      </c>
    </row>
    <row r="621" ht="15.75" customHeight="1" s="95">
      <c r="A621" s="97" t="inlineStr">
        <is>
          <t>anonymus0620</t>
        </is>
      </c>
      <c r="B621" s="97" t="inlineStr">
        <is>
          <t>L</t>
        </is>
      </c>
      <c r="C621" s="97" t="inlineStr">
        <is>
          <t>1-34 Bulan</t>
        </is>
      </c>
      <c r="D621" s="97" t="n">
        <v>13.9</v>
      </c>
      <c r="E621" s="97" t="n">
        <v>86</v>
      </c>
      <c r="F621" s="97" t="inlineStr">
        <is>
          <t>Berat Badan Normal</t>
        </is>
      </c>
      <c r="G621" s="97" t="inlineStr">
        <is>
          <t>Normal</t>
        </is>
      </c>
      <c r="H621" s="97" t="inlineStr">
        <is>
          <t>Gizi Baik</t>
        </is>
      </c>
      <c r="I621" s="98" t="inlineStr">
        <is>
          <t>Ya</t>
        </is>
      </c>
      <c r="J621" s="98">
        <f>IF(G621="Normal","Tidak",IF(G621="Pendek","Potensi Stunting",IF(G621="Sangat Pendek","Stunting","")))</f>
        <v/>
      </c>
    </row>
    <row r="622" ht="15.75" customHeight="1" s="95">
      <c r="A622" s="97" t="inlineStr">
        <is>
          <t>anonymus0621</t>
        </is>
      </c>
      <c r="B622" s="97" t="inlineStr">
        <is>
          <t>L</t>
        </is>
      </c>
      <c r="C622" s="97" t="inlineStr">
        <is>
          <t>1-34 Bulan</t>
        </is>
      </c>
      <c r="D622" s="97" t="n">
        <v>8</v>
      </c>
      <c r="E622" s="97" t="n">
        <v>72.40000000000001</v>
      </c>
      <c r="F622" s="97" t="inlineStr">
        <is>
          <t>Kurang</t>
        </is>
      </c>
      <c r="G622" s="97" t="inlineStr">
        <is>
          <t>Pendek</t>
        </is>
      </c>
      <c r="H622" s="97" t="inlineStr">
        <is>
          <t>Gizi Baik</t>
        </is>
      </c>
      <c r="I622" s="98" t="inlineStr">
        <is>
          <t>Ya</t>
        </is>
      </c>
      <c r="J622" s="98">
        <f>IF(G622="Normal","Tidak",IF(G622="Pendek","Potensi Stunting",IF(G622="Sangat Pendek","Stunting","")))</f>
        <v/>
      </c>
    </row>
    <row r="623" ht="15.75" customHeight="1" s="95">
      <c r="A623" s="97" t="inlineStr">
        <is>
          <t>anonymus0622</t>
        </is>
      </c>
      <c r="B623" s="97" t="inlineStr">
        <is>
          <t xml:space="preserve">L </t>
        </is>
      </c>
      <c r="C623" s="97" t="inlineStr">
        <is>
          <t>35-69 Bulan</t>
        </is>
      </c>
      <c r="D623" s="97" t="inlineStr">
        <is>
          <t>15.4</t>
        </is>
      </c>
      <c r="E623" s="97" t="n">
        <v>99</v>
      </c>
      <c r="F623" s="97" t="inlineStr">
        <is>
          <t>Berat Badan Normal</t>
        </is>
      </c>
      <c r="G623" s="97" t="inlineStr">
        <is>
          <t>Normal</t>
        </is>
      </c>
      <c r="H623" s="97" t="inlineStr">
        <is>
          <t>Gizi Baik</t>
        </is>
      </c>
      <c r="I623" s="98" t="inlineStr">
        <is>
          <t>Ya</t>
        </is>
      </c>
      <c r="J623" s="98">
        <f>IF(G623="Normal","Tidak",IF(G623="Pendek","Potensi Stunting",IF(G623="Sangat Pendek","Stunting","")))</f>
        <v/>
      </c>
    </row>
    <row r="624" ht="15.75" customHeight="1" s="95">
      <c r="A624" s="97" t="inlineStr">
        <is>
          <t>anonymus0623</t>
        </is>
      </c>
      <c r="B624" s="97" t="inlineStr">
        <is>
          <t>L</t>
        </is>
      </c>
      <c r="C624" s="97" t="inlineStr">
        <is>
          <t>35-69 Bulan</t>
        </is>
      </c>
      <c r="D624" s="97" t="n">
        <v>11.5</v>
      </c>
      <c r="E624" s="97" t="n">
        <v>96</v>
      </c>
      <c r="F624" s="97" t="inlineStr">
        <is>
          <t>Sangat Kurang</t>
        </is>
      </c>
      <c r="G624" s="97" t="inlineStr">
        <is>
          <t>Pendek</t>
        </is>
      </c>
      <c r="H624" s="97" t="inlineStr">
        <is>
          <t>Gizi Kurang</t>
        </is>
      </c>
      <c r="I624" s="98" t="inlineStr">
        <is>
          <t>Ya</t>
        </is>
      </c>
      <c r="J624" s="98">
        <f>IF(G624="Normal","Tidak",IF(G624="Pendek","Potensi Stunting",IF(G624="Sangat Pendek","Stunting","")))</f>
        <v/>
      </c>
    </row>
    <row r="625" ht="15.75" customHeight="1" s="95">
      <c r="A625" s="97" t="inlineStr">
        <is>
          <t>anonymus0624</t>
        </is>
      </c>
      <c r="B625" s="97" t="inlineStr">
        <is>
          <t xml:space="preserve">L </t>
        </is>
      </c>
      <c r="C625" s="97" t="inlineStr">
        <is>
          <t>35-69 Bulan</t>
        </is>
      </c>
      <c r="D625" s="97" t="n">
        <v>12</v>
      </c>
      <c r="E625" s="97" t="n">
        <v>96</v>
      </c>
      <c r="F625" s="97" t="inlineStr">
        <is>
          <t>Berat Badan Normal</t>
        </is>
      </c>
      <c r="G625" s="97" t="inlineStr">
        <is>
          <t>Normal</t>
        </is>
      </c>
      <c r="H625" s="97" t="inlineStr">
        <is>
          <t>Gizi Kurang</t>
        </is>
      </c>
      <c r="I625" s="98" t="inlineStr">
        <is>
          <t>Ya</t>
        </is>
      </c>
      <c r="J625" s="98">
        <f>IF(G625="Normal","Tidak",IF(G625="Pendek","Potensi Stunting",IF(G625="Sangat Pendek","Stunting","")))</f>
        <v/>
      </c>
    </row>
    <row r="626" ht="15.75" customHeight="1" s="95">
      <c r="A626" s="97" t="inlineStr">
        <is>
          <t>anonymus0625</t>
        </is>
      </c>
      <c r="B626" s="97" t="inlineStr">
        <is>
          <t xml:space="preserve">L </t>
        </is>
      </c>
      <c r="C626" s="97" t="inlineStr">
        <is>
          <t>1-34 Bulan</t>
        </is>
      </c>
      <c r="D626" s="97" t="inlineStr">
        <is>
          <t>11.8</t>
        </is>
      </c>
      <c r="E626" s="97" t="inlineStr">
        <is>
          <t>87.5</t>
        </is>
      </c>
      <c r="F626" s="97" t="inlineStr">
        <is>
          <t>Berat Badan Normal</t>
        </is>
      </c>
      <c r="G626" s="97" t="inlineStr">
        <is>
          <t>Normal</t>
        </is>
      </c>
      <c r="H626" s="97" t="inlineStr">
        <is>
          <t>Gizi Baik</t>
        </is>
      </c>
      <c r="I626" s="98" t="inlineStr">
        <is>
          <t>Ya</t>
        </is>
      </c>
      <c r="J626" s="98">
        <f>IF(G626="Normal","Tidak",IF(G626="Pendek","Potensi Stunting",IF(G626="Sangat Pendek","Stunting","")))</f>
        <v/>
      </c>
    </row>
    <row r="627" ht="15.75" customHeight="1" s="95">
      <c r="A627" s="97" t="inlineStr">
        <is>
          <t>anonymus0626</t>
        </is>
      </c>
      <c r="B627" s="97" t="inlineStr">
        <is>
          <t>L</t>
        </is>
      </c>
      <c r="C627" s="97" t="inlineStr">
        <is>
          <t>35-69 Bulan</t>
        </is>
      </c>
      <c r="D627" s="97" t="n">
        <v>16.8</v>
      </c>
      <c r="E627" s="97" t="n">
        <v>95</v>
      </c>
      <c r="F627" s="97" t="inlineStr">
        <is>
          <t>Berat Badan Normal</t>
        </is>
      </c>
      <c r="G627" s="97" t="inlineStr">
        <is>
          <t>Normal</t>
        </is>
      </c>
      <c r="H627" s="97" t="inlineStr">
        <is>
          <t>Gizi Baik</t>
        </is>
      </c>
      <c r="I627" s="98" t="inlineStr">
        <is>
          <t>Ya</t>
        </is>
      </c>
      <c r="J627" s="98">
        <f>IF(G627="Normal","Tidak",IF(G627="Pendek","Potensi Stunting",IF(G627="Sangat Pendek","Stunting","")))</f>
        <v/>
      </c>
    </row>
    <row r="628" ht="15.75" customHeight="1" s="95">
      <c r="A628" s="97" t="inlineStr">
        <is>
          <t>anonymus0627</t>
        </is>
      </c>
      <c r="B628" s="97" t="inlineStr">
        <is>
          <t xml:space="preserve">L </t>
        </is>
      </c>
      <c r="C628" s="97" t="inlineStr">
        <is>
          <t>35-69 Bulan</t>
        </is>
      </c>
      <c r="D628" s="97" t="inlineStr">
        <is>
          <t>8.9</t>
        </is>
      </c>
      <c r="E628" s="97" t="n">
        <v>87</v>
      </c>
      <c r="F628" s="97" t="inlineStr">
        <is>
          <t>Sangat Kurang</t>
        </is>
      </c>
      <c r="G628" s="97" t="inlineStr">
        <is>
          <t>Pendek</t>
        </is>
      </c>
      <c r="H628" s="97" t="inlineStr">
        <is>
          <t>Gizi Buruk</t>
        </is>
      </c>
      <c r="I628" s="98" t="inlineStr">
        <is>
          <t>Ya</t>
        </is>
      </c>
      <c r="J628" s="98">
        <f>IF(G628="Normal","Tidak",IF(G628="Pendek","Potensi Stunting",IF(G628="Sangat Pendek","Stunting","")))</f>
        <v/>
      </c>
    </row>
    <row r="629" ht="15.75" customHeight="1" s="95">
      <c r="A629" s="97" t="inlineStr">
        <is>
          <t>anonymus0628</t>
        </is>
      </c>
      <c r="B629" s="97" t="inlineStr">
        <is>
          <t>L</t>
        </is>
      </c>
      <c r="C629" s="97" t="inlineStr">
        <is>
          <t>35-69 Bulan</t>
        </is>
      </c>
      <c r="D629" s="97" t="n">
        <v>13.6</v>
      </c>
      <c r="E629" s="97" t="n">
        <v>102</v>
      </c>
      <c r="F629" s="97" t="inlineStr">
        <is>
          <t>Berat Badan Normal</t>
        </is>
      </c>
      <c r="G629" s="97" t="inlineStr">
        <is>
          <t>Normal</t>
        </is>
      </c>
      <c r="H629" s="97" t="inlineStr">
        <is>
          <t>Gizi Baik</t>
        </is>
      </c>
      <c r="I629" s="98" t="inlineStr">
        <is>
          <t>Ya</t>
        </is>
      </c>
      <c r="J629" s="98">
        <f>IF(G629="Normal","Tidak",IF(G629="Pendek","Potensi Stunting",IF(G629="Sangat Pendek","Stunting","")))</f>
        <v/>
      </c>
    </row>
    <row r="630" ht="15.75" customHeight="1" s="95">
      <c r="A630" s="97" t="inlineStr">
        <is>
          <t>anonymus0629</t>
        </is>
      </c>
      <c r="B630" s="97" t="inlineStr">
        <is>
          <t xml:space="preserve">L </t>
        </is>
      </c>
      <c r="C630" s="97" t="inlineStr">
        <is>
          <t>1-34 Bulan</t>
        </is>
      </c>
      <c r="D630" s="97" t="inlineStr">
        <is>
          <t>11.1</t>
        </is>
      </c>
      <c r="E630" s="97" t="n">
        <v>88</v>
      </c>
      <c r="F630" s="97" t="inlineStr">
        <is>
          <t>Berat Badan Normal</t>
        </is>
      </c>
      <c r="G630" s="99" t="inlineStr">
        <is>
          <t>Tinggi</t>
        </is>
      </c>
      <c r="H630" s="97" t="inlineStr">
        <is>
          <t>Gizi Baik</t>
        </is>
      </c>
      <c r="I630" s="98" t="inlineStr">
        <is>
          <t>Ya</t>
        </is>
      </c>
      <c r="J630" s="98">
        <f>IF(G630="Normal","Tidak",IF(G630="Pendek","Potensi Stunting",IF(G630="Sangat Pendek","Stunting","")))</f>
        <v/>
      </c>
    </row>
    <row r="631" ht="15.75" customHeight="1" s="95">
      <c r="A631" s="97" t="inlineStr">
        <is>
          <t>anonymus0630</t>
        </is>
      </c>
      <c r="B631" s="97" t="inlineStr">
        <is>
          <t xml:space="preserve">P </t>
        </is>
      </c>
      <c r="C631" s="97" t="inlineStr">
        <is>
          <t>35-69 Bulan</t>
        </is>
      </c>
      <c r="D631" s="97" t="inlineStr">
        <is>
          <t>16.8</t>
        </is>
      </c>
      <c r="E631" s="97" t="n">
        <v>102</v>
      </c>
      <c r="F631" s="97" t="inlineStr">
        <is>
          <t>Berat Badan Normal</t>
        </is>
      </c>
      <c r="G631" s="97" t="inlineStr">
        <is>
          <t>Normal</t>
        </is>
      </c>
      <c r="H631" s="97" t="inlineStr">
        <is>
          <t>Gizi Baik</t>
        </is>
      </c>
      <c r="I631" s="98" t="inlineStr">
        <is>
          <t>Ya</t>
        </is>
      </c>
      <c r="J631" s="98">
        <f>IF(G631="Normal","Tidak",IF(G631="Pendek","Potensi Stunting",IF(G631="Sangat Pendek","Stunting","")))</f>
        <v/>
      </c>
    </row>
    <row r="632" ht="15.75" customHeight="1" s="95">
      <c r="A632" s="97" t="inlineStr">
        <is>
          <t>anonymus0631</t>
        </is>
      </c>
      <c r="B632" s="97" t="inlineStr">
        <is>
          <t>L</t>
        </is>
      </c>
      <c r="C632" s="97" t="inlineStr">
        <is>
          <t>35-69 Bulan</t>
        </is>
      </c>
      <c r="D632" s="97" t="n">
        <v>10.5</v>
      </c>
      <c r="E632" s="97" t="n">
        <v>84</v>
      </c>
      <c r="F632" s="97" t="inlineStr">
        <is>
          <t>Kurang</t>
        </is>
      </c>
      <c r="G632" s="97" t="inlineStr">
        <is>
          <t>Pendek</t>
        </is>
      </c>
      <c r="H632" s="97" t="inlineStr">
        <is>
          <t>Gizi Baik</t>
        </is>
      </c>
      <c r="I632" s="98" t="inlineStr">
        <is>
          <t>Ya</t>
        </is>
      </c>
      <c r="J632" s="98">
        <f>IF(G632="Normal","Tidak",IF(G632="Pendek","Potensi Stunting",IF(G632="Sangat Pendek","Stunting","")))</f>
        <v/>
      </c>
    </row>
    <row r="633" ht="15.75" customHeight="1" s="95">
      <c r="A633" s="97" t="inlineStr">
        <is>
          <t>anonymus0632</t>
        </is>
      </c>
      <c r="B633" s="97" t="inlineStr">
        <is>
          <t>L</t>
        </is>
      </c>
      <c r="C633" s="97" t="inlineStr">
        <is>
          <t>35-69 Bulan</t>
        </is>
      </c>
      <c r="D633" s="97" t="n">
        <v>11.1</v>
      </c>
      <c r="E633" s="97" t="n">
        <v>93</v>
      </c>
      <c r="F633" s="97" t="inlineStr">
        <is>
          <t>Berat Badan Normal</t>
        </is>
      </c>
      <c r="G633" s="97" t="inlineStr">
        <is>
          <t>Normal</t>
        </is>
      </c>
      <c r="H633" s="97" t="inlineStr">
        <is>
          <t>Gizi Baik</t>
        </is>
      </c>
      <c r="I633" s="98" t="inlineStr">
        <is>
          <t>Ya</t>
        </is>
      </c>
      <c r="J633" s="98">
        <f>IF(G633="Normal","Tidak",IF(G633="Pendek","Potensi Stunting",IF(G633="Sangat Pendek","Stunting","")))</f>
        <v/>
      </c>
    </row>
    <row r="634" ht="15.75" customHeight="1" s="95">
      <c r="A634" s="97" t="inlineStr">
        <is>
          <t>anonymus0633</t>
        </is>
      </c>
      <c r="B634" s="97" t="inlineStr">
        <is>
          <t>P</t>
        </is>
      </c>
      <c r="C634" s="97" t="inlineStr">
        <is>
          <t>1-34 Bulan</t>
        </is>
      </c>
      <c r="D634" s="97" t="n">
        <v>14.4</v>
      </c>
      <c r="E634" s="97" t="n">
        <v>70</v>
      </c>
      <c r="F634" s="97" t="inlineStr">
        <is>
          <t>Berat Badan Normal</t>
        </is>
      </c>
      <c r="G634" s="97" t="inlineStr">
        <is>
          <t>Normal</t>
        </is>
      </c>
      <c r="H634" s="97" t="inlineStr">
        <is>
          <t>Gizi Baik</t>
        </is>
      </c>
      <c r="I634" s="98" t="inlineStr">
        <is>
          <t>Ya</t>
        </is>
      </c>
      <c r="J634" s="98">
        <f>IF(G634="Normal","Tidak",IF(G634="Pendek","Potensi Stunting",IF(G634="Sangat Pendek","Stunting","")))</f>
        <v/>
      </c>
    </row>
    <row r="635" ht="15.75" customHeight="1" s="95">
      <c r="A635" s="97" t="inlineStr">
        <is>
          <t>anonymus0634</t>
        </is>
      </c>
      <c r="B635" s="97" t="inlineStr">
        <is>
          <t>P</t>
        </is>
      </c>
      <c r="C635" s="97" t="inlineStr">
        <is>
          <t>1-34 Bulan</t>
        </is>
      </c>
      <c r="D635" s="97" t="n">
        <v>12.9</v>
      </c>
      <c r="E635" s="97" t="n">
        <v>73</v>
      </c>
      <c r="F635" s="97" t="inlineStr">
        <is>
          <t>Berat Badan Normal</t>
        </is>
      </c>
      <c r="G635" s="97" t="inlineStr">
        <is>
          <t>Normal</t>
        </is>
      </c>
      <c r="H635" s="97" t="inlineStr">
        <is>
          <t>Gizi Baik</t>
        </is>
      </c>
      <c r="I635" s="98" t="inlineStr">
        <is>
          <t>Ya</t>
        </is>
      </c>
      <c r="J635" s="98">
        <f>IF(G635="Normal","Tidak",IF(G635="Pendek","Potensi Stunting",IF(G635="Sangat Pendek","Stunting","")))</f>
        <v/>
      </c>
    </row>
    <row r="636" ht="15.75" customHeight="1" s="95">
      <c r="A636" s="97" t="inlineStr">
        <is>
          <t>anonymus0635</t>
        </is>
      </c>
      <c r="B636" s="97" t="inlineStr">
        <is>
          <t>L</t>
        </is>
      </c>
      <c r="C636" s="97" t="inlineStr">
        <is>
          <t>35-69 Bulan</t>
        </is>
      </c>
      <c r="D636" s="97" t="n">
        <v>16.4</v>
      </c>
      <c r="E636" s="97" t="n">
        <v>90</v>
      </c>
      <c r="F636" s="97" t="inlineStr">
        <is>
          <t>Berat Badan Normal</t>
        </is>
      </c>
      <c r="G636" s="97" t="inlineStr">
        <is>
          <t>Normal</t>
        </is>
      </c>
      <c r="H636" s="97" t="inlineStr">
        <is>
          <t>Gizi Baik</t>
        </is>
      </c>
      <c r="I636" s="98" t="inlineStr">
        <is>
          <t>Ya</t>
        </is>
      </c>
      <c r="J636" s="98">
        <f>IF(G636="Normal","Tidak",IF(G636="Pendek","Potensi Stunting",IF(G636="Sangat Pendek","Stunting","")))</f>
        <v/>
      </c>
    </row>
    <row r="637" ht="15.75" customHeight="1" s="95">
      <c r="A637" s="97" t="inlineStr">
        <is>
          <t>anonymus0636</t>
        </is>
      </c>
      <c r="B637" s="97" t="inlineStr">
        <is>
          <t xml:space="preserve">L </t>
        </is>
      </c>
      <c r="C637" s="97" t="inlineStr">
        <is>
          <t>1-34 Bulan</t>
        </is>
      </c>
      <c r="D637" s="97" t="inlineStr">
        <is>
          <t>8.2</t>
        </is>
      </c>
      <c r="E637" s="97" t="n">
        <v>67</v>
      </c>
      <c r="F637" s="97" t="inlineStr">
        <is>
          <t>Berat Badan Normal</t>
        </is>
      </c>
      <c r="G637" s="97" t="inlineStr">
        <is>
          <t>Normal</t>
        </is>
      </c>
      <c r="H637" s="97" t="inlineStr">
        <is>
          <t>Gizi Baik</t>
        </is>
      </c>
      <c r="I637" s="98" t="inlineStr">
        <is>
          <t>Ya</t>
        </is>
      </c>
      <c r="J637" s="98">
        <f>IF(G637="Normal","Tidak",IF(G637="Pendek","Potensi Stunting",IF(G637="Sangat Pendek","Stunting","")))</f>
        <v/>
      </c>
    </row>
    <row r="638" ht="15.75" customHeight="1" s="95">
      <c r="A638" s="97" t="inlineStr">
        <is>
          <t>anonymus0637</t>
        </is>
      </c>
      <c r="B638" s="97" t="inlineStr">
        <is>
          <t xml:space="preserve">L </t>
        </is>
      </c>
      <c r="C638" s="97" t="inlineStr">
        <is>
          <t>1-34 Bulan</t>
        </is>
      </c>
      <c r="D638" s="97" t="inlineStr">
        <is>
          <t>7.9</t>
        </is>
      </c>
      <c r="E638" s="97" t="n">
        <v>73</v>
      </c>
      <c r="F638" s="97" t="inlineStr">
        <is>
          <t>Kurang</t>
        </is>
      </c>
      <c r="G638" s="97" t="inlineStr">
        <is>
          <t>Pendek</t>
        </is>
      </c>
      <c r="H638" s="97" t="inlineStr">
        <is>
          <t>Gizi Baik</t>
        </is>
      </c>
      <c r="I638" s="98" t="inlineStr">
        <is>
          <t>Ya</t>
        </is>
      </c>
      <c r="J638" s="98">
        <f>IF(G638="Normal","Tidak",IF(G638="Pendek","Potensi Stunting",IF(G638="Sangat Pendek","Stunting","")))</f>
        <v/>
      </c>
    </row>
    <row r="639" ht="15.75" customHeight="1" s="95">
      <c r="A639" s="97" t="inlineStr">
        <is>
          <t>anonymus0638</t>
        </is>
      </c>
      <c r="B639" s="97" t="inlineStr">
        <is>
          <t>L</t>
        </is>
      </c>
      <c r="C639" s="97" t="inlineStr">
        <is>
          <t>35-69 Bulan</t>
        </is>
      </c>
      <c r="D639" s="97" t="n">
        <v>16.9</v>
      </c>
      <c r="E639" s="97" t="n">
        <v>96</v>
      </c>
      <c r="F639" s="97" t="inlineStr">
        <is>
          <t>Berat Badan Normal</t>
        </is>
      </c>
      <c r="G639" s="97" t="inlineStr">
        <is>
          <t>Normal</t>
        </is>
      </c>
      <c r="H639" s="97" t="inlineStr">
        <is>
          <t>Gizi Baik</t>
        </is>
      </c>
      <c r="I639" s="98" t="inlineStr">
        <is>
          <t>Ya</t>
        </is>
      </c>
      <c r="J639" s="98">
        <f>IF(G639="Normal","Tidak",IF(G639="Pendek","Potensi Stunting",IF(G639="Sangat Pendek","Stunting","")))</f>
        <v/>
      </c>
    </row>
    <row r="640" ht="15.75" customHeight="1" s="95">
      <c r="A640" s="97" t="inlineStr">
        <is>
          <t>anonymus0639</t>
        </is>
      </c>
      <c r="B640" s="97" t="inlineStr">
        <is>
          <t>L</t>
        </is>
      </c>
      <c r="C640" s="97" t="inlineStr">
        <is>
          <t>35-69 Bulan</t>
        </is>
      </c>
      <c r="D640" s="97" t="n">
        <v>10</v>
      </c>
      <c r="E640" s="97" t="n">
        <v>75</v>
      </c>
      <c r="F640" s="97" t="inlineStr">
        <is>
          <t>Normal</t>
        </is>
      </c>
      <c r="G640" s="97" t="inlineStr">
        <is>
          <t>Pendek</t>
        </is>
      </c>
      <c r="H640" s="97" t="inlineStr">
        <is>
          <t>Gizi Baik</t>
        </is>
      </c>
      <c r="I640" s="98" t="inlineStr">
        <is>
          <t>Ya</t>
        </is>
      </c>
      <c r="J640" s="98">
        <f>IF(G640="Normal","Tidak",IF(G640="Pendek","Potensi Stunting",IF(G640="Sangat Pendek","Stunting","")))</f>
        <v/>
      </c>
    </row>
    <row r="641" ht="15.75" customHeight="1" s="95">
      <c r="A641" s="97" t="inlineStr">
        <is>
          <t>anonymus0640</t>
        </is>
      </c>
      <c r="B641" s="97" t="inlineStr">
        <is>
          <t xml:space="preserve">L </t>
        </is>
      </c>
      <c r="C641" s="97" t="inlineStr">
        <is>
          <t>35-69 Bulan</t>
        </is>
      </c>
      <c r="D641" s="97" t="n">
        <v>21</v>
      </c>
      <c r="E641" s="97" t="n">
        <v>105</v>
      </c>
      <c r="F641" s="97" t="inlineStr">
        <is>
          <t>Risiko Lebih</t>
        </is>
      </c>
      <c r="G641" s="97" t="inlineStr">
        <is>
          <t>Normal</t>
        </is>
      </c>
      <c r="H641" s="97" t="inlineStr">
        <is>
          <t>Gizi Lebih</t>
        </is>
      </c>
      <c r="I641" s="98" t="inlineStr">
        <is>
          <t>Ya</t>
        </is>
      </c>
      <c r="J641" s="98">
        <f>IF(G641="Normal","Tidak",IF(G641="Pendek","Potensi Stunting",IF(G641="Sangat Pendek","Stunting","")))</f>
        <v/>
      </c>
    </row>
    <row r="642" ht="15.75" customHeight="1" s="95">
      <c r="A642" s="97" t="inlineStr">
        <is>
          <t>anonymus0641</t>
        </is>
      </c>
      <c r="B642" s="97" t="inlineStr">
        <is>
          <t xml:space="preserve">P </t>
        </is>
      </c>
      <c r="C642" s="97" t="inlineStr">
        <is>
          <t>1-34 Bulan</t>
        </is>
      </c>
      <c r="D642" s="97" t="inlineStr">
        <is>
          <t>12.7</t>
        </is>
      </c>
      <c r="E642" s="97" t="n">
        <v>90</v>
      </c>
      <c r="F642" s="97" t="inlineStr">
        <is>
          <t>Berat Badan Normal</t>
        </is>
      </c>
      <c r="G642" s="97" t="inlineStr">
        <is>
          <t>Normal</t>
        </is>
      </c>
      <c r="H642" s="97" t="inlineStr">
        <is>
          <t>Gizi Baik</t>
        </is>
      </c>
      <c r="I642" s="98" t="inlineStr">
        <is>
          <t>Ya</t>
        </is>
      </c>
      <c r="J642" s="98">
        <f>IF(G642="Normal","Tidak",IF(G642="Pendek","Potensi Stunting",IF(G642="Sangat Pendek","Stunting","")))</f>
        <v/>
      </c>
    </row>
    <row r="643" ht="15.75" customHeight="1" s="95">
      <c r="A643" s="97" t="inlineStr">
        <is>
          <t>anonymus0642</t>
        </is>
      </c>
      <c r="B643" s="97" t="inlineStr">
        <is>
          <t xml:space="preserve">P </t>
        </is>
      </c>
      <c r="C643" s="97" t="inlineStr">
        <is>
          <t>35-69 Bulan</t>
        </is>
      </c>
      <c r="D643" s="97" t="inlineStr">
        <is>
          <t>18.4</t>
        </is>
      </c>
      <c r="E643" s="97" t="n">
        <v>108</v>
      </c>
      <c r="F643" s="97" t="inlineStr">
        <is>
          <t>Berat Badan Normal</t>
        </is>
      </c>
      <c r="G643" s="97" t="inlineStr">
        <is>
          <t>Normal</t>
        </is>
      </c>
      <c r="H643" s="97" t="inlineStr">
        <is>
          <t>Gizi Baik</t>
        </is>
      </c>
      <c r="I643" s="98" t="inlineStr">
        <is>
          <t>Ya</t>
        </is>
      </c>
      <c r="J643" s="98">
        <f>IF(G643="Normal","Tidak",IF(G643="Pendek","Potensi Stunting",IF(G643="Sangat Pendek","Stunting","")))</f>
        <v/>
      </c>
    </row>
    <row r="644" ht="15.75" customHeight="1" s="95">
      <c r="A644" s="97" t="inlineStr">
        <is>
          <t>anonymus0643</t>
        </is>
      </c>
      <c r="B644" s="97" t="inlineStr">
        <is>
          <t>P</t>
        </is>
      </c>
      <c r="C644" s="97" t="inlineStr">
        <is>
          <t>1-34 Bulan</t>
        </is>
      </c>
      <c r="D644" s="97" t="n">
        <v>7.9</v>
      </c>
      <c r="E644" s="97" t="n">
        <v>71</v>
      </c>
      <c r="F644" s="97" t="inlineStr">
        <is>
          <t>Kurang</t>
        </is>
      </c>
      <c r="G644" s="97" t="inlineStr">
        <is>
          <t>Normal</t>
        </is>
      </c>
      <c r="H644" s="97" t="inlineStr">
        <is>
          <t>Gizi Kurang</t>
        </is>
      </c>
      <c r="I644" s="98" t="inlineStr">
        <is>
          <t>Ya</t>
        </is>
      </c>
      <c r="J644" s="98">
        <f>IF(G644="Normal","Tidak",IF(G644="Pendek","Potensi Stunting",IF(G644="Sangat Pendek","Stunting","")))</f>
        <v/>
      </c>
    </row>
    <row r="645" ht="15.75" customHeight="1" s="95">
      <c r="A645" s="97" t="inlineStr">
        <is>
          <t>anonymus0644</t>
        </is>
      </c>
      <c r="B645" s="97" t="inlineStr">
        <is>
          <t>P</t>
        </is>
      </c>
      <c r="C645" s="97" t="inlineStr">
        <is>
          <t>35-69 Bulan</t>
        </is>
      </c>
      <c r="D645" s="97" t="n">
        <v>10.8</v>
      </c>
      <c r="E645" s="97" t="n">
        <v>115</v>
      </c>
      <c r="F645" s="97" t="inlineStr">
        <is>
          <t>Berat Badan Normal</t>
        </is>
      </c>
      <c r="G645" s="97" t="inlineStr">
        <is>
          <t>Normal</t>
        </is>
      </c>
      <c r="H645" s="97" t="inlineStr">
        <is>
          <t>Gizi Baik</t>
        </is>
      </c>
      <c r="I645" s="98" t="inlineStr">
        <is>
          <t>Ya</t>
        </is>
      </c>
      <c r="J645" s="98">
        <f>IF(G645="Normal","Tidak",IF(G645="Pendek","Potensi Stunting",IF(G645="Sangat Pendek","Stunting","")))</f>
        <v/>
      </c>
    </row>
    <row r="646" ht="15.75" customHeight="1" s="95">
      <c r="A646" s="97" t="inlineStr">
        <is>
          <t>anonymus0645</t>
        </is>
      </c>
      <c r="B646" s="97" t="inlineStr">
        <is>
          <t xml:space="preserve">P </t>
        </is>
      </c>
      <c r="C646" s="97" t="inlineStr">
        <is>
          <t>1-34 Bulan</t>
        </is>
      </c>
      <c r="D646" s="97" t="inlineStr">
        <is>
          <t>8.9</t>
        </is>
      </c>
      <c r="E646" s="97" t="n">
        <v>81</v>
      </c>
      <c r="F646" s="97" t="inlineStr">
        <is>
          <t>Berat Badan Normal</t>
        </is>
      </c>
      <c r="G646" s="97" t="inlineStr">
        <is>
          <t>Normal</t>
        </is>
      </c>
      <c r="H646" s="97" t="inlineStr">
        <is>
          <t>Gizi Baik</t>
        </is>
      </c>
      <c r="I646" s="98" t="inlineStr">
        <is>
          <t>Ya</t>
        </is>
      </c>
      <c r="J646" s="98">
        <f>IF(G646="Normal","Tidak",IF(G646="Pendek","Potensi Stunting",IF(G646="Sangat Pendek","Stunting","")))</f>
        <v/>
      </c>
    </row>
    <row r="647" ht="15.75" customHeight="1" s="95">
      <c r="A647" s="97" t="inlineStr">
        <is>
          <t>anonymus0646</t>
        </is>
      </c>
      <c r="B647" s="97" t="inlineStr">
        <is>
          <t xml:space="preserve">P </t>
        </is>
      </c>
      <c r="C647" s="97" t="inlineStr">
        <is>
          <t>1-34 Bulan</t>
        </is>
      </c>
      <c r="D647" s="97" t="inlineStr">
        <is>
          <t>4.7</t>
        </is>
      </c>
      <c r="E647" s="97" t="n">
        <v>55</v>
      </c>
      <c r="F647" s="97" t="inlineStr">
        <is>
          <t>Berat Badan Normal</t>
        </is>
      </c>
      <c r="G647" s="97" t="inlineStr">
        <is>
          <t>Normal</t>
        </is>
      </c>
      <c r="H647" s="97" t="inlineStr">
        <is>
          <t>Gizi Baik</t>
        </is>
      </c>
      <c r="I647" s="98" t="inlineStr">
        <is>
          <t>Ya</t>
        </is>
      </c>
      <c r="J647" s="98">
        <f>IF(G647="Normal","Tidak",IF(G647="Pendek","Potensi Stunting",IF(G647="Sangat Pendek","Stunting","")))</f>
        <v/>
      </c>
    </row>
    <row r="648" ht="15.75" customHeight="1" s="95">
      <c r="A648" s="97" t="inlineStr">
        <is>
          <t>anonymus0647</t>
        </is>
      </c>
      <c r="B648" s="97" t="inlineStr">
        <is>
          <t>P</t>
        </is>
      </c>
      <c r="C648" s="97" t="inlineStr">
        <is>
          <t>35-69 Bulan</t>
        </is>
      </c>
      <c r="D648" s="97" t="n">
        <v>10.6</v>
      </c>
      <c r="E648" s="97" t="n">
        <v>117</v>
      </c>
      <c r="F648" s="97" t="inlineStr">
        <is>
          <t>Berat Badan Normal</t>
        </is>
      </c>
      <c r="G648" s="97" t="inlineStr">
        <is>
          <t>Normal</t>
        </is>
      </c>
      <c r="H648" s="97" t="inlineStr">
        <is>
          <t>Gizi Baik</t>
        </is>
      </c>
      <c r="I648" s="98" t="inlineStr">
        <is>
          <t>Ya</t>
        </is>
      </c>
      <c r="J648" s="98">
        <f>IF(G648="Normal","Tidak",IF(G648="Pendek","Potensi Stunting",IF(G648="Sangat Pendek","Stunting","")))</f>
        <v/>
      </c>
    </row>
    <row r="649" ht="15.75" customHeight="1" s="95">
      <c r="A649" s="97" t="inlineStr">
        <is>
          <t>anonymus0648</t>
        </is>
      </c>
      <c r="B649" s="97" t="inlineStr">
        <is>
          <t>L</t>
        </is>
      </c>
      <c r="C649" s="97" t="inlineStr">
        <is>
          <t>35-69 Bulan</t>
        </is>
      </c>
      <c r="D649" s="97" t="n">
        <v>14.9</v>
      </c>
      <c r="E649" s="97" t="n">
        <v>94</v>
      </c>
      <c r="F649" s="97" t="inlineStr">
        <is>
          <t>Berat Badan Normal</t>
        </is>
      </c>
      <c r="G649" s="97" t="inlineStr">
        <is>
          <t>Normal</t>
        </is>
      </c>
      <c r="H649" s="97" t="inlineStr">
        <is>
          <t>Gizi Baik</t>
        </is>
      </c>
      <c r="I649" s="98" t="inlineStr">
        <is>
          <t>Ya</t>
        </is>
      </c>
      <c r="J649" s="98">
        <f>IF(G649="Normal","Tidak",IF(G649="Pendek","Potensi Stunting",IF(G649="Sangat Pendek","Stunting","")))</f>
        <v/>
      </c>
    </row>
    <row r="650" ht="15.75" customHeight="1" s="95">
      <c r="A650" s="97" t="inlineStr">
        <is>
          <t>anonymus0649</t>
        </is>
      </c>
      <c r="B650" s="97" t="inlineStr">
        <is>
          <t>L</t>
        </is>
      </c>
      <c r="C650" s="97" t="inlineStr">
        <is>
          <t>35-69 Bulan</t>
        </is>
      </c>
      <c r="D650" s="97" t="n">
        <v>13.5</v>
      </c>
      <c r="E650" s="97" t="n">
        <v>105</v>
      </c>
      <c r="F650" s="97" t="inlineStr">
        <is>
          <t>Kurang</t>
        </is>
      </c>
      <c r="G650" s="97" t="inlineStr">
        <is>
          <t>Normal</t>
        </is>
      </c>
      <c r="H650" s="97" t="inlineStr">
        <is>
          <t>Gizi Kurang</t>
        </is>
      </c>
      <c r="I650" s="98" t="inlineStr">
        <is>
          <t>Ya</t>
        </is>
      </c>
      <c r="J650" s="98">
        <f>IF(G650="Normal","Tidak",IF(G650="Pendek","Potensi Stunting",IF(G650="Sangat Pendek","Stunting","")))</f>
        <v/>
      </c>
    </row>
    <row r="651" ht="15.75" customHeight="1" s="95">
      <c r="A651" s="97" t="inlineStr">
        <is>
          <t>anonymus0650</t>
        </is>
      </c>
      <c r="B651" s="97" t="inlineStr">
        <is>
          <t>P</t>
        </is>
      </c>
      <c r="C651" s="97" t="inlineStr">
        <is>
          <t>1-34 Bulan</t>
        </is>
      </c>
      <c r="D651" s="97" t="n">
        <v>8.5</v>
      </c>
      <c r="E651" s="97" t="n">
        <v>78</v>
      </c>
      <c r="F651" s="97" t="inlineStr">
        <is>
          <t>Kurang</t>
        </is>
      </c>
      <c r="G651" s="97" t="inlineStr">
        <is>
          <t>Normal</t>
        </is>
      </c>
      <c r="H651" s="97" t="inlineStr">
        <is>
          <t>Gizi Kurang</t>
        </is>
      </c>
      <c r="I651" s="98" t="inlineStr">
        <is>
          <t>Ya</t>
        </is>
      </c>
      <c r="J651" s="98">
        <f>IF(G651="Normal","Tidak",IF(G651="Pendek","Potensi Stunting",IF(G651="Sangat Pendek","Stunting","")))</f>
        <v/>
      </c>
    </row>
    <row r="652" ht="15.75" customHeight="1" s="95">
      <c r="A652" s="97" t="inlineStr">
        <is>
          <t>anonymus0651</t>
        </is>
      </c>
      <c r="B652" s="97" t="inlineStr">
        <is>
          <t xml:space="preserve">L </t>
        </is>
      </c>
      <c r="C652" s="97" t="inlineStr">
        <is>
          <t>35-69 Bulan</t>
        </is>
      </c>
      <c r="D652" s="97" t="inlineStr">
        <is>
          <t>16.4</t>
        </is>
      </c>
      <c r="E652" s="97" t="n">
        <v>100</v>
      </c>
      <c r="F652" s="97" t="inlineStr">
        <is>
          <t>Berat Badan Normal</t>
        </is>
      </c>
      <c r="G652" s="97" t="inlineStr">
        <is>
          <t>Normal</t>
        </is>
      </c>
      <c r="H652" s="97" t="inlineStr">
        <is>
          <t>Gizi Baik</t>
        </is>
      </c>
      <c r="I652" s="98" t="inlineStr">
        <is>
          <t>Ya</t>
        </is>
      </c>
      <c r="J652" s="98">
        <f>IF(G652="Normal","Tidak",IF(G652="Pendek","Potensi Stunting",IF(G652="Sangat Pendek","Stunting","")))</f>
        <v/>
      </c>
    </row>
    <row r="653" ht="15.75" customHeight="1" s="95">
      <c r="A653" s="97" t="inlineStr">
        <is>
          <t>anonymus0652</t>
        </is>
      </c>
      <c r="B653" s="97" t="inlineStr">
        <is>
          <t>P</t>
        </is>
      </c>
      <c r="C653" s="97" t="inlineStr">
        <is>
          <t>1-34 Bulan</t>
        </is>
      </c>
      <c r="D653" s="97" t="n">
        <v>11.1</v>
      </c>
      <c r="E653" s="97" t="n">
        <v>87</v>
      </c>
      <c r="F653" s="97" t="inlineStr">
        <is>
          <t>Berat Badan Normal</t>
        </is>
      </c>
      <c r="G653" s="97" t="inlineStr">
        <is>
          <t>Normal</t>
        </is>
      </c>
      <c r="H653" s="97" t="inlineStr">
        <is>
          <t>Gizi Baik</t>
        </is>
      </c>
      <c r="I653" s="98" t="inlineStr">
        <is>
          <t>Ya</t>
        </is>
      </c>
      <c r="J653" s="98">
        <f>IF(G653="Normal","Tidak",IF(G653="Pendek","Potensi Stunting",IF(G653="Sangat Pendek","Stunting","")))</f>
        <v/>
      </c>
    </row>
    <row r="654" ht="15.75" customHeight="1" s="95">
      <c r="A654" s="97" t="inlineStr">
        <is>
          <t>anonymus0653</t>
        </is>
      </c>
      <c r="B654" s="97" t="inlineStr">
        <is>
          <t>P</t>
        </is>
      </c>
      <c r="C654" s="97" t="inlineStr">
        <is>
          <t>35-69 Bulan</t>
        </is>
      </c>
      <c r="D654" s="97" t="n">
        <v>17.4</v>
      </c>
      <c r="E654" s="97" t="n">
        <v>98</v>
      </c>
      <c r="F654" s="97" t="inlineStr">
        <is>
          <t>Risiko Lebih</t>
        </is>
      </c>
      <c r="G654" s="97" t="inlineStr">
        <is>
          <t>Normal</t>
        </is>
      </c>
      <c r="H654" s="97" t="inlineStr">
        <is>
          <t>Gizi Lebih</t>
        </is>
      </c>
      <c r="I654" s="98" t="inlineStr">
        <is>
          <t>Ya</t>
        </is>
      </c>
      <c r="J654" s="98">
        <f>IF(G654="Normal","Tidak",IF(G654="Pendek","Potensi Stunting",IF(G654="Sangat Pendek","Stunting","")))</f>
        <v/>
      </c>
    </row>
    <row r="655" ht="15.75" customHeight="1" s="95">
      <c r="A655" s="97" t="inlineStr">
        <is>
          <t>anonymus0654</t>
        </is>
      </c>
      <c r="B655" s="97" t="inlineStr">
        <is>
          <t xml:space="preserve">L </t>
        </is>
      </c>
      <c r="C655" s="97" t="inlineStr">
        <is>
          <t>1-34 Bulan</t>
        </is>
      </c>
      <c r="D655" s="97" t="inlineStr">
        <is>
          <t>7.2</t>
        </is>
      </c>
      <c r="E655" s="97" t="n">
        <v>64</v>
      </c>
      <c r="F655" s="97" t="inlineStr">
        <is>
          <t>Berat Badan Normal</t>
        </is>
      </c>
      <c r="G655" s="97" t="inlineStr">
        <is>
          <t>Normal</t>
        </is>
      </c>
      <c r="H655" s="97" t="inlineStr">
        <is>
          <t>Gizi Baik</t>
        </is>
      </c>
      <c r="I655" s="98" t="inlineStr">
        <is>
          <t>Ya</t>
        </is>
      </c>
      <c r="J655" s="98">
        <f>IF(G655="Normal","Tidak",IF(G655="Pendek","Potensi Stunting",IF(G655="Sangat Pendek","Stunting","")))</f>
        <v/>
      </c>
    </row>
    <row r="656" ht="15.75" customHeight="1" s="95">
      <c r="A656" s="97" t="inlineStr">
        <is>
          <t>anonymus0655</t>
        </is>
      </c>
      <c r="B656" s="97" t="inlineStr">
        <is>
          <t>P</t>
        </is>
      </c>
      <c r="C656" s="97" t="inlineStr">
        <is>
          <t>35-69 Bulan</t>
        </is>
      </c>
      <c r="D656" s="97" t="n">
        <v>13</v>
      </c>
      <c r="E656" s="97" t="n">
        <v>94</v>
      </c>
      <c r="F656" s="97" t="inlineStr">
        <is>
          <t>Normal</t>
        </is>
      </c>
      <c r="G656" s="97" t="inlineStr">
        <is>
          <t>Pendek</t>
        </is>
      </c>
      <c r="H656" s="97" t="inlineStr">
        <is>
          <t>Gizi Baik</t>
        </is>
      </c>
      <c r="I656" s="98" t="inlineStr">
        <is>
          <t>Ya</t>
        </is>
      </c>
      <c r="J656" s="98">
        <f>IF(G656="Normal","Tidak",IF(G656="Pendek","Potensi Stunting",IF(G656="Sangat Pendek","Stunting","")))</f>
        <v/>
      </c>
    </row>
    <row r="657" ht="15.75" customHeight="1" s="95">
      <c r="A657" s="97" t="inlineStr">
        <is>
          <t>anonymus0656</t>
        </is>
      </c>
      <c r="B657" s="97" t="inlineStr">
        <is>
          <t>L</t>
        </is>
      </c>
      <c r="C657" s="97" t="inlineStr">
        <is>
          <t>1-34 Bulan</t>
        </is>
      </c>
      <c r="D657" s="97" t="n">
        <v>6.3</v>
      </c>
      <c r="E657" s="97" t="n">
        <v>75</v>
      </c>
      <c r="F657" s="97" t="inlineStr">
        <is>
          <t>Kurang</t>
        </is>
      </c>
      <c r="G657" s="97" t="inlineStr">
        <is>
          <t>Normal</t>
        </is>
      </c>
      <c r="H657" s="97" t="inlineStr">
        <is>
          <t>Gizi Kurang</t>
        </is>
      </c>
      <c r="I657" s="98" t="inlineStr">
        <is>
          <t>Ya</t>
        </is>
      </c>
      <c r="J657" s="98">
        <f>IF(G657="Normal","Tidak",IF(G657="Pendek","Potensi Stunting",IF(G657="Sangat Pendek","Stunting","")))</f>
        <v/>
      </c>
    </row>
    <row r="658" ht="15.75" customHeight="1" s="95">
      <c r="A658" s="97" t="inlineStr">
        <is>
          <t>anonymus0657</t>
        </is>
      </c>
      <c r="B658" s="97" t="inlineStr">
        <is>
          <t>L</t>
        </is>
      </c>
      <c r="C658" s="97" t="inlineStr">
        <is>
          <t>1-34 Bulan</t>
        </is>
      </c>
      <c r="D658" s="97" t="n">
        <v>6.5</v>
      </c>
      <c r="E658" s="97" t="n">
        <v>63.4</v>
      </c>
      <c r="F658" s="97" t="inlineStr">
        <is>
          <t>Kurang</t>
        </is>
      </c>
      <c r="G658" s="97" t="inlineStr">
        <is>
          <t>Pendek</t>
        </is>
      </c>
      <c r="H658" s="97" t="inlineStr">
        <is>
          <t>Gizi Baik</t>
        </is>
      </c>
      <c r="I658" s="98" t="inlineStr">
        <is>
          <t>Ya</t>
        </is>
      </c>
      <c r="J658" s="98">
        <f>IF(G658="Normal","Tidak",IF(G658="Pendek","Potensi Stunting",IF(G658="Sangat Pendek","Stunting","")))</f>
        <v/>
      </c>
    </row>
    <row r="659" ht="15.75" customHeight="1" s="95">
      <c r="A659" s="97" t="inlineStr">
        <is>
          <t>anonymus0658</t>
        </is>
      </c>
      <c r="B659" s="97" t="inlineStr">
        <is>
          <t xml:space="preserve">L </t>
        </is>
      </c>
      <c r="C659" s="97" t="inlineStr">
        <is>
          <t>1-34 Bulan</t>
        </is>
      </c>
      <c r="D659" s="97" t="inlineStr">
        <is>
          <t>7.3</t>
        </is>
      </c>
      <c r="E659" s="97" t="n">
        <v>67</v>
      </c>
      <c r="F659" s="97" t="inlineStr">
        <is>
          <t>Berat Badan Normal</t>
        </is>
      </c>
      <c r="G659" s="97" t="inlineStr">
        <is>
          <t>Normal</t>
        </is>
      </c>
      <c r="H659" s="97" t="inlineStr">
        <is>
          <t>Gizi Baik</t>
        </is>
      </c>
      <c r="I659" s="98" t="inlineStr">
        <is>
          <t>Ya</t>
        </is>
      </c>
      <c r="J659" s="98">
        <f>IF(G659="Normal","Tidak",IF(G659="Pendek","Potensi Stunting",IF(G659="Sangat Pendek","Stunting","")))</f>
        <v/>
      </c>
    </row>
    <row r="660" ht="15.75" customHeight="1" s="95">
      <c r="A660" s="97" t="inlineStr">
        <is>
          <t>anonymus0659</t>
        </is>
      </c>
      <c r="B660" s="97" t="inlineStr">
        <is>
          <t>P</t>
        </is>
      </c>
      <c r="C660" s="97" t="inlineStr">
        <is>
          <t>1-34 Bulan</t>
        </is>
      </c>
      <c r="D660" s="97" t="n">
        <v>10.1</v>
      </c>
      <c r="E660" s="97" t="n">
        <v>88</v>
      </c>
      <c r="F660" s="97" t="inlineStr">
        <is>
          <t>Normal</t>
        </is>
      </c>
      <c r="G660" s="97" t="inlineStr">
        <is>
          <t>Normal</t>
        </is>
      </c>
      <c r="H660" s="97" t="inlineStr">
        <is>
          <t>Gizi Kurang</t>
        </is>
      </c>
      <c r="I660" s="98" t="inlineStr">
        <is>
          <t>Ya</t>
        </is>
      </c>
      <c r="J660" s="98">
        <f>IF(G660="Normal","Tidak",IF(G660="Pendek","Potensi Stunting",IF(G660="Sangat Pendek","Stunting","")))</f>
        <v/>
      </c>
    </row>
    <row r="661" ht="15.75" customHeight="1" s="95">
      <c r="A661" s="97" t="inlineStr">
        <is>
          <t>anonymus0660</t>
        </is>
      </c>
      <c r="B661" s="97" t="inlineStr">
        <is>
          <t>P</t>
        </is>
      </c>
      <c r="C661" s="97" t="inlineStr">
        <is>
          <t>35-69 Bulan</t>
        </is>
      </c>
      <c r="D661" s="97" t="n">
        <v>10</v>
      </c>
      <c r="E661" s="97" t="n">
        <v>77</v>
      </c>
      <c r="F661" s="97" t="inlineStr">
        <is>
          <t>Normal</t>
        </is>
      </c>
      <c r="G661" s="97" t="inlineStr">
        <is>
          <t>Pendek</t>
        </is>
      </c>
      <c r="H661" s="97" t="inlineStr">
        <is>
          <t>Gizi Baik</t>
        </is>
      </c>
      <c r="I661" s="98" t="inlineStr">
        <is>
          <t>Ya</t>
        </is>
      </c>
      <c r="J661" s="98">
        <f>IF(G661="Normal","Tidak",IF(G661="Pendek","Potensi Stunting",IF(G661="Sangat Pendek","Stunting","")))</f>
        <v/>
      </c>
    </row>
    <row r="662" ht="15.75" customHeight="1" s="95">
      <c r="A662" s="97" t="inlineStr">
        <is>
          <t>anonymus0661</t>
        </is>
      </c>
      <c r="B662" s="97" t="inlineStr">
        <is>
          <t>P</t>
        </is>
      </c>
      <c r="C662" s="97" t="inlineStr">
        <is>
          <t>35-69 Bulan</t>
        </is>
      </c>
      <c r="D662" s="97" t="n">
        <v>10.1</v>
      </c>
      <c r="E662" s="97" t="n">
        <v>90</v>
      </c>
      <c r="F662" s="97" t="inlineStr">
        <is>
          <t>Kurang</t>
        </is>
      </c>
      <c r="G662" s="97" t="inlineStr">
        <is>
          <t>Normal</t>
        </is>
      </c>
      <c r="H662" s="97" t="inlineStr">
        <is>
          <t>Gizi Kurang</t>
        </is>
      </c>
      <c r="I662" s="98" t="inlineStr">
        <is>
          <t>Ya</t>
        </is>
      </c>
      <c r="J662" s="98">
        <f>IF(G662="Normal","Tidak",IF(G662="Pendek","Potensi Stunting",IF(G662="Sangat Pendek","Stunting","")))</f>
        <v/>
      </c>
    </row>
    <row r="663" ht="15.75" customHeight="1" s="95">
      <c r="A663" s="97" t="inlineStr">
        <is>
          <t>anonymus0662</t>
        </is>
      </c>
      <c r="B663" s="97" t="inlineStr">
        <is>
          <t xml:space="preserve">L </t>
        </is>
      </c>
      <c r="C663" s="97" t="inlineStr">
        <is>
          <t>1-34 Bulan</t>
        </is>
      </c>
      <c r="D663" s="97" t="inlineStr">
        <is>
          <t>12.9</t>
        </is>
      </c>
      <c r="E663" s="97" t="n">
        <v>86</v>
      </c>
      <c r="F663" s="97" t="inlineStr">
        <is>
          <t>Berat Badan Normal</t>
        </is>
      </c>
      <c r="G663" s="97" t="inlineStr">
        <is>
          <t>Normal</t>
        </is>
      </c>
      <c r="H663" s="97" t="inlineStr">
        <is>
          <t>Risiko Gizi Lebih</t>
        </is>
      </c>
      <c r="I663" s="98" t="inlineStr">
        <is>
          <t>Ya</t>
        </is>
      </c>
      <c r="J663" s="98">
        <f>IF(G663="Normal","Tidak",IF(G663="Pendek","Potensi Stunting",IF(G663="Sangat Pendek","Stunting","")))</f>
        <v/>
      </c>
    </row>
    <row r="664" ht="15.75" customHeight="1" s="95">
      <c r="A664" s="97" t="inlineStr">
        <is>
          <t>anonymus0663</t>
        </is>
      </c>
      <c r="B664" s="97" t="inlineStr">
        <is>
          <t xml:space="preserve">P </t>
        </is>
      </c>
      <c r="C664" s="97" t="inlineStr">
        <is>
          <t>35-69 Bulan</t>
        </is>
      </c>
      <c r="D664" s="97" t="inlineStr">
        <is>
          <t>17.3</t>
        </is>
      </c>
      <c r="E664" s="97" t="n">
        <v>109</v>
      </c>
      <c r="F664" s="97" t="inlineStr">
        <is>
          <t>Berat Badan Normal</t>
        </is>
      </c>
      <c r="G664" s="97" t="inlineStr">
        <is>
          <t>Normal</t>
        </is>
      </c>
      <c r="H664" s="97" t="inlineStr">
        <is>
          <t>Gizi Baik</t>
        </is>
      </c>
      <c r="I664" s="98" t="inlineStr">
        <is>
          <t>Ya</t>
        </is>
      </c>
      <c r="J664" s="98">
        <f>IF(G664="Normal","Tidak",IF(G664="Pendek","Potensi Stunting",IF(G664="Sangat Pendek","Stunting","")))</f>
        <v/>
      </c>
    </row>
    <row r="665" ht="15.75" customHeight="1" s="95">
      <c r="A665" s="97" t="inlineStr">
        <is>
          <t>anonymus0664</t>
        </is>
      </c>
      <c r="B665" s="97" t="inlineStr">
        <is>
          <t>P</t>
        </is>
      </c>
      <c r="C665" s="97" t="inlineStr">
        <is>
          <t>35-69 Bulan</t>
        </is>
      </c>
      <c r="D665" s="97" t="n">
        <v>8.4</v>
      </c>
      <c r="E665" s="97" t="n">
        <v>78</v>
      </c>
      <c r="F665" s="97" t="inlineStr">
        <is>
          <t>Kurang</t>
        </is>
      </c>
      <c r="G665" s="97" t="inlineStr">
        <is>
          <t>Pendek</t>
        </is>
      </c>
      <c r="H665" s="97" t="inlineStr">
        <is>
          <t>Gizi Baik</t>
        </is>
      </c>
      <c r="I665" s="98" t="inlineStr">
        <is>
          <t>Ya</t>
        </is>
      </c>
      <c r="J665" s="98">
        <f>IF(G665="Normal","Tidak",IF(G665="Pendek","Potensi Stunting",IF(G665="Sangat Pendek","Stunting","")))</f>
        <v/>
      </c>
    </row>
    <row r="666" ht="15.75" customHeight="1" s="95">
      <c r="A666" s="97" t="inlineStr">
        <is>
          <t>anonymus0665</t>
        </is>
      </c>
      <c r="B666" s="97" t="inlineStr">
        <is>
          <t>P</t>
        </is>
      </c>
      <c r="C666" s="97" t="inlineStr">
        <is>
          <t>35-69 Bulan</t>
        </is>
      </c>
      <c r="D666" s="97" t="n">
        <v>9.300000000000001</v>
      </c>
      <c r="E666" s="97" t="n">
        <v>79</v>
      </c>
      <c r="F666" s="97" t="inlineStr">
        <is>
          <t>Normal</t>
        </is>
      </c>
      <c r="G666" s="97" t="inlineStr">
        <is>
          <t>Pendek</t>
        </is>
      </c>
      <c r="H666" s="97" t="inlineStr">
        <is>
          <t>Gizi Baik</t>
        </is>
      </c>
      <c r="I666" s="98" t="inlineStr">
        <is>
          <t>Ya</t>
        </is>
      </c>
      <c r="J666" s="98">
        <f>IF(G666="Normal","Tidak",IF(G666="Pendek","Potensi Stunting",IF(G666="Sangat Pendek","Stunting","")))</f>
        <v/>
      </c>
    </row>
    <row r="667" ht="15.75" customHeight="1" s="95">
      <c r="A667" s="97" t="inlineStr">
        <is>
          <t>anonymus0666</t>
        </is>
      </c>
      <c r="B667" s="97" t="inlineStr">
        <is>
          <t xml:space="preserve">P </t>
        </is>
      </c>
      <c r="C667" s="97" t="inlineStr">
        <is>
          <t>1-34 Bulan</t>
        </is>
      </c>
      <c r="D667" s="97" t="n">
        <v>8</v>
      </c>
      <c r="E667" s="97" t="inlineStr">
        <is>
          <t>68.1</t>
        </is>
      </c>
      <c r="F667" s="97" t="inlineStr">
        <is>
          <t>Berat Badan Normal</t>
        </is>
      </c>
      <c r="G667" s="97" t="inlineStr">
        <is>
          <t>Normal</t>
        </is>
      </c>
      <c r="H667" s="97" t="inlineStr">
        <is>
          <t>Gizi Baik</t>
        </is>
      </c>
      <c r="I667" s="98" t="inlineStr">
        <is>
          <t>Ya</t>
        </is>
      </c>
      <c r="J667" s="98">
        <f>IF(G667="Normal","Tidak",IF(G667="Pendek","Potensi Stunting",IF(G667="Sangat Pendek","Stunting","")))</f>
        <v/>
      </c>
    </row>
    <row r="668" ht="15.75" customHeight="1" s="95">
      <c r="A668" s="97" t="inlineStr">
        <is>
          <t>anonymus0667</t>
        </is>
      </c>
      <c r="B668" s="97" t="inlineStr">
        <is>
          <t xml:space="preserve">L </t>
        </is>
      </c>
      <c r="C668" s="97" t="inlineStr">
        <is>
          <t>35-69 Bulan</t>
        </is>
      </c>
      <c r="D668" s="97" t="inlineStr">
        <is>
          <t>14.4</t>
        </is>
      </c>
      <c r="E668" s="97" t="n">
        <v>102</v>
      </c>
      <c r="F668" s="97" t="inlineStr">
        <is>
          <t>Berat Badan Normal</t>
        </is>
      </c>
      <c r="G668" s="97" t="inlineStr">
        <is>
          <t>Normal</t>
        </is>
      </c>
      <c r="H668" s="97" t="inlineStr">
        <is>
          <t>Gizi Baik</t>
        </is>
      </c>
      <c r="I668" s="98" t="inlineStr">
        <is>
          <t>Ya</t>
        </is>
      </c>
      <c r="J668" s="98">
        <f>IF(G668="Normal","Tidak",IF(G668="Pendek","Potensi Stunting",IF(G668="Sangat Pendek","Stunting","")))</f>
        <v/>
      </c>
    </row>
    <row r="669" ht="15.75" customHeight="1" s="95">
      <c r="A669" s="97" t="inlineStr">
        <is>
          <t>anonymus0668</t>
        </is>
      </c>
      <c r="B669" s="97" t="inlineStr">
        <is>
          <t>P</t>
        </is>
      </c>
      <c r="C669" s="97" t="inlineStr">
        <is>
          <t>1-34 Bulan</t>
        </is>
      </c>
      <c r="D669" s="97" t="n">
        <v>10.8</v>
      </c>
      <c r="E669" s="97" t="n">
        <v>80</v>
      </c>
      <c r="F669" s="97" t="inlineStr">
        <is>
          <t>Berat Badan Normal</t>
        </is>
      </c>
      <c r="G669" s="97" t="inlineStr">
        <is>
          <t>Normal</t>
        </is>
      </c>
      <c r="H669" s="97" t="inlineStr">
        <is>
          <t>Gizi Baik</t>
        </is>
      </c>
      <c r="I669" s="98" t="inlineStr">
        <is>
          <t>Ya</t>
        </is>
      </c>
      <c r="J669" s="98">
        <f>IF(G669="Normal","Tidak",IF(G669="Pendek","Potensi Stunting",IF(G669="Sangat Pendek","Stunting","")))</f>
        <v/>
      </c>
    </row>
    <row r="670" ht="15.75" customHeight="1" s="95">
      <c r="A670" s="97" t="inlineStr">
        <is>
          <t>anonymus0669</t>
        </is>
      </c>
      <c r="B670" s="97" t="inlineStr">
        <is>
          <t xml:space="preserve">L </t>
        </is>
      </c>
      <c r="C670" s="97" t="inlineStr">
        <is>
          <t>35-69 Bulan</t>
        </is>
      </c>
      <c r="D670" s="97" t="inlineStr">
        <is>
          <t>16.9</t>
        </is>
      </c>
      <c r="E670" s="97" t="n">
        <v>102</v>
      </c>
      <c r="F670" s="97" t="inlineStr">
        <is>
          <t>Berat Badan Normal</t>
        </is>
      </c>
      <c r="G670" s="97" t="inlineStr">
        <is>
          <t>Normal</t>
        </is>
      </c>
      <c r="H670" s="97" t="inlineStr">
        <is>
          <t>Gizi Baik</t>
        </is>
      </c>
      <c r="I670" s="98" t="inlineStr">
        <is>
          <t>Ya</t>
        </is>
      </c>
      <c r="J670" s="98">
        <f>IF(G670="Normal","Tidak",IF(G670="Pendek","Potensi Stunting",IF(G670="Sangat Pendek","Stunting","")))</f>
        <v/>
      </c>
    </row>
    <row r="671" ht="15.75" customHeight="1" s="95">
      <c r="A671" s="97" t="inlineStr">
        <is>
          <t>anonymus0670</t>
        </is>
      </c>
      <c r="B671" s="97" t="inlineStr">
        <is>
          <t xml:space="preserve">P </t>
        </is>
      </c>
      <c r="C671" s="97" t="inlineStr">
        <is>
          <t>35-69 Bulan</t>
        </is>
      </c>
      <c r="D671" s="97" t="n">
        <v>16</v>
      </c>
      <c r="E671" s="97" t="n">
        <v>104</v>
      </c>
      <c r="F671" s="97" t="inlineStr">
        <is>
          <t>Berat Badan Normal</t>
        </is>
      </c>
      <c r="G671" s="97" t="inlineStr">
        <is>
          <t>Normal</t>
        </is>
      </c>
      <c r="H671" s="97" t="inlineStr">
        <is>
          <t>Gizi Baik</t>
        </is>
      </c>
      <c r="I671" s="98" t="inlineStr">
        <is>
          <t>Ya</t>
        </is>
      </c>
      <c r="J671" s="98">
        <f>IF(G671="Normal","Tidak",IF(G671="Pendek","Potensi Stunting",IF(G671="Sangat Pendek","Stunting","")))</f>
        <v/>
      </c>
    </row>
    <row r="672" ht="15.75" customHeight="1" s="95">
      <c r="A672" s="97" t="inlineStr">
        <is>
          <t>anonymus0671</t>
        </is>
      </c>
      <c r="B672" s="97" t="inlineStr">
        <is>
          <t xml:space="preserve">P </t>
        </is>
      </c>
      <c r="C672" s="97" t="inlineStr">
        <is>
          <t>1-34 Bulan</t>
        </is>
      </c>
      <c r="D672" s="97" t="inlineStr">
        <is>
          <t>9.5</t>
        </is>
      </c>
      <c r="E672" s="97" t="n">
        <v>79</v>
      </c>
      <c r="F672" s="97" t="inlineStr">
        <is>
          <t>Berat Badan Normal</t>
        </is>
      </c>
      <c r="G672" s="97" t="inlineStr">
        <is>
          <t>Normal</t>
        </is>
      </c>
      <c r="H672" s="97" t="inlineStr">
        <is>
          <t>Gizi Baik</t>
        </is>
      </c>
      <c r="I672" s="98" t="inlineStr">
        <is>
          <t>Ya</t>
        </is>
      </c>
      <c r="J672" s="98">
        <f>IF(G672="Normal","Tidak",IF(G672="Pendek","Potensi Stunting",IF(G672="Sangat Pendek","Stunting","")))</f>
        <v/>
      </c>
    </row>
    <row r="673" ht="15.75" customHeight="1" s="95">
      <c r="A673" s="97" t="inlineStr">
        <is>
          <t>anonymus0672</t>
        </is>
      </c>
      <c r="B673" s="97" t="inlineStr">
        <is>
          <t xml:space="preserve">P </t>
        </is>
      </c>
      <c r="C673" s="97" t="inlineStr">
        <is>
          <t>35-69 Bulan</t>
        </is>
      </c>
      <c r="D673" s="97" t="inlineStr">
        <is>
          <t>11.8</t>
        </is>
      </c>
      <c r="E673" s="97" t="n">
        <v>92</v>
      </c>
      <c r="F673" s="97" t="inlineStr">
        <is>
          <t>Berat Badan Normal</t>
        </is>
      </c>
      <c r="G673" s="97" t="inlineStr">
        <is>
          <t>Normal</t>
        </is>
      </c>
      <c r="H673" s="97" t="inlineStr">
        <is>
          <t>Gizi Baik</t>
        </is>
      </c>
      <c r="I673" s="98" t="inlineStr">
        <is>
          <t>Ya</t>
        </is>
      </c>
      <c r="J673" s="98">
        <f>IF(G673="Normal","Tidak",IF(G673="Pendek","Potensi Stunting",IF(G673="Sangat Pendek","Stunting","")))</f>
        <v/>
      </c>
    </row>
    <row r="674" ht="15.75" customHeight="1" s="95">
      <c r="A674" s="97" t="inlineStr">
        <is>
          <t>anonymus0673</t>
        </is>
      </c>
      <c r="B674" s="97" t="inlineStr">
        <is>
          <t>P</t>
        </is>
      </c>
      <c r="C674" s="97" t="inlineStr">
        <is>
          <t>35-69 Bulan</t>
        </is>
      </c>
      <c r="D674" s="97" t="n">
        <v>18.8</v>
      </c>
      <c r="E674" s="97" t="n">
        <v>102</v>
      </c>
      <c r="F674" s="97" t="inlineStr">
        <is>
          <t>Risiko Lebih</t>
        </is>
      </c>
      <c r="G674" s="97" t="inlineStr">
        <is>
          <t>Normal</t>
        </is>
      </c>
      <c r="H674" s="97" t="inlineStr">
        <is>
          <t>Gizi Lebih</t>
        </is>
      </c>
      <c r="I674" s="98" t="inlineStr">
        <is>
          <t>Ya</t>
        </is>
      </c>
      <c r="J674" s="98">
        <f>IF(G674="Normal","Tidak",IF(G674="Pendek","Potensi Stunting",IF(G674="Sangat Pendek","Stunting","")))</f>
        <v/>
      </c>
    </row>
    <row r="675" ht="15.75" customHeight="1" s="95">
      <c r="A675" s="97" t="inlineStr">
        <is>
          <t>anonymus0674</t>
        </is>
      </c>
      <c r="B675" s="97" t="inlineStr">
        <is>
          <t>L</t>
        </is>
      </c>
      <c r="C675" s="97" t="inlineStr">
        <is>
          <t>1-34 Bulan</t>
        </is>
      </c>
      <c r="D675" s="97" t="n">
        <v>9</v>
      </c>
      <c r="E675" s="97" t="n">
        <v>82</v>
      </c>
      <c r="F675" s="97" t="inlineStr">
        <is>
          <t>Kurang</t>
        </is>
      </c>
      <c r="G675" s="97" t="inlineStr">
        <is>
          <t>Normal</t>
        </is>
      </c>
      <c r="H675" s="97" t="inlineStr">
        <is>
          <t>Gizi Kurang</t>
        </is>
      </c>
      <c r="I675" s="98" t="inlineStr">
        <is>
          <t>Ya</t>
        </is>
      </c>
      <c r="J675" s="98">
        <f>IF(G675="Normal","Tidak",IF(G675="Pendek","Potensi Stunting",IF(G675="Sangat Pendek","Stunting","")))</f>
        <v/>
      </c>
    </row>
    <row r="676" ht="15.75" customHeight="1" s="95">
      <c r="A676" s="97" t="inlineStr">
        <is>
          <t>anonymus0675</t>
        </is>
      </c>
      <c r="B676" s="97" t="inlineStr">
        <is>
          <t>L</t>
        </is>
      </c>
      <c r="C676" s="97" t="inlineStr">
        <is>
          <t>1-34 Bulan</t>
        </is>
      </c>
      <c r="D676" s="97" t="n">
        <v>13.6</v>
      </c>
      <c r="E676" s="97" t="n">
        <v>79</v>
      </c>
      <c r="F676" s="97" t="inlineStr">
        <is>
          <t>Berat Badan Normal</t>
        </is>
      </c>
      <c r="G676" s="97" t="inlineStr">
        <is>
          <t>Normal</t>
        </is>
      </c>
      <c r="H676" s="97" t="inlineStr">
        <is>
          <t>Gizi Baik</t>
        </is>
      </c>
      <c r="I676" s="98" t="inlineStr">
        <is>
          <t>Ya</t>
        </is>
      </c>
      <c r="J676" s="98">
        <f>IF(G676="Normal","Tidak",IF(G676="Pendek","Potensi Stunting",IF(G676="Sangat Pendek","Stunting","")))</f>
        <v/>
      </c>
    </row>
    <row r="677" ht="15.75" customHeight="1" s="95">
      <c r="A677" s="97" t="inlineStr">
        <is>
          <t>anonymus0676</t>
        </is>
      </c>
      <c r="B677" s="97" t="inlineStr">
        <is>
          <t xml:space="preserve">L </t>
        </is>
      </c>
      <c r="C677" s="97" t="inlineStr">
        <is>
          <t>1-34 Bulan</t>
        </is>
      </c>
      <c r="D677" s="97" t="inlineStr">
        <is>
          <t>8.6</t>
        </is>
      </c>
      <c r="E677" s="97" t="n">
        <v>68</v>
      </c>
      <c r="F677" s="97" t="inlineStr">
        <is>
          <t>Berat Badan Normal</t>
        </is>
      </c>
      <c r="G677" s="97" t="inlineStr">
        <is>
          <t>Normal</t>
        </is>
      </c>
      <c r="H677" s="97" t="inlineStr">
        <is>
          <t>Gizi Baik</t>
        </is>
      </c>
      <c r="I677" s="98" t="inlineStr">
        <is>
          <t>Ya</t>
        </is>
      </c>
      <c r="J677" s="98">
        <f>IF(G677="Normal","Tidak",IF(G677="Pendek","Potensi Stunting",IF(G677="Sangat Pendek","Stunting","")))</f>
        <v/>
      </c>
    </row>
    <row r="678" ht="15.75" customHeight="1" s="95">
      <c r="A678" s="97" t="inlineStr">
        <is>
          <t>anonymus0677</t>
        </is>
      </c>
      <c r="B678" s="97" t="inlineStr">
        <is>
          <t>P</t>
        </is>
      </c>
      <c r="C678" s="97" t="inlineStr">
        <is>
          <t>35-69 Bulan</t>
        </is>
      </c>
      <c r="D678" s="97" t="n">
        <v>10.4</v>
      </c>
      <c r="E678" s="97" t="n">
        <v>94</v>
      </c>
      <c r="F678" s="97" t="inlineStr">
        <is>
          <t>Sangat Kurang</t>
        </is>
      </c>
      <c r="G678" s="97" t="inlineStr">
        <is>
          <t>Pendek</t>
        </is>
      </c>
      <c r="H678" s="97" t="inlineStr">
        <is>
          <t>Gizi Buruk</t>
        </is>
      </c>
      <c r="I678" s="98" t="inlineStr">
        <is>
          <t>Ya</t>
        </is>
      </c>
      <c r="J678" s="98">
        <f>IF(G678="Normal","Tidak",IF(G678="Pendek","Potensi Stunting",IF(G678="Sangat Pendek","Stunting","")))</f>
        <v/>
      </c>
    </row>
    <row r="679" ht="15.75" customHeight="1" s="95">
      <c r="A679" s="97" t="inlineStr">
        <is>
          <t>anonymus0678</t>
        </is>
      </c>
      <c r="B679" s="97" t="inlineStr">
        <is>
          <t>P</t>
        </is>
      </c>
      <c r="C679" s="97" t="inlineStr">
        <is>
          <t>35-69 Bulan</t>
        </is>
      </c>
      <c r="D679" s="97" t="n">
        <v>11</v>
      </c>
      <c r="E679" s="97" t="n">
        <v>120</v>
      </c>
      <c r="F679" s="97" t="inlineStr">
        <is>
          <t>Berat Badan Normal</t>
        </is>
      </c>
      <c r="G679" s="97" t="inlineStr">
        <is>
          <t>Normal</t>
        </is>
      </c>
      <c r="H679" s="97" t="inlineStr">
        <is>
          <t>Gizi Baik</t>
        </is>
      </c>
      <c r="I679" s="98" t="inlineStr">
        <is>
          <t>Ya</t>
        </is>
      </c>
      <c r="J679" s="98">
        <f>IF(G679="Normal","Tidak",IF(G679="Pendek","Potensi Stunting",IF(G679="Sangat Pendek","Stunting","")))</f>
        <v/>
      </c>
    </row>
    <row r="680" ht="15.75" customHeight="1" s="95">
      <c r="A680" s="97" t="inlineStr">
        <is>
          <t>anonymus0679</t>
        </is>
      </c>
      <c r="B680" s="97" t="inlineStr">
        <is>
          <t>L</t>
        </is>
      </c>
      <c r="C680" s="97" t="inlineStr">
        <is>
          <t>35-69 Bulan</t>
        </is>
      </c>
      <c r="D680" s="97" t="n">
        <v>18</v>
      </c>
      <c r="E680" s="97" t="n">
        <v>116</v>
      </c>
      <c r="F680" s="97" t="inlineStr">
        <is>
          <t>Risiko Lebih</t>
        </is>
      </c>
      <c r="G680" s="97" t="inlineStr">
        <is>
          <t>Normal</t>
        </is>
      </c>
      <c r="H680" s="97" t="inlineStr">
        <is>
          <t>Gizi Lebih</t>
        </is>
      </c>
      <c r="I680" s="98" t="inlineStr">
        <is>
          <t>Ya</t>
        </is>
      </c>
      <c r="J680" s="98">
        <f>IF(G680="Normal","Tidak",IF(G680="Pendek","Potensi Stunting",IF(G680="Sangat Pendek","Stunting","")))</f>
        <v/>
      </c>
    </row>
    <row r="681" ht="15.75" customHeight="1" s="95">
      <c r="A681" s="97" t="inlineStr">
        <is>
          <t>anonymus0680</t>
        </is>
      </c>
      <c r="B681" s="97" t="inlineStr">
        <is>
          <t>L</t>
        </is>
      </c>
      <c r="C681" s="97" t="inlineStr">
        <is>
          <t>35-69 Bulan</t>
        </is>
      </c>
      <c r="D681" s="97" t="n">
        <v>13.4</v>
      </c>
      <c r="E681" s="97" t="n">
        <v>91</v>
      </c>
      <c r="F681" s="97" t="inlineStr">
        <is>
          <t>Normal</t>
        </is>
      </c>
      <c r="G681" s="97" t="inlineStr">
        <is>
          <t>Pendek</t>
        </is>
      </c>
      <c r="H681" s="97" t="inlineStr">
        <is>
          <t>Gizi Baik</t>
        </is>
      </c>
      <c r="I681" s="98" t="inlineStr">
        <is>
          <t>Ya</t>
        </is>
      </c>
      <c r="J681" s="98">
        <f>IF(G681="Normal","Tidak",IF(G681="Pendek","Potensi Stunting",IF(G681="Sangat Pendek","Stunting","")))</f>
        <v/>
      </c>
    </row>
    <row r="682" ht="15.75" customHeight="1" s="95">
      <c r="A682" s="97" t="inlineStr">
        <is>
          <t>anonymus0681</t>
        </is>
      </c>
      <c r="B682" s="97" t="inlineStr">
        <is>
          <t>L</t>
        </is>
      </c>
      <c r="C682" s="97" t="inlineStr">
        <is>
          <t>35-69 Bulan</t>
        </is>
      </c>
      <c r="D682" s="97" t="n">
        <v>9.6</v>
      </c>
      <c r="E682" s="97" t="n">
        <v>80.40000000000001</v>
      </c>
      <c r="F682" s="97" t="inlineStr">
        <is>
          <t>Kurang</t>
        </is>
      </c>
      <c r="G682" s="97" t="inlineStr">
        <is>
          <t>Pendek</t>
        </is>
      </c>
      <c r="H682" s="97" t="inlineStr">
        <is>
          <t>Gizi Baik</t>
        </is>
      </c>
      <c r="I682" s="98" t="inlineStr">
        <is>
          <t>Ya</t>
        </is>
      </c>
      <c r="J682" s="98">
        <f>IF(G682="Normal","Tidak",IF(G682="Pendek","Potensi Stunting",IF(G682="Sangat Pendek","Stunting","")))</f>
        <v/>
      </c>
    </row>
    <row r="683" ht="15.75" customHeight="1" s="95">
      <c r="A683" s="97" t="inlineStr">
        <is>
          <t>anonymus0682</t>
        </is>
      </c>
      <c r="B683" s="97" t="inlineStr">
        <is>
          <t>L</t>
        </is>
      </c>
      <c r="C683" s="97" t="inlineStr">
        <is>
          <t>1-34 Bulan</t>
        </is>
      </c>
      <c r="D683" s="97" t="n">
        <v>13.8</v>
      </c>
      <c r="E683" s="97" t="n">
        <v>83</v>
      </c>
      <c r="F683" s="97" t="inlineStr">
        <is>
          <t>Berat Badan Normal</t>
        </is>
      </c>
      <c r="G683" s="97" t="inlineStr">
        <is>
          <t>Normal</t>
        </is>
      </c>
      <c r="H683" s="97" t="inlineStr">
        <is>
          <t>Gizi Baik</t>
        </is>
      </c>
      <c r="I683" s="98" t="inlineStr">
        <is>
          <t>Ya</t>
        </is>
      </c>
      <c r="J683" s="98">
        <f>IF(G683="Normal","Tidak",IF(G683="Pendek","Potensi Stunting",IF(G683="Sangat Pendek","Stunting","")))</f>
        <v/>
      </c>
    </row>
    <row r="684" ht="15.75" customHeight="1" s="95">
      <c r="A684" s="97" t="inlineStr">
        <is>
          <t>anonymus0683</t>
        </is>
      </c>
      <c r="B684" s="97" t="inlineStr">
        <is>
          <t xml:space="preserve">P </t>
        </is>
      </c>
      <c r="C684" s="97" t="inlineStr">
        <is>
          <t>35-69 Bulan</t>
        </is>
      </c>
      <c r="D684" s="97" t="inlineStr">
        <is>
          <t>14.8</t>
        </is>
      </c>
      <c r="E684" s="97" t="n">
        <v>99</v>
      </c>
      <c r="F684" s="97" t="inlineStr">
        <is>
          <t>Berat Badan Normal</t>
        </is>
      </c>
      <c r="G684" s="97" t="inlineStr">
        <is>
          <t>Normal</t>
        </is>
      </c>
      <c r="H684" s="97" t="inlineStr">
        <is>
          <t>Gizi Baik</t>
        </is>
      </c>
      <c r="I684" s="98" t="inlineStr">
        <is>
          <t>Ya</t>
        </is>
      </c>
      <c r="J684" s="98">
        <f>IF(G684="Normal","Tidak",IF(G684="Pendek","Potensi Stunting",IF(G684="Sangat Pendek","Stunting","")))</f>
        <v/>
      </c>
    </row>
    <row r="685" ht="15.75" customHeight="1" s="95">
      <c r="A685" s="97" t="inlineStr">
        <is>
          <t>anonymus0684</t>
        </is>
      </c>
      <c r="B685" s="97" t="inlineStr">
        <is>
          <t xml:space="preserve">L </t>
        </is>
      </c>
      <c r="C685" s="97" t="inlineStr">
        <is>
          <t>35-69 Bulan</t>
        </is>
      </c>
      <c r="D685" s="97" t="inlineStr">
        <is>
          <t>11.8</t>
        </is>
      </c>
      <c r="E685" s="97" t="n">
        <v>90</v>
      </c>
      <c r="F685" s="97" t="inlineStr">
        <is>
          <t>Berat Badan Normal</t>
        </is>
      </c>
      <c r="G685" s="97" t="inlineStr">
        <is>
          <t>Normal</t>
        </is>
      </c>
      <c r="H685" s="97" t="inlineStr">
        <is>
          <t>Gizi Baik</t>
        </is>
      </c>
      <c r="I685" s="98" t="inlineStr">
        <is>
          <t>Ya</t>
        </is>
      </c>
      <c r="J685" s="98">
        <f>IF(G685="Normal","Tidak",IF(G685="Pendek","Potensi Stunting",IF(G685="Sangat Pendek","Stunting","")))</f>
        <v/>
      </c>
    </row>
    <row r="686" ht="15.75" customHeight="1" s="95">
      <c r="A686" s="97" t="inlineStr">
        <is>
          <t>anonymus0685</t>
        </is>
      </c>
      <c r="B686" s="97" t="inlineStr">
        <is>
          <t>L</t>
        </is>
      </c>
      <c r="C686" s="97" t="inlineStr">
        <is>
          <t>35-69 Bulan</t>
        </is>
      </c>
      <c r="D686" s="97" t="n">
        <v>13.2</v>
      </c>
      <c r="E686" s="97" t="n">
        <v>93</v>
      </c>
      <c r="F686" s="97" t="inlineStr">
        <is>
          <t>Kurang</t>
        </is>
      </c>
      <c r="G686" s="97" t="inlineStr">
        <is>
          <t>Sangat Pendek</t>
        </is>
      </c>
      <c r="H686" s="97" t="inlineStr">
        <is>
          <t>Gizi Baik</t>
        </is>
      </c>
      <c r="I686" s="98" t="inlineStr">
        <is>
          <t>Ya</t>
        </is>
      </c>
      <c r="J686" s="98">
        <f>IF(G686="Normal","Tidak",IF(G686="Pendek","Potensi Stunting",IF(G686="Sangat Pendek","Stunting","")))</f>
        <v/>
      </c>
    </row>
    <row r="687" ht="15.75" customHeight="1" s="95">
      <c r="A687" s="97" t="inlineStr">
        <is>
          <t>anonymus0686</t>
        </is>
      </c>
      <c r="B687" s="97" t="inlineStr">
        <is>
          <t>P</t>
        </is>
      </c>
      <c r="C687" s="97" t="inlineStr">
        <is>
          <t>1-34 Bulan</t>
        </is>
      </c>
      <c r="D687" s="97" t="n">
        <v>8.4</v>
      </c>
      <c r="E687" s="97" t="n">
        <v>80</v>
      </c>
      <c r="F687" s="97" t="inlineStr">
        <is>
          <t>Kurang</t>
        </is>
      </c>
      <c r="G687" s="97" t="inlineStr">
        <is>
          <t>Normal</t>
        </is>
      </c>
      <c r="H687" s="97" t="inlineStr">
        <is>
          <t>Gizi Kurang</t>
        </is>
      </c>
      <c r="I687" s="98" t="inlineStr">
        <is>
          <t>Ya</t>
        </is>
      </c>
      <c r="J687" s="98">
        <f>IF(G687="Normal","Tidak",IF(G687="Pendek","Potensi Stunting",IF(G687="Sangat Pendek","Stunting","")))</f>
        <v/>
      </c>
    </row>
    <row r="688" ht="15.75" customHeight="1" s="95">
      <c r="A688" s="97" t="inlineStr">
        <is>
          <t>anonymus0687</t>
        </is>
      </c>
      <c r="B688" s="97" t="inlineStr">
        <is>
          <t>L</t>
        </is>
      </c>
      <c r="C688" s="97" t="inlineStr">
        <is>
          <t>1-34 Bulan</t>
        </is>
      </c>
      <c r="D688" s="97" t="n">
        <v>8.199999999999999</v>
      </c>
      <c r="E688" s="97" t="n">
        <v>76.5</v>
      </c>
      <c r="F688" s="97" t="inlineStr">
        <is>
          <t>Kurang</t>
        </is>
      </c>
      <c r="G688" s="97" t="inlineStr">
        <is>
          <t>Pendek</t>
        </is>
      </c>
      <c r="H688" s="97" t="inlineStr">
        <is>
          <t>Gizi Kurang</t>
        </is>
      </c>
      <c r="I688" s="98" t="inlineStr">
        <is>
          <t>Ya</t>
        </is>
      </c>
      <c r="J688" s="98">
        <f>IF(G688="Normal","Tidak",IF(G688="Pendek","Potensi Stunting",IF(G688="Sangat Pendek","Stunting","")))</f>
        <v/>
      </c>
    </row>
    <row r="689" ht="15.75" customHeight="1" s="95">
      <c r="A689" s="97" t="inlineStr">
        <is>
          <t>anonymus0688</t>
        </is>
      </c>
      <c r="B689" s="97" t="inlineStr">
        <is>
          <t>P</t>
        </is>
      </c>
      <c r="C689" s="97" t="inlineStr">
        <is>
          <t>35-69 Bulan</t>
        </is>
      </c>
      <c r="D689" s="97" t="n">
        <v>12.7</v>
      </c>
      <c r="E689" s="97" t="n">
        <v>117</v>
      </c>
      <c r="F689" s="97" t="inlineStr">
        <is>
          <t>Berat Badan Normal</t>
        </is>
      </c>
      <c r="G689" s="97" t="inlineStr">
        <is>
          <t>Normal</t>
        </is>
      </c>
      <c r="H689" s="97" t="inlineStr">
        <is>
          <t>Gizi Baik</t>
        </is>
      </c>
      <c r="I689" s="98" t="inlineStr">
        <is>
          <t>Ya</t>
        </is>
      </c>
      <c r="J689" s="98">
        <f>IF(G689="Normal","Tidak",IF(G689="Pendek","Potensi Stunting",IF(G689="Sangat Pendek","Stunting","")))</f>
        <v/>
      </c>
    </row>
    <row r="690" ht="15.75" customHeight="1" s="95">
      <c r="A690" s="97" t="inlineStr">
        <is>
          <t>anonymus0689</t>
        </is>
      </c>
      <c r="B690" s="97" t="inlineStr">
        <is>
          <t>P</t>
        </is>
      </c>
      <c r="C690" s="97" t="inlineStr">
        <is>
          <t>1-34 Bulan</t>
        </is>
      </c>
      <c r="D690" s="97" t="n">
        <v>10.9</v>
      </c>
      <c r="E690" s="97" t="n">
        <v>93</v>
      </c>
      <c r="F690" s="97" t="inlineStr">
        <is>
          <t>Berat Badan Normal</t>
        </is>
      </c>
      <c r="G690" s="97" t="inlineStr">
        <is>
          <t>Normal</t>
        </is>
      </c>
      <c r="H690" s="97" t="inlineStr">
        <is>
          <t>Gizi Baik</t>
        </is>
      </c>
      <c r="I690" s="98" t="inlineStr">
        <is>
          <t>Ya</t>
        </is>
      </c>
      <c r="J690" s="98">
        <f>IF(G690="Normal","Tidak",IF(G690="Pendek","Potensi Stunting",IF(G690="Sangat Pendek","Stunting","")))</f>
        <v/>
      </c>
    </row>
    <row r="691" ht="15.75" customHeight="1" s="95">
      <c r="A691" s="97" t="inlineStr">
        <is>
          <t>anonymus0690</t>
        </is>
      </c>
      <c r="B691" s="97" t="inlineStr">
        <is>
          <t xml:space="preserve">L </t>
        </is>
      </c>
      <c r="C691" s="97" t="inlineStr">
        <is>
          <t>1-34 Bulan</t>
        </is>
      </c>
      <c r="D691" s="97" t="inlineStr">
        <is>
          <t>9.1</t>
        </is>
      </c>
      <c r="E691" s="97" t="n">
        <v>70</v>
      </c>
      <c r="F691" s="97" t="inlineStr">
        <is>
          <t>Berat Badan Normal</t>
        </is>
      </c>
      <c r="G691" s="97" t="inlineStr">
        <is>
          <t>Normal</t>
        </is>
      </c>
      <c r="H691" s="97" t="inlineStr">
        <is>
          <t>Gizi Baik</t>
        </is>
      </c>
      <c r="I691" s="98" t="inlineStr">
        <is>
          <t>Ya</t>
        </is>
      </c>
      <c r="J691" s="98">
        <f>IF(G691="Normal","Tidak",IF(G691="Pendek","Potensi Stunting",IF(G691="Sangat Pendek","Stunting","")))</f>
        <v/>
      </c>
    </row>
    <row r="692" ht="15.75" customHeight="1" s="95">
      <c r="A692" s="97" t="inlineStr">
        <is>
          <t>anonymus0691</t>
        </is>
      </c>
      <c r="B692" s="97" t="inlineStr">
        <is>
          <t xml:space="preserve">L </t>
        </is>
      </c>
      <c r="C692" s="97" t="inlineStr">
        <is>
          <t>1-34 Bulan</t>
        </is>
      </c>
      <c r="D692" s="97" t="inlineStr">
        <is>
          <t>19.3</t>
        </is>
      </c>
      <c r="E692" s="97" t="n">
        <v>108</v>
      </c>
      <c r="F692" s="97" t="inlineStr">
        <is>
          <t>Risiko Lebih</t>
        </is>
      </c>
      <c r="G692" s="99" t="inlineStr">
        <is>
          <t>Tinggi</t>
        </is>
      </c>
      <c r="H692" s="97" t="inlineStr">
        <is>
          <t>Gizi Baik</t>
        </is>
      </c>
      <c r="I692" s="98" t="inlineStr">
        <is>
          <t>Ya</t>
        </is>
      </c>
      <c r="J692" s="98">
        <f>IF(G692="Normal","Tidak",IF(G692="Pendek","Potensi Stunting",IF(G692="Sangat Pendek","Stunting","")))</f>
        <v/>
      </c>
    </row>
    <row r="693" ht="15.75" customHeight="1" s="95">
      <c r="A693" s="97" t="inlineStr">
        <is>
          <t>anonymus0692</t>
        </is>
      </c>
      <c r="B693" s="97" t="inlineStr">
        <is>
          <t>L</t>
        </is>
      </c>
      <c r="C693" s="97" t="inlineStr">
        <is>
          <t>1-34 Bulan</t>
        </is>
      </c>
      <c r="D693" s="97" t="n">
        <v>8</v>
      </c>
      <c r="E693" s="97" t="n">
        <v>70</v>
      </c>
      <c r="F693" s="97" t="inlineStr">
        <is>
          <t>Kurang</t>
        </is>
      </c>
      <c r="G693" s="97" t="inlineStr">
        <is>
          <t>Normal</t>
        </is>
      </c>
      <c r="H693" s="97" t="inlineStr">
        <is>
          <t>Gizi Kurang</t>
        </is>
      </c>
      <c r="I693" s="98" t="inlineStr">
        <is>
          <t>Ya</t>
        </is>
      </c>
      <c r="J693" s="98">
        <f>IF(G693="Normal","Tidak",IF(G693="Pendek","Potensi Stunting",IF(G693="Sangat Pendek","Stunting","")))</f>
        <v/>
      </c>
    </row>
    <row r="694" ht="15.75" customHeight="1" s="95">
      <c r="A694" s="97" t="inlineStr">
        <is>
          <t>anonymus0693</t>
        </is>
      </c>
      <c r="B694" s="97" t="inlineStr">
        <is>
          <t xml:space="preserve">L </t>
        </is>
      </c>
      <c r="C694" s="97" t="inlineStr">
        <is>
          <t>35-69 Bulan</t>
        </is>
      </c>
      <c r="D694" s="97" t="n">
        <v>14</v>
      </c>
      <c r="E694" s="97" t="n">
        <v>104</v>
      </c>
      <c r="F694" s="97" t="inlineStr">
        <is>
          <t>Berat Badan Normal</t>
        </is>
      </c>
      <c r="G694" s="97" t="inlineStr">
        <is>
          <t>Normal</t>
        </is>
      </c>
      <c r="H694" s="97" t="inlineStr">
        <is>
          <t>Gizi Kurang</t>
        </is>
      </c>
      <c r="I694" s="98" t="inlineStr">
        <is>
          <t>Ya</t>
        </is>
      </c>
      <c r="J694" s="98">
        <f>IF(G694="Normal","Tidak",IF(G694="Pendek","Potensi Stunting",IF(G694="Sangat Pendek","Stunting","")))</f>
        <v/>
      </c>
    </row>
    <row r="695" ht="15.75" customHeight="1" s="95">
      <c r="A695" s="97" t="inlineStr">
        <is>
          <t>anonymus0694</t>
        </is>
      </c>
      <c r="B695" s="97" t="inlineStr">
        <is>
          <t xml:space="preserve">L </t>
        </is>
      </c>
      <c r="C695" s="97" t="inlineStr">
        <is>
          <t>35-69 Bulan</t>
        </is>
      </c>
      <c r="D695" s="97" t="inlineStr">
        <is>
          <t>17.3</t>
        </is>
      </c>
      <c r="E695" s="97" t="n">
        <v>105</v>
      </c>
      <c r="F695" s="97" t="inlineStr">
        <is>
          <t>Berat Badan Normal</t>
        </is>
      </c>
      <c r="G695" s="97" t="inlineStr">
        <is>
          <t>Normal</t>
        </is>
      </c>
      <c r="H695" s="97" t="inlineStr">
        <is>
          <t>Gizi Baik</t>
        </is>
      </c>
      <c r="I695" s="98" t="inlineStr">
        <is>
          <t>Ya</t>
        </is>
      </c>
      <c r="J695" s="98">
        <f>IF(G695="Normal","Tidak",IF(G695="Pendek","Potensi Stunting",IF(G695="Sangat Pendek","Stunting","")))</f>
        <v/>
      </c>
    </row>
    <row r="696" ht="15.75" customHeight="1" s="95">
      <c r="A696" s="97" t="inlineStr">
        <is>
          <t>anonymus0695</t>
        </is>
      </c>
      <c r="B696" s="97" t="inlineStr">
        <is>
          <t>P</t>
        </is>
      </c>
      <c r="C696" s="97" t="inlineStr">
        <is>
          <t>35-69 Bulan</t>
        </is>
      </c>
      <c r="D696" s="97" t="n">
        <v>12.4</v>
      </c>
      <c r="E696" s="97" t="n">
        <v>93</v>
      </c>
      <c r="F696" s="97" t="inlineStr">
        <is>
          <t>Kurang</t>
        </is>
      </c>
      <c r="G696" s="97" t="inlineStr">
        <is>
          <t>Pendek</t>
        </is>
      </c>
      <c r="H696" s="97" t="inlineStr">
        <is>
          <t>Gizi Baik</t>
        </is>
      </c>
      <c r="I696" s="98" t="inlineStr">
        <is>
          <t>Ya</t>
        </is>
      </c>
      <c r="J696" s="98">
        <f>IF(G696="Normal","Tidak",IF(G696="Pendek","Potensi Stunting",IF(G696="Sangat Pendek","Stunting","")))</f>
        <v/>
      </c>
    </row>
    <row r="697" ht="15.75" customHeight="1" s="95">
      <c r="A697" s="97" t="inlineStr">
        <is>
          <t>anonymus0696</t>
        </is>
      </c>
      <c r="B697" s="97" t="inlineStr">
        <is>
          <t xml:space="preserve">P </t>
        </is>
      </c>
      <c r="C697" s="97" t="inlineStr">
        <is>
          <t>35-69 Bulan</t>
        </is>
      </c>
      <c r="D697" s="97" t="n">
        <v>15</v>
      </c>
      <c r="E697" s="97" t="n">
        <v>99</v>
      </c>
      <c r="F697" s="97" t="inlineStr">
        <is>
          <t>Berat Badan Normal</t>
        </is>
      </c>
      <c r="G697" s="97" t="inlineStr">
        <is>
          <t>Normal</t>
        </is>
      </c>
      <c r="H697" s="97" t="inlineStr">
        <is>
          <t>Gizi Baik</t>
        </is>
      </c>
      <c r="I697" s="98" t="inlineStr">
        <is>
          <t>Ya</t>
        </is>
      </c>
      <c r="J697" s="98">
        <f>IF(G697="Normal","Tidak",IF(G697="Pendek","Potensi Stunting",IF(G697="Sangat Pendek","Stunting","")))</f>
        <v/>
      </c>
    </row>
    <row r="698" ht="15.75" customHeight="1" s="95">
      <c r="A698" s="97" t="inlineStr">
        <is>
          <t>anonymus0697</t>
        </is>
      </c>
      <c r="B698" s="97" t="inlineStr">
        <is>
          <t>L</t>
        </is>
      </c>
      <c r="C698" s="97" t="inlineStr">
        <is>
          <t>35-69 Bulan</t>
        </is>
      </c>
      <c r="D698" s="97" t="n">
        <v>12.1</v>
      </c>
      <c r="E698" s="97" t="n">
        <v>96</v>
      </c>
      <c r="F698" s="97" t="inlineStr">
        <is>
          <t>Kurang</t>
        </is>
      </c>
      <c r="G698" s="97" t="inlineStr">
        <is>
          <t>Normal</t>
        </is>
      </c>
      <c r="H698" s="97" t="inlineStr">
        <is>
          <t>Gizi Kurang</t>
        </is>
      </c>
      <c r="I698" s="98" t="inlineStr">
        <is>
          <t>Ya</t>
        </is>
      </c>
      <c r="J698" s="98">
        <f>IF(G698="Normal","Tidak",IF(G698="Pendek","Potensi Stunting",IF(G698="Sangat Pendek","Stunting","")))</f>
        <v/>
      </c>
    </row>
    <row r="699" ht="15.75" customHeight="1" s="95">
      <c r="A699" s="97" t="inlineStr">
        <is>
          <t>anonymus0698</t>
        </is>
      </c>
      <c r="B699" s="97" t="inlineStr">
        <is>
          <t>P</t>
        </is>
      </c>
      <c r="C699" s="97" t="inlineStr">
        <is>
          <t>35-69 Bulan</t>
        </is>
      </c>
      <c r="D699" s="97" t="n">
        <v>12.2</v>
      </c>
      <c r="E699" s="97" t="n">
        <v>89.2</v>
      </c>
      <c r="F699" s="97" t="inlineStr">
        <is>
          <t>Normal</t>
        </is>
      </c>
      <c r="G699" s="97" t="inlineStr">
        <is>
          <t>Pendek</t>
        </is>
      </c>
      <c r="H699" s="97" t="inlineStr">
        <is>
          <t>Gizi Baik</t>
        </is>
      </c>
      <c r="I699" s="98" t="inlineStr">
        <is>
          <t>Ya</t>
        </is>
      </c>
      <c r="J699" s="98">
        <f>IF(G699="Normal","Tidak",IF(G699="Pendek","Potensi Stunting",IF(G699="Sangat Pendek","Stunting","")))</f>
        <v/>
      </c>
    </row>
    <row r="700" ht="15.75" customHeight="1" s="95">
      <c r="A700" s="97" t="inlineStr">
        <is>
          <t>anonymus0699</t>
        </is>
      </c>
      <c r="B700" s="97" t="inlineStr">
        <is>
          <t xml:space="preserve">L </t>
        </is>
      </c>
      <c r="C700" s="97" t="inlineStr">
        <is>
          <t>1-34 Bulan</t>
        </is>
      </c>
      <c r="D700" s="97" t="n">
        <v>13</v>
      </c>
      <c r="E700" s="97" t="n">
        <v>94</v>
      </c>
      <c r="F700" s="97" t="inlineStr">
        <is>
          <t>Berat Badan Normal</t>
        </is>
      </c>
      <c r="G700" s="97" t="inlineStr">
        <is>
          <t>Normal</t>
        </is>
      </c>
      <c r="H700" s="97" t="inlineStr">
        <is>
          <t>Gizi Baik</t>
        </is>
      </c>
      <c r="I700" s="98" t="inlineStr">
        <is>
          <t>Ya</t>
        </is>
      </c>
      <c r="J700" s="98">
        <f>IF(G700="Normal","Tidak",IF(G700="Pendek","Potensi Stunting",IF(G700="Sangat Pendek","Stunting","")))</f>
        <v/>
      </c>
    </row>
    <row r="701" ht="15.75" customHeight="1" s="95">
      <c r="A701" s="97" t="inlineStr">
        <is>
          <t>anonymus0700</t>
        </is>
      </c>
      <c r="B701" s="97" t="inlineStr">
        <is>
          <t xml:space="preserve">L </t>
        </is>
      </c>
      <c r="C701" s="97" t="inlineStr">
        <is>
          <t>35-69 Bulan</t>
        </is>
      </c>
      <c r="D701" s="97" t="inlineStr">
        <is>
          <t>15.7</t>
        </is>
      </c>
      <c r="E701" s="97" t="n">
        <v>102</v>
      </c>
      <c r="F701" s="97" t="inlineStr">
        <is>
          <t>Berat Badan Normal</t>
        </is>
      </c>
      <c r="G701" s="97" t="inlineStr">
        <is>
          <t>Normal</t>
        </is>
      </c>
      <c r="H701" s="97" t="inlineStr">
        <is>
          <t>Gizi Baik</t>
        </is>
      </c>
      <c r="I701" s="98" t="inlineStr">
        <is>
          <t>Ya</t>
        </is>
      </c>
      <c r="J701" s="98">
        <f>IF(G701="Normal","Tidak",IF(G701="Pendek","Potensi Stunting",IF(G701="Sangat Pendek","Stunting","")))</f>
        <v/>
      </c>
    </row>
    <row r="702" ht="15.75" customHeight="1" s="95">
      <c r="A702" s="97" t="inlineStr">
        <is>
          <t>anonymus0701</t>
        </is>
      </c>
      <c r="B702" s="97" t="inlineStr">
        <is>
          <t>P</t>
        </is>
      </c>
      <c r="C702" s="97" t="inlineStr">
        <is>
          <t>35-69 Bulan</t>
        </is>
      </c>
      <c r="D702" s="97" t="n">
        <v>7.9</v>
      </c>
      <c r="E702" s="97" t="n">
        <v>78</v>
      </c>
      <c r="F702" s="97" t="inlineStr">
        <is>
          <t>Sangat Kurang</t>
        </is>
      </c>
      <c r="G702" s="97" t="inlineStr">
        <is>
          <t>Pendek</t>
        </is>
      </c>
      <c r="H702" s="97" t="inlineStr">
        <is>
          <t>Gizi Kurang</t>
        </is>
      </c>
      <c r="I702" s="98" t="inlineStr">
        <is>
          <t>Ya</t>
        </is>
      </c>
      <c r="J702" s="98">
        <f>IF(G702="Normal","Tidak",IF(G702="Pendek","Potensi Stunting",IF(G702="Sangat Pendek","Stunting","")))</f>
        <v/>
      </c>
    </row>
    <row r="703" ht="15.75" customHeight="1" s="95">
      <c r="A703" s="97" t="inlineStr">
        <is>
          <t>anonymus0702</t>
        </is>
      </c>
      <c r="B703" s="97" t="inlineStr">
        <is>
          <t>L</t>
        </is>
      </c>
      <c r="C703" s="97" t="inlineStr">
        <is>
          <t>35-69 Bulan</t>
        </is>
      </c>
      <c r="D703" s="97" t="n">
        <v>14.5</v>
      </c>
      <c r="E703" s="97" t="n">
        <v>118</v>
      </c>
      <c r="F703" s="97" t="inlineStr">
        <is>
          <t>Berat Badan Normal</t>
        </is>
      </c>
      <c r="G703" s="97" t="inlineStr">
        <is>
          <t>Normal</t>
        </is>
      </c>
      <c r="H703" s="97" t="inlineStr">
        <is>
          <t>Gizi Baik</t>
        </is>
      </c>
      <c r="I703" s="98" t="inlineStr">
        <is>
          <t>Ya</t>
        </is>
      </c>
      <c r="J703" s="98">
        <f>IF(G703="Normal","Tidak",IF(G703="Pendek","Potensi Stunting",IF(G703="Sangat Pendek","Stunting","")))</f>
        <v/>
      </c>
    </row>
    <row r="704" ht="15.75" customHeight="1" s="95">
      <c r="A704" s="97" t="inlineStr">
        <is>
          <t>anonymus0703</t>
        </is>
      </c>
      <c r="B704" s="97" t="inlineStr">
        <is>
          <t>L</t>
        </is>
      </c>
      <c r="C704" s="97" t="inlineStr">
        <is>
          <t>1-34 Bulan</t>
        </is>
      </c>
      <c r="D704" s="97" t="n">
        <v>7.4</v>
      </c>
      <c r="E704" s="97" t="n">
        <v>80</v>
      </c>
      <c r="F704" s="97" t="inlineStr">
        <is>
          <t>Kurang</t>
        </is>
      </c>
      <c r="G704" s="97" t="inlineStr">
        <is>
          <t>Normal</t>
        </is>
      </c>
      <c r="H704" s="97" t="inlineStr">
        <is>
          <t>Gizi Kurang</t>
        </is>
      </c>
      <c r="I704" s="98" t="inlineStr">
        <is>
          <t>Ya</t>
        </is>
      </c>
      <c r="J704" s="98">
        <f>IF(G704="Normal","Tidak",IF(G704="Pendek","Potensi Stunting",IF(G704="Sangat Pendek","Stunting","")))</f>
        <v/>
      </c>
    </row>
    <row r="705" ht="15.75" customHeight="1" s="95">
      <c r="A705" s="97" t="inlineStr">
        <is>
          <t>anonymus0704</t>
        </is>
      </c>
      <c r="B705" s="97" t="inlineStr">
        <is>
          <t>L</t>
        </is>
      </c>
      <c r="C705" s="97" t="inlineStr">
        <is>
          <t>1-34 Bulan</t>
        </is>
      </c>
      <c r="D705" s="97" t="n">
        <v>7.4</v>
      </c>
      <c r="E705" s="97" t="n">
        <v>72</v>
      </c>
      <c r="F705" s="97" t="inlineStr">
        <is>
          <t>Kurang</t>
        </is>
      </c>
      <c r="G705" s="97" t="inlineStr">
        <is>
          <t>Pendek</t>
        </is>
      </c>
      <c r="H705" s="97" t="inlineStr">
        <is>
          <t>Gizi Kurang</t>
        </is>
      </c>
      <c r="I705" s="98" t="inlineStr">
        <is>
          <t>Ya</t>
        </is>
      </c>
      <c r="J705" s="98">
        <f>IF(G705="Normal","Tidak",IF(G705="Pendek","Potensi Stunting",IF(G705="Sangat Pendek","Stunting","")))</f>
        <v/>
      </c>
    </row>
    <row r="706" ht="15.75" customHeight="1" s="95">
      <c r="A706" s="97" t="inlineStr">
        <is>
          <t>anonymus0705</t>
        </is>
      </c>
      <c r="B706" s="97" t="inlineStr">
        <is>
          <t xml:space="preserve">P </t>
        </is>
      </c>
      <c r="C706" s="97" t="inlineStr">
        <is>
          <t>1-34 Bulan</t>
        </is>
      </c>
      <c r="D706" s="97" t="inlineStr">
        <is>
          <t>9.8</t>
        </is>
      </c>
      <c r="E706" s="97" t="n">
        <v>77</v>
      </c>
      <c r="F706" s="97" t="inlineStr">
        <is>
          <t>Berat Badan Normal</t>
        </is>
      </c>
      <c r="G706" s="97" t="inlineStr">
        <is>
          <t>Normal</t>
        </is>
      </c>
      <c r="H706" s="97" t="inlineStr">
        <is>
          <t>Gizi Baik</t>
        </is>
      </c>
      <c r="I706" s="98" t="inlineStr">
        <is>
          <t>Ya</t>
        </is>
      </c>
      <c r="J706" s="98">
        <f>IF(G706="Normal","Tidak",IF(G706="Pendek","Potensi Stunting",IF(G706="Sangat Pendek","Stunting","")))</f>
        <v/>
      </c>
    </row>
    <row r="707" ht="15.75" customHeight="1" s="95">
      <c r="A707" s="97" t="inlineStr">
        <is>
          <t>anonymus0706</t>
        </is>
      </c>
      <c r="B707" s="97" t="inlineStr">
        <is>
          <t>P</t>
        </is>
      </c>
      <c r="C707" s="97" t="inlineStr">
        <is>
          <t>35-69 Bulan</t>
        </is>
      </c>
      <c r="D707" s="97" t="n">
        <v>12</v>
      </c>
      <c r="E707" s="97" t="n">
        <v>97</v>
      </c>
      <c r="F707" s="97" t="inlineStr">
        <is>
          <t>Normal</t>
        </is>
      </c>
      <c r="G707" s="97" t="inlineStr">
        <is>
          <t>Normal</t>
        </is>
      </c>
      <c r="H707" s="97" t="inlineStr">
        <is>
          <t>Gizi Kurang</t>
        </is>
      </c>
      <c r="I707" s="98" t="inlineStr">
        <is>
          <t>Ya</t>
        </is>
      </c>
      <c r="J707" s="98">
        <f>IF(G707="Normal","Tidak",IF(G707="Pendek","Potensi Stunting",IF(G707="Sangat Pendek","Stunting","")))</f>
        <v/>
      </c>
    </row>
    <row r="708" ht="15.75" customHeight="1" s="95">
      <c r="A708" s="97" t="inlineStr">
        <is>
          <t>anonymus0707</t>
        </is>
      </c>
      <c r="B708" s="97" t="inlineStr">
        <is>
          <t>L</t>
        </is>
      </c>
      <c r="C708" s="97" t="inlineStr">
        <is>
          <t>35-69 Bulan</t>
        </is>
      </c>
      <c r="D708" s="97" t="n">
        <v>17</v>
      </c>
      <c r="E708" s="97" t="n">
        <v>99</v>
      </c>
      <c r="F708" s="97" t="inlineStr">
        <is>
          <t>Berat Badan Normal</t>
        </is>
      </c>
      <c r="G708" s="97" t="inlineStr">
        <is>
          <t>Normal</t>
        </is>
      </c>
      <c r="H708" s="97" t="inlineStr">
        <is>
          <t>Gizi Baik</t>
        </is>
      </c>
      <c r="I708" s="98" t="inlineStr">
        <is>
          <t>Ya</t>
        </is>
      </c>
      <c r="J708" s="98">
        <f>IF(G708="Normal","Tidak",IF(G708="Pendek","Potensi Stunting",IF(G708="Sangat Pendek","Stunting","")))</f>
        <v/>
      </c>
    </row>
    <row r="709" ht="15.75" customHeight="1" s="95">
      <c r="A709" s="97" t="inlineStr">
        <is>
          <t>anonymus0708</t>
        </is>
      </c>
      <c r="B709" s="97" t="inlineStr">
        <is>
          <t>L</t>
        </is>
      </c>
      <c r="C709" s="97" t="inlineStr">
        <is>
          <t>35-69 Bulan</t>
        </is>
      </c>
      <c r="D709" s="97" t="n">
        <v>11.7</v>
      </c>
      <c r="E709" s="97" t="n">
        <v>93</v>
      </c>
      <c r="F709" s="97" t="inlineStr">
        <is>
          <t>Kurang</t>
        </is>
      </c>
      <c r="G709" s="97" t="inlineStr">
        <is>
          <t>Pendek</t>
        </is>
      </c>
      <c r="H709" s="97" t="inlineStr">
        <is>
          <t>Gizi Baik</t>
        </is>
      </c>
      <c r="I709" s="98" t="inlineStr">
        <is>
          <t>Ya</t>
        </is>
      </c>
      <c r="J709" s="98">
        <f>IF(G709="Normal","Tidak",IF(G709="Pendek","Potensi Stunting",IF(G709="Sangat Pendek","Stunting","")))</f>
        <v/>
      </c>
    </row>
    <row r="710" ht="15.75" customHeight="1" s="95">
      <c r="A710" s="97" t="inlineStr">
        <is>
          <t>anonymus0709</t>
        </is>
      </c>
      <c r="B710" s="97" t="inlineStr">
        <is>
          <t>L</t>
        </is>
      </c>
      <c r="C710" s="97" t="inlineStr">
        <is>
          <t>1-34 Bulan</t>
        </is>
      </c>
      <c r="D710" s="97" t="n">
        <v>7</v>
      </c>
      <c r="E710" s="97" t="n">
        <v>83</v>
      </c>
      <c r="F710" s="97" t="inlineStr">
        <is>
          <t>Kurang</t>
        </is>
      </c>
      <c r="G710" s="97" t="inlineStr">
        <is>
          <t>Normal</t>
        </is>
      </c>
      <c r="H710" s="97" t="inlineStr">
        <is>
          <t>Gizi Kurang</t>
        </is>
      </c>
      <c r="I710" s="98" t="inlineStr">
        <is>
          <t>Ya</t>
        </is>
      </c>
      <c r="J710" s="98">
        <f>IF(G710="Normal","Tidak",IF(G710="Pendek","Potensi Stunting",IF(G710="Sangat Pendek","Stunting","")))</f>
        <v/>
      </c>
    </row>
    <row r="711" ht="15.75" customHeight="1" s="95">
      <c r="A711" s="97" t="inlineStr">
        <is>
          <t>anonymus0710</t>
        </is>
      </c>
      <c r="B711" s="97" t="inlineStr">
        <is>
          <t xml:space="preserve">L </t>
        </is>
      </c>
      <c r="C711" s="97" t="inlineStr">
        <is>
          <t>1-34 Bulan</t>
        </is>
      </c>
      <c r="D711" s="97" t="inlineStr">
        <is>
          <t>9.4</t>
        </is>
      </c>
      <c r="E711" s="97" t="n">
        <v>72</v>
      </c>
      <c r="F711" s="97" t="inlineStr">
        <is>
          <t>Berat Badan Normal</t>
        </is>
      </c>
      <c r="G711" s="97" t="inlineStr">
        <is>
          <t>Normal</t>
        </is>
      </c>
      <c r="H711" s="97" t="inlineStr">
        <is>
          <t>Gizi Baik</t>
        </is>
      </c>
      <c r="I711" s="98" t="inlineStr">
        <is>
          <t>Ya</t>
        </is>
      </c>
      <c r="J711" s="98">
        <f>IF(G711="Normal","Tidak",IF(G711="Pendek","Potensi Stunting",IF(G711="Sangat Pendek","Stunting","")))</f>
        <v/>
      </c>
    </row>
    <row r="712" ht="15.75" customHeight="1" s="95">
      <c r="A712" s="97" t="inlineStr">
        <is>
          <t>anonymus0711</t>
        </is>
      </c>
      <c r="B712" s="97" t="inlineStr">
        <is>
          <t>P</t>
        </is>
      </c>
      <c r="C712" s="97" t="inlineStr">
        <is>
          <t>35-69 Bulan</t>
        </is>
      </c>
      <c r="D712" s="97" t="n">
        <v>10.2</v>
      </c>
      <c r="E712" s="97" t="n">
        <v>91</v>
      </c>
      <c r="F712" s="97" t="inlineStr">
        <is>
          <t>Berat Badan Normal</t>
        </is>
      </c>
      <c r="G712" s="97" t="inlineStr">
        <is>
          <t>Normal</t>
        </is>
      </c>
      <c r="H712" s="97" t="inlineStr">
        <is>
          <t>Gizi Baik</t>
        </is>
      </c>
      <c r="I712" s="98" t="inlineStr">
        <is>
          <t>Ya</t>
        </is>
      </c>
      <c r="J712" s="98">
        <f>IF(G712="Normal","Tidak",IF(G712="Pendek","Potensi Stunting",IF(G712="Sangat Pendek","Stunting","")))</f>
        <v/>
      </c>
    </row>
    <row r="713" ht="15.75" customHeight="1" s="95">
      <c r="A713" s="97" t="inlineStr">
        <is>
          <t>anonymus0712</t>
        </is>
      </c>
      <c r="B713" s="97" t="inlineStr">
        <is>
          <t>L</t>
        </is>
      </c>
      <c r="C713" s="97" t="inlineStr">
        <is>
          <t>1-34 Bulan</t>
        </is>
      </c>
      <c r="D713" s="97" t="n">
        <v>14</v>
      </c>
      <c r="E713" s="97" t="n">
        <v>75</v>
      </c>
      <c r="F713" s="97" t="inlineStr">
        <is>
          <t>Berat Badan Normal</t>
        </is>
      </c>
      <c r="G713" s="97" t="inlineStr">
        <is>
          <t>Normal</t>
        </is>
      </c>
      <c r="H713" s="97" t="inlineStr">
        <is>
          <t>Gizi Baik</t>
        </is>
      </c>
      <c r="I713" s="98" t="inlineStr">
        <is>
          <t>Ya</t>
        </is>
      </c>
      <c r="J713" s="98">
        <f>IF(G713="Normal","Tidak",IF(G713="Pendek","Potensi Stunting",IF(G713="Sangat Pendek","Stunting","")))</f>
        <v/>
      </c>
    </row>
    <row r="714" ht="15.75" customHeight="1" s="95">
      <c r="A714" s="97" t="inlineStr">
        <is>
          <t>anonymus0713</t>
        </is>
      </c>
      <c r="B714" s="97" t="inlineStr">
        <is>
          <t>P</t>
        </is>
      </c>
      <c r="C714" s="97" t="inlineStr">
        <is>
          <t>35-69 Bulan</t>
        </is>
      </c>
      <c r="D714" s="97" t="n">
        <v>11</v>
      </c>
      <c r="E714" s="97" t="n">
        <v>93</v>
      </c>
      <c r="F714" s="97" t="inlineStr">
        <is>
          <t>Sangat Kurang</t>
        </is>
      </c>
      <c r="G714" s="97" t="inlineStr">
        <is>
          <t>Pendek</t>
        </is>
      </c>
      <c r="H714" s="97" t="inlineStr">
        <is>
          <t>Gizi Kurang</t>
        </is>
      </c>
      <c r="I714" s="98" t="inlineStr">
        <is>
          <t>Ya</t>
        </is>
      </c>
      <c r="J714" s="98">
        <f>IF(G714="Normal","Tidak",IF(G714="Pendek","Potensi Stunting",IF(G714="Sangat Pendek","Stunting","")))</f>
        <v/>
      </c>
    </row>
    <row r="715" ht="15.75" customHeight="1" s="95">
      <c r="A715" s="97" t="inlineStr">
        <is>
          <t>anonymus0714</t>
        </is>
      </c>
      <c r="B715" s="97" t="inlineStr">
        <is>
          <t xml:space="preserve">P </t>
        </is>
      </c>
      <c r="C715" s="97" t="inlineStr">
        <is>
          <t>35-69 Bulan</t>
        </is>
      </c>
      <c r="D715" s="97" t="inlineStr">
        <is>
          <t>17.1</t>
        </is>
      </c>
      <c r="E715" s="97" t="n">
        <v>104</v>
      </c>
      <c r="F715" s="97" t="inlineStr">
        <is>
          <t>Berat Badan Normal</t>
        </is>
      </c>
      <c r="G715" s="97" t="inlineStr">
        <is>
          <t>Normal</t>
        </is>
      </c>
      <c r="H715" s="97" t="inlineStr">
        <is>
          <t>Gizi Baik</t>
        </is>
      </c>
      <c r="I715" s="98" t="inlineStr">
        <is>
          <t>Ya</t>
        </is>
      </c>
      <c r="J715" s="98">
        <f>IF(G715="Normal","Tidak",IF(G715="Pendek","Potensi Stunting",IF(G715="Sangat Pendek","Stunting","")))</f>
        <v/>
      </c>
    </row>
    <row r="716" ht="15.75" customHeight="1" s="95">
      <c r="A716" s="97" t="inlineStr">
        <is>
          <t>anonymus0715</t>
        </is>
      </c>
      <c r="B716" s="97" t="inlineStr">
        <is>
          <t>P</t>
        </is>
      </c>
      <c r="C716" s="97" t="inlineStr">
        <is>
          <t>1-34 Bulan</t>
        </is>
      </c>
      <c r="D716" s="97" t="n">
        <v>11.6</v>
      </c>
      <c r="E716" s="97" t="n">
        <v>94</v>
      </c>
      <c r="F716" s="97" t="inlineStr">
        <is>
          <t>Berat Badan Normal</t>
        </is>
      </c>
      <c r="G716" s="97" t="inlineStr">
        <is>
          <t>Normal</t>
        </is>
      </c>
      <c r="H716" s="97" t="inlineStr">
        <is>
          <t>Gizi Baik</t>
        </is>
      </c>
      <c r="I716" s="98" t="inlineStr">
        <is>
          <t>Ya</t>
        </is>
      </c>
      <c r="J716" s="98">
        <f>IF(G716="Normal","Tidak",IF(G716="Pendek","Potensi Stunting",IF(G716="Sangat Pendek","Stunting","")))</f>
        <v/>
      </c>
    </row>
    <row r="717" ht="15.75" customHeight="1" s="95">
      <c r="A717" s="97" t="inlineStr">
        <is>
          <t>anonymus0716</t>
        </is>
      </c>
      <c r="B717" s="97" t="inlineStr">
        <is>
          <t>P</t>
        </is>
      </c>
      <c r="C717" s="97" t="inlineStr">
        <is>
          <t>1-34 Bulan</t>
        </is>
      </c>
      <c r="D717" s="97" t="n">
        <v>5.9</v>
      </c>
      <c r="E717" s="97" t="n">
        <v>67</v>
      </c>
      <c r="F717" s="97" t="inlineStr">
        <is>
          <t>Normal</t>
        </is>
      </c>
      <c r="G717" s="97" t="inlineStr">
        <is>
          <t>Normal</t>
        </is>
      </c>
      <c r="H717" s="97" t="inlineStr">
        <is>
          <t>Gizi Kurang</t>
        </is>
      </c>
      <c r="I717" s="98" t="inlineStr">
        <is>
          <t>Ya</t>
        </is>
      </c>
      <c r="J717" s="98">
        <f>IF(G717="Normal","Tidak",IF(G717="Pendek","Potensi Stunting",IF(G717="Sangat Pendek","Stunting","")))</f>
        <v/>
      </c>
    </row>
    <row r="718" ht="15.75" customHeight="1" s="95">
      <c r="A718" s="97" t="inlineStr">
        <is>
          <t>anonymus0717</t>
        </is>
      </c>
      <c r="B718" s="97" t="inlineStr">
        <is>
          <t>L</t>
        </is>
      </c>
      <c r="C718" s="97" t="inlineStr">
        <is>
          <t>35-69 Bulan</t>
        </is>
      </c>
      <c r="D718" s="97" t="n">
        <v>15.2</v>
      </c>
      <c r="E718" s="97" t="n">
        <v>98</v>
      </c>
      <c r="F718" s="97" t="inlineStr">
        <is>
          <t>Berat Badan Normal</t>
        </is>
      </c>
      <c r="G718" s="97" t="inlineStr">
        <is>
          <t>Normal</t>
        </is>
      </c>
      <c r="H718" s="97" t="inlineStr">
        <is>
          <t>Gizi Baik</t>
        </is>
      </c>
      <c r="I718" s="98" t="inlineStr">
        <is>
          <t>Ya</t>
        </is>
      </c>
      <c r="J718" s="98">
        <f>IF(G718="Normal","Tidak",IF(G718="Pendek","Potensi Stunting",IF(G718="Sangat Pendek","Stunting","")))</f>
        <v/>
      </c>
    </row>
    <row r="719" ht="15.75" customHeight="1" s="95">
      <c r="A719" s="97" t="inlineStr">
        <is>
          <t>anonymus0718</t>
        </is>
      </c>
      <c r="B719" s="97" t="inlineStr">
        <is>
          <t>P</t>
        </is>
      </c>
      <c r="C719" s="97" t="inlineStr">
        <is>
          <t>1-34 Bulan</t>
        </is>
      </c>
      <c r="D719" s="97" t="n">
        <v>7.7</v>
      </c>
      <c r="E719" s="97" t="n">
        <v>91</v>
      </c>
      <c r="F719" s="97" t="inlineStr">
        <is>
          <t>Kurang</t>
        </is>
      </c>
      <c r="G719" s="97" t="inlineStr">
        <is>
          <t>Normal</t>
        </is>
      </c>
      <c r="H719" s="97" t="inlineStr">
        <is>
          <t>Gizi Kurang</t>
        </is>
      </c>
      <c r="I719" s="98" t="inlineStr">
        <is>
          <t>Ya</t>
        </is>
      </c>
      <c r="J719" s="98">
        <f>IF(G719="Normal","Tidak",IF(G719="Pendek","Potensi Stunting",IF(G719="Sangat Pendek","Stunting","")))</f>
        <v/>
      </c>
    </row>
    <row r="720" ht="15.75" customHeight="1" s="95">
      <c r="A720" s="97" t="inlineStr">
        <is>
          <t>anonymus0719</t>
        </is>
      </c>
      <c r="B720" s="97" t="inlineStr">
        <is>
          <t xml:space="preserve">L </t>
        </is>
      </c>
      <c r="C720" s="97" t="inlineStr">
        <is>
          <t>1-34 Bulan</t>
        </is>
      </c>
      <c r="D720" s="97" t="n">
        <v>6</v>
      </c>
      <c r="E720" s="97" t="n">
        <v>60</v>
      </c>
      <c r="F720" s="97" t="inlineStr">
        <is>
          <t>Risiko Lebih</t>
        </is>
      </c>
      <c r="G720" s="97" t="inlineStr">
        <is>
          <t>Normal</t>
        </is>
      </c>
      <c r="H720" s="97" t="inlineStr">
        <is>
          <t>Gizi Baik</t>
        </is>
      </c>
      <c r="I720" s="98" t="inlineStr">
        <is>
          <t>Ya</t>
        </is>
      </c>
      <c r="J720" s="98">
        <f>IF(G720="Normal","Tidak",IF(G720="Pendek","Potensi Stunting",IF(G720="Sangat Pendek","Stunting","")))</f>
        <v/>
      </c>
    </row>
    <row r="721" ht="15.75" customHeight="1" s="95">
      <c r="A721" s="97" t="inlineStr">
        <is>
          <t>anonymus0720</t>
        </is>
      </c>
      <c r="B721" s="97" t="inlineStr">
        <is>
          <t>L</t>
        </is>
      </c>
      <c r="C721" s="97" t="inlineStr">
        <is>
          <t>35-69 Bulan</t>
        </is>
      </c>
      <c r="D721" s="97" t="n">
        <v>13.5</v>
      </c>
      <c r="E721" s="97" t="n">
        <v>96</v>
      </c>
      <c r="F721" s="97" t="inlineStr">
        <is>
          <t>Kurang</t>
        </is>
      </c>
      <c r="G721" s="97" t="inlineStr">
        <is>
          <t>Pendek</t>
        </is>
      </c>
      <c r="H721" s="97" t="inlineStr">
        <is>
          <t>Gizi Baik</t>
        </is>
      </c>
      <c r="I721" s="98" t="inlineStr">
        <is>
          <t>Ya</t>
        </is>
      </c>
      <c r="J721" s="98">
        <f>IF(G721="Normal","Tidak",IF(G721="Pendek","Potensi Stunting",IF(G721="Sangat Pendek","Stunting","")))</f>
        <v/>
      </c>
    </row>
    <row r="722" ht="15.75" customHeight="1" s="95">
      <c r="A722" s="97" t="inlineStr">
        <is>
          <t>anonymus0721</t>
        </is>
      </c>
      <c r="B722" s="97" t="inlineStr">
        <is>
          <t>P</t>
        </is>
      </c>
      <c r="C722" s="97" t="inlineStr">
        <is>
          <t>1-34 Bulan</t>
        </is>
      </c>
      <c r="D722" s="97" t="n">
        <v>12.3</v>
      </c>
      <c r="E722" s="97" t="n">
        <v>86</v>
      </c>
      <c r="F722" s="97" t="inlineStr">
        <is>
          <t>Berat Badan Normal</t>
        </is>
      </c>
      <c r="G722" s="97" t="inlineStr">
        <is>
          <t>Normal</t>
        </is>
      </c>
      <c r="H722" s="97" t="inlineStr">
        <is>
          <t>Gizi Baik</t>
        </is>
      </c>
      <c r="I722" s="98" t="inlineStr">
        <is>
          <t>Ya</t>
        </is>
      </c>
      <c r="J722" s="98">
        <f>IF(G722="Normal","Tidak",IF(G722="Pendek","Potensi Stunting",IF(G722="Sangat Pendek","Stunting","")))</f>
        <v/>
      </c>
    </row>
    <row r="723" ht="15.75" customHeight="1" s="95">
      <c r="A723" s="97" t="inlineStr">
        <is>
          <t>anonymus0722</t>
        </is>
      </c>
      <c r="B723" s="97" t="inlineStr">
        <is>
          <t>L</t>
        </is>
      </c>
      <c r="C723" s="97" t="inlineStr">
        <is>
          <t>1-34 Bulan</t>
        </is>
      </c>
      <c r="D723" s="97" t="n">
        <v>14.7</v>
      </c>
      <c r="E723" s="97" t="n">
        <v>88</v>
      </c>
      <c r="F723" s="97" t="inlineStr">
        <is>
          <t>Berat Badan Normal</t>
        </is>
      </c>
      <c r="G723" s="97" t="inlineStr">
        <is>
          <t>Normal</t>
        </is>
      </c>
      <c r="H723" s="97" t="inlineStr">
        <is>
          <t>Gizi Baik</t>
        </is>
      </c>
      <c r="I723" s="98" t="inlineStr">
        <is>
          <t>Ya</t>
        </is>
      </c>
      <c r="J723" s="98">
        <f>IF(G723="Normal","Tidak",IF(G723="Pendek","Potensi Stunting",IF(G723="Sangat Pendek","Stunting","")))</f>
        <v/>
      </c>
    </row>
    <row r="724" ht="15.75" customHeight="1" s="95">
      <c r="A724" s="97" t="inlineStr">
        <is>
          <t>anonymus0723</t>
        </is>
      </c>
      <c r="B724" s="97" t="inlineStr">
        <is>
          <t xml:space="preserve">L </t>
        </is>
      </c>
      <c r="C724" s="97" t="inlineStr">
        <is>
          <t>1-34 Bulan</t>
        </is>
      </c>
      <c r="D724" s="97" t="inlineStr">
        <is>
          <t>7.6</t>
        </is>
      </c>
      <c r="E724" s="97" t="n">
        <v>71</v>
      </c>
      <c r="F724" s="97" t="inlineStr">
        <is>
          <t>Berat Badan Normal</t>
        </is>
      </c>
      <c r="G724" s="97" t="inlineStr">
        <is>
          <t>Normal</t>
        </is>
      </c>
      <c r="H724" s="97" t="inlineStr">
        <is>
          <t>Gizi Baik</t>
        </is>
      </c>
      <c r="I724" s="98" t="inlineStr">
        <is>
          <t>Ya</t>
        </is>
      </c>
      <c r="J724" s="98">
        <f>IF(G724="Normal","Tidak",IF(G724="Pendek","Potensi Stunting",IF(G724="Sangat Pendek","Stunting","")))</f>
        <v/>
      </c>
    </row>
    <row r="725" ht="15.75" customHeight="1" s="95">
      <c r="A725" s="97" t="inlineStr">
        <is>
          <t>anonymus0724</t>
        </is>
      </c>
      <c r="B725" s="97" t="inlineStr">
        <is>
          <t>L</t>
        </is>
      </c>
      <c r="C725" s="97" t="inlineStr">
        <is>
          <t>1-34 Bulan</t>
        </is>
      </c>
      <c r="D725" s="97" t="n">
        <v>10.3</v>
      </c>
      <c r="E725" s="97" t="n">
        <v>74</v>
      </c>
      <c r="F725" s="97" t="inlineStr">
        <is>
          <t>Berat Badan Normal</t>
        </is>
      </c>
      <c r="G725" s="97" t="inlineStr">
        <is>
          <t>Normal</t>
        </is>
      </c>
      <c r="H725" s="97" t="inlineStr">
        <is>
          <t>Gizi Baik</t>
        </is>
      </c>
      <c r="I725" s="98" t="inlineStr">
        <is>
          <t>Ya</t>
        </is>
      </c>
      <c r="J725" s="98">
        <f>IF(G725="Normal","Tidak",IF(G725="Pendek","Potensi Stunting",IF(G725="Sangat Pendek","Stunting","")))</f>
        <v/>
      </c>
    </row>
    <row r="726" ht="15.75" customHeight="1" s="95">
      <c r="A726" s="97" t="inlineStr">
        <is>
          <t>anonymus0725</t>
        </is>
      </c>
      <c r="B726" s="97" t="inlineStr">
        <is>
          <t>P</t>
        </is>
      </c>
      <c r="C726" s="97" t="inlineStr">
        <is>
          <t>35-69 Bulan</t>
        </is>
      </c>
      <c r="D726" s="97" t="n">
        <v>19.9</v>
      </c>
      <c r="E726" s="97" t="n">
        <v>99</v>
      </c>
      <c r="F726" s="97" t="inlineStr">
        <is>
          <t>Risiko Lebih</t>
        </is>
      </c>
      <c r="G726" s="97" t="inlineStr">
        <is>
          <t>Normal</t>
        </is>
      </c>
      <c r="H726" s="97" t="inlineStr">
        <is>
          <t>Gizi Lebih</t>
        </is>
      </c>
      <c r="I726" s="98" t="inlineStr">
        <is>
          <t>Ya</t>
        </is>
      </c>
      <c r="J726" s="98">
        <f>IF(G726="Normal","Tidak",IF(G726="Pendek","Potensi Stunting",IF(G726="Sangat Pendek","Stunting","")))</f>
        <v/>
      </c>
    </row>
    <row r="727" ht="15.75" customHeight="1" s="95">
      <c r="A727" s="97" t="inlineStr">
        <is>
          <t>anonymus0726</t>
        </is>
      </c>
      <c r="B727" s="97" t="inlineStr">
        <is>
          <t xml:space="preserve">P </t>
        </is>
      </c>
      <c r="C727" s="97" t="inlineStr">
        <is>
          <t>1-34 Bulan</t>
        </is>
      </c>
      <c r="D727" s="97" t="inlineStr">
        <is>
          <t>11.7</t>
        </is>
      </c>
      <c r="E727" s="97" t="n">
        <v>86</v>
      </c>
      <c r="F727" s="97" t="inlineStr">
        <is>
          <t>Berat Badan Normal</t>
        </is>
      </c>
      <c r="G727" s="97" t="inlineStr">
        <is>
          <t>Normal</t>
        </is>
      </c>
      <c r="H727" s="97" t="inlineStr">
        <is>
          <t>Gizi Baik</t>
        </is>
      </c>
      <c r="I727" s="98" t="inlineStr">
        <is>
          <t>Ya</t>
        </is>
      </c>
      <c r="J727" s="98">
        <f>IF(G727="Normal","Tidak",IF(G727="Pendek","Potensi Stunting",IF(G727="Sangat Pendek","Stunting","")))</f>
        <v/>
      </c>
    </row>
    <row r="728" ht="15.75" customHeight="1" s="95">
      <c r="A728" s="97" t="inlineStr">
        <is>
          <t>anonymus0727</t>
        </is>
      </c>
      <c r="B728" s="97" t="inlineStr">
        <is>
          <t>P</t>
        </is>
      </c>
      <c r="C728" s="97" t="inlineStr">
        <is>
          <t>1-34 Bulan</t>
        </is>
      </c>
      <c r="D728" s="97" t="n">
        <v>12.9</v>
      </c>
      <c r="E728" s="97" t="n">
        <v>90</v>
      </c>
      <c r="F728" s="97" t="inlineStr">
        <is>
          <t>Berat Badan Normal</t>
        </is>
      </c>
      <c r="G728" s="97" t="inlineStr">
        <is>
          <t>Normal</t>
        </is>
      </c>
      <c r="H728" s="97" t="inlineStr">
        <is>
          <t>Gizi Baik</t>
        </is>
      </c>
      <c r="I728" s="98" t="inlineStr">
        <is>
          <t>Ya</t>
        </is>
      </c>
      <c r="J728" s="98">
        <f>IF(G728="Normal","Tidak",IF(G728="Pendek","Potensi Stunting",IF(G728="Sangat Pendek","Stunting","")))</f>
        <v/>
      </c>
    </row>
    <row r="729" ht="15.75" customHeight="1" s="95">
      <c r="A729" s="97" t="inlineStr">
        <is>
          <t>anonymus0728</t>
        </is>
      </c>
      <c r="B729" s="97" t="inlineStr">
        <is>
          <t>L</t>
        </is>
      </c>
      <c r="C729" s="97" t="inlineStr">
        <is>
          <t>1-34 Bulan</t>
        </is>
      </c>
      <c r="D729" s="97" t="n">
        <v>3</v>
      </c>
      <c r="E729" s="97" t="n">
        <v>50</v>
      </c>
      <c r="F729" s="97" t="inlineStr">
        <is>
          <t>Kurang</t>
        </is>
      </c>
      <c r="G729" s="97" t="inlineStr">
        <is>
          <t>Pendek</t>
        </is>
      </c>
      <c r="H729" s="97" t="inlineStr">
        <is>
          <t>Gizi Baik</t>
        </is>
      </c>
      <c r="I729" s="98" t="inlineStr">
        <is>
          <t>Ya</t>
        </is>
      </c>
      <c r="J729" s="98">
        <f>IF(G729="Normal","Tidak",IF(G729="Pendek","Potensi Stunting",IF(G729="Sangat Pendek","Stunting","")))</f>
        <v/>
      </c>
    </row>
    <row r="730" ht="15.75" customHeight="1" s="95">
      <c r="A730" s="97" t="inlineStr">
        <is>
          <t>anonymus0729</t>
        </is>
      </c>
      <c r="B730" s="97" t="inlineStr">
        <is>
          <t>P</t>
        </is>
      </c>
      <c r="C730" s="97" t="inlineStr">
        <is>
          <t>35-69 Bulan</t>
        </is>
      </c>
      <c r="D730" s="97" t="n">
        <v>11</v>
      </c>
      <c r="E730" s="97" t="n">
        <v>85</v>
      </c>
      <c r="F730" s="97" t="inlineStr">
        <is>
          <t>Normal</t>
        </is>
      </c>
      <c r="G730" s="97" t="inlineStr">
        <is>
          <t>Pendek</t>
        </is>
      </c>
      <c r="H730" s="97" t="inlineStr">
        <is>
          <t>Gizi Baik</t>
        </is>
      </c>
      <c r="I730" s="98" t="inlineStr">
        <is>
          <t>Ya</t>
        </is>
      </c>
      <c r="J730" s="98">
        <f>IF(G730="Normal","Tidak",IF(G730="Pendek","Potensi Stunting",IF(G730="Sangat Pendek","Stunting","")))</f>
        <v/>
      </c>
    </row>
    <row r="731" ht="15.75" customHeight="1" s="95">
      <c r="A731" s="97" t="inlineStr">
        <is>
          <t>anonymus0730</t>
        </is>
      </c>
      <c r="B731" s="97" t="inlineStr">
        <is>
          <t xml:space="preserve">L </t>
        </is>
      </c>
      <c r="C731" s="97" t="inlineStr">
        <is>
          <t>1-34 Bulan</t>
        </is>
      </c>
      <c r="D731" s="97" t="n">
        <v>10</v>
      </c>
      <c r="E731" s="97" t="n">
        <v>76</v>
      </c>
      <c r="F731" s="97" t="inlineStr">
        <is>
          <t>Berat Badan Normal</t>
        </is>
      </c>
      <c r="G731" s="97" t="inlineStr">
        <is>
          <t>Pendek</t>
        </is>
      </c>
      <c r="H731" s="97" t="inlineStr">
        <is>
          <t>Gizi Baik</t>
        </is>
      </c>
      <c r="I731" s="98" t="inlineStr">
        <is>
          <t>Ya</t>
        </is>
      </c>
      <c r="J731" s="98">
        <f>IF(G731="Normal","Tidak",IF(G731="Pendek","Potensi Stunting",IF(G731="Sangat Pendek","Stunting","")))</f>
        <v/>
      </c>
    </row>
    <row r="732" ht="15.75" customHeight="1" s="95">
      <c r="A732" s="97" t="inlineStr">
        <is>
          <t>anonymus0731</t>
        </is>
      </c>
      <c r="B732" s="97" t="inlineStr">
        <is>
          <t>L</t>
        </is>
      </c>
      <c r="C732" s="97" t="inlineStr">
        <is>
          <t>35-69 Bulan</t>
        </is>
      </c>
      <c r="D732" s="97" t="n">
        <v>12</v>
      </c>
      <c r="E732" s="97" t="n">
        <v>95</v>
      </c>
      <c r="F732" s="97" t="inlineStr">
        <is>
          <t>Kurang</t>
        </is>
      </c>
      <c r="G732" s="97" t="inlineStr">
        <is>
          <t>Normal</t>
        </is>
      </c>
      <c r="H732" s="97" t="inlineStr">
        <is>
          <t>Gizi Kurang</t>
        </is>
      </c>
      <c r="I732" s="98" t="inlineStr">
        <is>
          <t>Ya</t>
        </is>
      </c>
      <c r="J732" s="98">
        <f>IF(G732="Normal","Tidak",IF(G732="Pendek","Potensi Stunting",IF(G732="Sangat Pendek","Stunting","")))</f>
        <v/>
      </c>
    </row>
    <row r="733" ht="15.75" customHeight="1" s="95">
      <c r="A733" s="99" t="inlineStr">
        <is>
          <t>anonymus0732</t>
        </is>
      </c>
      <c r="B733" s="97" t="inlineStr">
        <is>
          <t>P</t>
        </is>
      </c>
      <c r="C733" s="97" t="n">
        <v>78</v>
      </c>
      <c r="D733" s="97" t="n">
        <v>12</v>
      </c>
      <c r="E733" s="97" t="n">
        <v>86</v>
      </c>
      <c r="F733" s="97" t="inlineStr">
        <is>
          <t>Normal</t>
        </is>
      </c>
      <c r="G733" s="97" t="inlineStr">
        <is>
          <t>Sangat Pendek</t>
        </is>
      </c>
      <c r="H733" s="97" t="inlineStr">
        <is>
          <t>Gizi Baik</t>
        </is>
      </c>
      <c r="I733" s="98" t="inlineStr">
        <is>
          <t>Ya</t>
        </is>
      </c>
      <c r="J733" s="98">
        <f>IF(G733="Normal","Tidak",IF(G733="Pendek","Potensi Stunting",IF(G733="Sangat Pendek","Stunting","")))</f>
        <v/>
      </c>
    </row>
    <row r="734" ht="15.75" customHeight="1" s="95">
      <c r="A734" s="97" t="inlineStr">
        <is>
          <t>anonymus0733</t>
        </is>
      </c>
      <c r="B734" s="97" t="inlineStr">
        <is>
          <t>L</t>
        </is>
      </c>
      <c r="C734" s="97" t="inlineStr">
        <is>
          <t>1-34 Bulan</t>
        </is>
      </c>
      <c r="D734" s="97" t="n">
        <v>10.7</v>
      </c>
      <c r="E734" s="97" t="n">
        <v>73</v>
      </c>
      <c r="F734" s="97" t="inlineStr">
        <is>
          <t>Berat Badan Normal</t>
        </is>
      </c>
      <c r="G734" s="97" t="inlineStr">
        <is>
          <t>Normal</t>
        </is>
      </c>
      <c r="H734" s="97" t="inlineStr">
        <is>
          <t>Gizi Baik</t>
        </is>
      </c>
      <c r="I734" s="98" t="inlineStr">
        <is>
          <t>Ya</t>
        </is>
      </c>
      <c r="J734" s="98">
        <f>IF(G734="Normal","Tidak",IF(G734="Pendek","Potensi Stunting",IF(G734="Sangat Pendek","Stunting","")))</f>
        <v/>
      </c>
    </row>
    <row r="735" ht="15.75" customHeight="1" s="95">
      <c r="A735" s="97" t="inlineStr">
        <is>
          <t>anonymus0734</t>
        </is>
      </c>
      <c r="B735" s="97" t="inlineStr">
        <is>
          <t>P</t>
        </is>
      </c>
      <c r="C735" s="97" t="inlineStr">
        <is>
          <t>35-69 Bulan</t>
        </is>
      </c>
      <c r="D735" s="97" t="n">
        <v>12.2</v>
      </c>
      <c r="E735" s="97" t="n">
        <v>99</v>
      </c>
      <c r="F735" s="97" t="inlineStr">
        <is>
          <t>Normal</t>
        </is>
      </c>
      <c r="G735" s="97" t="inlineStr">
        <is>
          <t>Normal</t>
        </is>
      </c>
      <c r="H735" s="97" t="inlineStr">
        <is>
          <t>Gizi Kurang</t>
        </is>
      </c>
      <c r="I735" s="98" t="inlineStr">
        <is>
          <t>Ya</t>
        </is>
      </c>
      <c r="J735" s="98">
        <f>IF(G735="Normal","Tidak",IF(G735="Pendek","Potensi Stunting",IF(G735="Sangat Pendek","Stunting","")))</f>
        <v/>
      </c>
    </row>
    <row r="736" ht="15.75" customHeight="1" s="95">
      <c r="A736" s="97" t="inlineStr">
        <is>
          <t>anonymus0735</t>
        </is>
      </c>
      <c r="B736" s="97" t="inlineStr">
        <is>
          <t>P</t>
        </is>
      </c>
      <c r="C736" s="97" t="inlineStr">
        <is>
          <t>35-69 Bulan</t>
        </is>
      </c>
      <c r="D736" s="97" t="n">
        <v>11.4</v>
      </c>
      <c r="E736" s="97" t="n">
        <v>106</v>
      </c>
      <c r="F736" s="97" t="inlineStr">
        <is>
          <t>Berat Badan Normal</t>
        </is>
      </c>
      <c r="G736" s="97" t="inlineStr">
        <is>
          <t>Normal</t>
        </is>
      </c>
      <c r="H736" s="97" t="inlineStr">
        <is>
          <t>Gizi Baik</t>
        </is>
      </c>
      <c r="I736" s="98" t="inlineStr">
        <is>
          <t>Ya</t>
        </is>
      </c>
      <c r="J736" s="98">
        <f>IF(G736="Normal","Tidak",IF(G736="Pendek","Potensi Stunting",IF(G736="Sangat Pendek","Stunting","")))</f>
        <v/>
      </c>
    </row>
    <row r="737" ht="15.75" customHeight="1" s="95">
      <c r="A737" s="97" t="inlineStr">
        <is>
          <t>anonymus0736</t>
        </is>
      </c>
      <c r="B737" s="97" t="inlineStr">
        <is>
          <t xml:space="preserve">L </t>
        </is>
      </c>
      <c r="C737" s="97" t="inlineStr">
        <is>
          <t>35-69 Bulan</t>
        </is>
      </c>
      <c r="D737" s="97" t="inlineStr">
        <is>
          <t>15.3</t>
        </is>
      </c>
      <c r="E737" s="97" t="n">
        <v>100</v>
      </c>
      <c r="F737" s="97" t="inlineStr">
        <is>
          <t>Berat Badan Normal</t>
        </is>
      </c>
      <c r="G737" s="97" t="inlineStr">
        <is>
          <t>Normal</t>
        </is>
      </c>
      <c r="H737" s="97" t="inlineStr">
        <is>
          <t>Gizi Baik</t>
        </is>
      </c>
      <c r="I737" s="98" t="inlineStr">
        <is>
          <t>Ya</t>
        </is>
      </c>
      <c r="J737" s="98">
        <f>IF(G737="Normal","Tidak",IF(G737="Pendek","Potensi Stunting",IF(G737="Sangat Pendek","Stunting","")))</f>
        <v/>
      </c>
    </row>
    <row r="738" ht="15.75" customHeight="1" s="95">
      <c r="A738" s="97" t="inlineStr">
        <is>
          <t>anonymus0737</t>
        </is>
      </c>
      <c r="B738" s="97" t="inlineStr">
        <is>
          <t xml:space="preserve">L </t>
        </is>
      </c>
      <c r="C738" s="97" t="inlineStr">
        <is>
          <t>35-69 Bulan</t>
        </is>
      </c>
      <c r="D738" s="97" t="inlineStr">
        <is>
          <t>13.7</t>
        </is>
      </c>
      <c r="E738" s="97" t="n">
        <v>97</v>
      </c>
      <c r="F738" s="97" t="inlineStr">
        <is>
          <t>Berat Badan Normal</t>
        </is>
      </c>
      <c r="G738" s="97" t="inlineStr">
        <is>
          <t>Normal</t>
        </is>
      </c>
      <c r="H738" s="97" t="inlineStr">
        <is>
          <t>Gizi Baik</t>
        </is>
      </c>
      <c r="I738" s="98" t="inlineStr">
        <is>
          <t>Ya</t>
        </is>
      </c>
      <c r="J738" s="98">
        <f>IF(G738="Normal","Tidak",IF(G738="Pendek","Potensi Stunting",IF(G738="Sangat Pendek","Stunting","")))</f>
        <v/>
      </c>
    </row>
    <row r="739" ht="15.75" customHeight="1" s="95">
      <c r="A739" s="97" t="inlineStr">
        <is>
          <t>anonymus0738</t>
        </is>
      </c>
      <c r="B739" s="97" t="inlineStr">
        <is>
          <t>L</t>
        </is>
      </c>
      <c r="C739" s="97" t="inlineStr">
        <is>
          <t>35-69 Bulan</t>
        </is>
      </c>
      <c r="D739" s="97" t="n">
        <v>19.7</v>
      </c>
      <c r="E739" s="97" t="n">
        <v>114</v>
      </c>
      <c r="F739" s="97" t="inlineStr">
        <is>
          <t>Risiko Lebih</t>
        </is>
      </c>
      <c r="G739" s="97" t="inlineStr">
        <is>
          <t>Normal</t>
        </is>
      </c>
      <c r="H739" s="97" t="inlineStr">
        <is>
          <t>Gizi Lebih</t>
        </is>
      </c>
      <c r="I739" s="98" t="inlineStr">
        <is>
          <t>Ya</t>
        </is>
      </c>
      <c r="J739" s="98">
        <f>IF(G739="Normal","Tidak",IF(G739="Pendek","Potensi Stunting",IF(G739="Sangat Pendek","Stunting","")))</f>
        <v/>
      </c>
    </row>
    <row r="740" ht="15.75" customHeight="1" s="95">
      <c r="A740" s="97" t="inlineStr">
        <is>
          <t>anonymus0739</t>
        </is>
      </c>
      <c r="B740" s="97" t="inlineStr">
        <is>
          <t>L</t>
        </is>
      </c>
      <c r="C740" s="97" t="inlineStr">
        <is>
          <t>1-34 Bulan</t>
        </is>
      </c>
      <c r="D740" s="97" t="n">
        <v>6.9</v>
      </c>
      <c r="E740" s="97" t="n">
        <v>76</v>
      </c>
      <c r="F740" s="97" t="inlineStr">
        <is>
          <t>Kurang</t>
        </is>
      </c>
      <c r="G740" s="97" t="inlineStr">
        <is>
          <t>Normal</t>
        </is>
      </c>
      <c r="H740" s="97" t="inlineStr">
        <is>
          <t>Gizi Kurang</t>
        </is>
      </c>
      <c r="I740" s="98" t="inlineStr">
        <is>
          <t>Ya</t>
        </is>
      </c>
      <c r="J740" s="98">
        <f>IF(G740="Normal","Tidak",IF(G740="Pendek","Potensi Stunting",IF(G740="Sangat Pendek","Stunting","")))</f>
        <v/>
      </c>
    </row>
    <row r="741" ht="15.75" customHeight="1" s="95">
      <c r="A741" s="97" t="inlineStr">
        <is>
          <t>anonymus0740</t>
        </is>
      </c>
      <c r="B741" s="97" t="inlineStr">
        <is>
          <t xml:space="preserve">P </t>
        </is>
      </c>
      <c r="C741" s="97" t="inlineStr">
        <is>
          <t>1-34 Bulan</t>
        </is>
      </c>
      <c r="D741" s="97" t="inlineStr">
        <is>
          <t>13.9</t>
        </is>
      </c>
      <c r="E741" s="97" t="n">
        <v>81</v>
      </c>
      <c r="F741" s="97" t="inlineStr">
        <is>
          <t>Risiko Lebih</t>
        </is>
      </c>
      <c r="G741" s="97" t="inlineStr">
        <is>
          <t>Normal</t>
        </is>
      </c>
      <c r="H741" s="97" t="inlineStr">
        <is>
          <t>Obesitas</t>
        </is>
      </c>
      <c r="I741" s="98" t="inlineStr">
        <is>
          <t>Ya</t>
        </is>
      </c>
      <c r="J741" s="98">
        <f>IF(G741="Normal","Tidak",IF(G741="Pendek","Potensi Stunting",IF(G741="Sangat Pendek","Stunting","")))</f>
        <v/>
      </c>
    </row>
    <row r="742" ht="15.75" customHeight="1" s="95">
      <c r="A742" s="97" t="inlineStr">
        <is>
          <t>anonymus0741</t>
        </is>
      </c>
      <c r="B742" s="97" t="inlineStr">
        <is>
          <t>P</t>
        </is>
      </c>
      <c r="C742" s="97" t="inlineStr">
        <is>
          <t>1-34 Bulan</t>
        </is>
      </c>
      <c r="D742" s="97" t="n">
        <v>9.6</v>
      </c>
      <c r="E742" s="97" t="n">
        <v>87</v>
      </c>
      <c r="F742" s="97" t="inlineStr">
        <is>
          <t>Berat Badan Normal</t>
        </is>
      </c>
      <c r="G742" s="97" t="inlineStr">
        <is>
          <t>Normal</t>
        </is>
      </c>
      <c r="H742" s="97" t="inlineStr">
        <is>
          <t>Gizi Baik</t>
        </is>
      </c>
      <c r="I742" s="98" t="inlineStr">
        <is>
          <t>Ya</t>
        </is>
      </c>
      <c r="J742" s="98">
        <f>IF(G742="Normal","Tidak",IF(G742="Pendek","Potensi Stunting",IF(G742="Sangat Pendek","Stunting","")))</f>
        <v/>
      </c>
    </row>
    <row r="743" ht="15.75" customHeight="1" s="95">
      <c r="A743" s="97" t="inlineStr">
        <is>
          <t>anonymus0742</t>
        </is>
      </c>
      <c r="B743" s="97" t="inlineStr">
        <is>
          <t xml:space="preserve">L </t>
        </is>
      </c>
      <c r="C743" s="97" t="inlineStr">
        <is>
          <t>35-69 Bulan</t>
        </is>
      </c>
      <c r="D743" s="97" t="inlineStr">
        <is>
          <t>10.8</t>
        </is>
      </c>
      <c r="E743" s="97" t="n">
        <v>86</v>
      </c>
      <c r="F743" s="97" t="inlineStr">
        <is>
          <t>Berat Badan Normal</t>
        </is>
      </c>
      <c r="G743" s="97" t="inlineStr">
        <is>
          <t>Normal</t>
        </is>
      </c>
      <c r="H743" s="97" t="inlineStr">
        <is>
          <t>Gizi Baik</t>
        </is>
      </c>
      <c r="I743" s="98" t="inlineStr">
        <is>
          <t>Ya</t>
        </is>
      </c>
      <c r="J743" s="98">
        <f>IF(G743="Normal","Tidak",IF(G743="Pendek","Potensi Stunting",IF(G743="Sangat Pendek","Stunting","")))</f>
        <v/>
      </c>
    </row>
    <row r="744" ht="15.75" customHeight="1" s="95">
      <c r="A744" s="97" t="inlineStr">
        <is>
          <t>anonymus0743</t>
        </is>
      </c>
      <c r="B744" s="97" t="inlineStr">
        <is>
          <t>L</t>
        </is>
      </c>
      <c r="C744" s="97" t="inlineStr">
        <is>
          <t>1-34 Bulan</t>
        </is>
      </c>
      <c r="D744" s="97" t="n">
        <v>6.6</v>
      </c>
      <c r="E744" s="97" t="n">
        <v>65</v>
      </c>
      <c r="F744" s="97" t="inlineStr">
        <is>
          <t>Kurang</t>
        </is>
      </c>
      <c r="G744" s="97" t="inlineStr">
        <is>
          <t>Sangat Pendek</t>
        </is>
      </c>
      <c r="H744" s="97" t="inlineStr">
        <is>
          <t>Gizi Baik</t>
        </is>
      </c>
      <c r="I744" s="98" t="inlineStr">
        <is>
          <t>Ya</t>
        </is>
      </c>
      <c r="J744" s="98">
        <f>IF(G744="Normal","Tidak",IF(G744="Pendek","Potensi Stunting",IF(G744="Sangat Pendek","Stunting","")))</f>
        <v/>
      </c>
    </row>
    <row r="745" ht="15.75" customHeight="1" s="95">
      <c r="A745" s="97" t="inlineStr">
        <is>
          <t>anonymus0744</t>
        </is>
      </c>
      <c r="B745" s="97" t="inlineStr">
        <is>
          <t>L</t>
        </is>
      </c>
      <c r="C745" s="97" t="inlineStr">
        <is>
          <t>35-69 Bulan</t>
        </is>
      </c>
      <c r="D745" s="97" t="n">
        <v>12.4</v>
      </c>
      <c r="E745" s="97" t="n">
        <v>98</v>
      </c>
      <c r="F745" s="97" t="inlineStr">
        <is>
          <t>Normal</t>
        </is>
      </c>
      <c r="G745" s="97" t="inlineStr">
        <is>
          <t>Normal</t>
        </is>
      </c>
      <c r="H745" s="97" t="inlineStr">
        <is>
          <t>Gizi Kurang</t>
        </is>
      </c>
      <c r="I745" s="98" t="inlineStr">
        <is>
          <t>Ya</t>
        </is>
      </c>
      <c r="J745" s="98">
        <f>IF(G745="Normal","Tidak",IF(G745="Pendek","Potensi Stunting",IF(G745="Sangat Pendek","Stunting","")))</f>
        <v/>
      </c>
    </row>
    <row r="746" ht="15.75" customHeight="1" s="95">
      <c r="A746" s="97" t="inlineStr">
        <is>
          <t>anonymus0745</t>
        </is>
      </c>
      <c r="B746" s="97" t="inlineStr">
        <is>
          <t xml:space="preserve">P </t>
        </is>
      </c>
      <c r="C746" s="97" t="inlineStr">
        <is>
          <t>35-69 Bulan</t>
        </is>
      </c>
      <c r="D746" s="97" t="inlineStr">
        <is>
          <t>13.6</t>
        </is>
      </c>
      <c r="E746" s="97" t="n">
        <v>102</v>
      </c>
      <c r="F746" s="97" t="inlineStr">
        <is>
          <t>Berat Badan Normal</t>
        </is>
      </c>
      <c r="G746" s="97" t="inlineStr">
        <is>
          <t>Normal</t>
        </is>
      </c>
      <c r="H746" s="97" t="inlineStr">
        <is>
          <t>Gizi Baik</t>
        </is>
      </c>
      <c r="I746" s="98" t="inlineStr">
        <is>
          <t>Ya</t>
        </is>
      </c>
      <c r="J746" s="98">
        <f>IF(G746="Normal","Tidak",IF(G746="Pendek","Potensi Stunting",IF(G746="Sangat Pendek","Stunting","")))</f>
        <v/>
      </c>
    </row>
    <row r="747" ht="15.75" customHeight="1" s="95">
      <c r="A747" s="97" t="inlineStr">
        <is>
          <t>anonymus0746</t>
        </is>
      </c>
      <c r="B747" s="97" t="inlineStr">
        <is>
          <t xml:space="preserve">P </t>
        </is>
      </c>
      <c r="C747" s="97" t="inlineStr">
        <is>
          <t>1-34 Bulan</t>
        </is>
      </c>
      <c r="D747" s="97" t="inlineStr">
        <is>
          <t>8.1</t>
        </is>
      </c>
      <c r="E747" s="97" t="n">
        <v>69</v>
      </c>
      <c r="F747" s="97" t="inlineStr">
        <is>
          <t>Berat Badan Normal</t>
        </is>
      </c>
      <c r="G747" s="97" t="inlineStr">
        <is>
          <t>Normal</t>
        </is>
      </c>
      <c r="H747" s="97" t="inlineStr">
        <is>
          <t>Gizi Baik</t>
        </is>
      </c>
      <c r="I747" s="98" t="inlineStr">
        <is>
          <t>Ya</t>
        </is>
      </c>
      <c r="J747" s="98">
        <f>IF(G747="Normal","Tidak",IF(G747="Pendek","Potensi Stunting",IF(G747="Sangat Pendek","Stunting","")))</f>
        <v/>
      </c>
    </row>
    <row r="748" ht="15.75" customHeight="1" s="95">
      <c r="A748" s="97" t="inlineStr">
        <is>
          <t>anonymus0747</t>
        </is>
      </c>
      <c r="B748" s="97" t="inlineStr">
        <is>
          <t>L</t>
        </is>
      </c>
      <c r="C748" s="97" t="inlineStr">
        <is>
          <t>1-34 Bulan</t>
        </is>
      </c>
      <c r="D748" s="97" t="n">
        <v>10.5</v>
      </c>
      <c r="E748" s="97" t="n">
        <v>76</v>
      </c>
      <c r="F748" s="97" t="inlineStr">
        <is>
          <t>Normal</t>
        </is>
      </c>
      <c r="G748" s="97" t="inlineStr">
        <is>
          <t>Pendek</t>
        </is>
      </c>
      <c r="H748" s="97" t="inlineStr">
        <is>
          <t>Gizi Baik</t>
        </is>
      </c>
      <c r="I748" s="98" t="inlineStr">
        <is>
          <t>Ya</t>
        </is>
      </c>
      <c r="J748" s="98">
        <f>IF(G748="Normal","Tidak",IF(G748="Pendek","Potensi Stunting",IF(G748="Sangat Pendek","Stunting","")))</f>
        <v/>
      </c>
    </row>
    <row r="749" ht="15.75" customHeight="1" s="95">
      <c r="A749" s="97" t="inlineStr">
        <is>
          <t>anonymus0748</t>
        </is>
      </c>
      <c r="B749" s="97" t="inlineStr">
        <is>
          <t>P</t>
        </is>
      </c>
      <c r="C749" s="97" t="inlineStr">
        <is>
          <t>35-69 Bulan</t>
        </is>
      </c>
      <c r="D749" s="97" t="n">
        <v>17.7</v>
      </c>
      <c r="E749" s="97" t="n">
        <v>114</v>
      </c>
      <c r="F749" s="97" t="inlineStr">
        <is>
          <t>Risiko Lebih</t>
        </is>
      </c>
      <c r="G749" s="97" t="inlineStr">
        <is>
          <t>Normal</t>
        </is>
      </c>
      <c r="H749" s="97" t="inlineStr">
        <is>
          <t>Gizi Lebih</t>
        </is>
      </c>
      <c r="I749" s="98" t="inlineStr">
        <is>
          <t>Ya</t>
        </is>
      </c>
      <c r="J749" s="98">
        <f>IF(G749="Normal","Tidak",IF(G749="Pendek","Potensi Stunting",IF(G749="Sangat Pendek","Stunting","")))</f>
        <v/>
      </c>
    </row>
    <row r="750" ht="15.75" customHeight="1" s="95">
      <c r="A750" s="97" t="inlineStr">
        <is>
          <t>anonymus0749</t>
        </is>
      </c>
      <c r="B750" s="97" t="inlineStr">
        <is>
          <t xml:space="preserve">L </t>
        </is>
      </c>
      <c r="C750" s="97" t="inlineStr">
        <is>
          <t>35-69 Bulan</t>
        </is>
      </c>
      <c r="D750" s="97" t="n">
        <v>15</v>
      </c>
      <c r="E750" s="97" t="n">
        <v>99</v>
      </c>
      <c r="F750" s="97" t="inlineStr">
        <is>
          <t>Berat Badan Normal</t>
        </is>
      </c>
      <c r="G750" s="97" t="inlineStr">
        <is>
          <t>Normal</t>
        </is>
      </c>
      <c r="H750" s="97" t="inlineStr">
        <is>
          <t>Gizi Baik</t>
        </is>
      </c>
      <c r="I750" s="98" t="inlineStr">
        <is>
          <t>Ya</t>
        </is>
      </c>
      <c r="J750" s="98">
        <f>IF(G750="Normal","Tidak",IF(G750="Pendek","Potensi Stunting",IF(G750="Sangat Pendek","Stunting","")))</f>
        <v/>
      </c>
    </row>
    <row r="751" ht="15.75" customHeight="1" s="95">
      <c r="A751" s="97" t="inlineStr">
        <is>
          <t>anonymus0750</t>
        </is>
      </c>
      <c r="B751" s="97" t="inlineStr">
        <is>
          <t xml:space="preserve">P </t>
        </is>
      </c>
      <c r="C751" s="97" t="inlineStr">
        <is>
          <t>1-34 Bulan</t>
        </is>
      </c>
      <c r="D751" s="97" t="inlineStr">
        <is>
          <t>13.1</t>
        </is>
      </c>
      <c r="E751" s="97" t="n">
        <v>90</v>
      </c>
      <c r="F751" s="97" t="inlineStr">
        <is>
          <t>Berat Badan Normal</t>
        </is>
      </c>
      <c r="G751" s="97" t="inlineStr">
        <is>
          <t>Normal</t>
        </is>
      </c>
      <c r="H751" s="97" t="inlineStr">
        <is>
          <t>Gizi Baik</t>
        </is>
      </c>
      <c r="I751" s="98" t="inlineStr">
        <is>
          <t>Ya</t>
        </is>
      </c>
      <c r="J751" s="98">
        <f>IF(G751="Normal","Tidak",IF(G751="Pendek","Potensi Stunting",IF(G751="Sangat Pendek","Stunting","")))</f>
        <v/>
      </c>
    </row>
    <row r="752" ht="15.75" customHeight="1" s="95">
      <c r="A752" s="97" t="inlineStr">
        <is>
          <t>anonymus0751</t>
        </is>
      </c>
      <c r="B752" s="97" t="inlineStr">
        <is>
          <t xml:space="preserve">P </t>
        </is>
      </c>
      <c r="C752" s="97" t="inlineStr">
        <is>
          <t>35-69 Bulan</t>
        </is>
      </c>
      <c r="D752" s="97" t="n">
        <v>13</v>
      </c>
      <c r="E752" s="97" t="n">
        <v>104</v>
      </c>
      <c r="F752" s="97" t="inlineStr">
        <is>
          <t>Kurang</t>
        </is>
      </c>
      <c r="G752" s="97" t="inlineStr">
        <is>
          <t>Normal</t>
        </is>
      </c>
      <c r="H752" s="97" t="inlineStr">
        <is>
          <t>Gizi Kurang</t>
        </is>
      </c>
      <c r="I752" s="98" t="inlineStr">
        <is>
          <t>Ya</t>
        </is>
      </c>
      <c r="J752" s="98">
        <f>IF(G752="Normal","Tidak",IF(G752="Pendek","Potensi Stunting",IF(G752="Sangat Pendek","Stunting","")))</f>
        <v/>
      </c>
    </row>
    <row r="753" ht="15.75" customHeight="1" s="95">
      <c r="A753" s="97" t="inlineStr">
        <is>
          <t>anonymus0752</t>
        </is>
      </c>
      <c r="B753" s="97" t="inlineStr">
        <is>
          <t xml:space="preserve">P </t>
        </is>
      </c>
      <c r="C753" s="97" t="inlineStr">
        <is>
          <t>35-69 Bulan</t>
        </is>
      </c>
      <c r="D753" s="97" t="inlineStr">
        <is>
          <t>17.2</t>
        </is>
      </c>
      <c r="E753" s="97" t="n">
        <v>107</v>
      </c>
      <c r="F753" s="97" t="inlineStr">
        <is>
          <t>Berat Badan Normal</t>
        </is>
      </c>
      <c r="G753" s="97" t="inlineStr">
        <is>
          <t>Normal</t>
        </is>
      </c>
      <c r="H753" s="97" t="inlineStr">
        <is>
          <t>Gizi Baik</t>
        </is>
      </c>
      <c r="I753" s="98" t="inlineStr">
        <is>
          <t>Ya</t>
        </is>
      </c>
      <c r="J753" s="98">
        <f>IF(G753="Normal","Tidak",IF(G753="Pendek","Potensi Stunting",IF(G753="Sangat Pendek","Stunting","")))</f>
        <v/>
      </c>
    </row>
    <row r="754" ht="15.75" customHeight="1" s="95">
      <c r="A754" s="97" t="inlineStr">
        <is>
          <t>anonymus0753</t>
        </is>
      </c>
      <c r="B754" s="97" t="inlineStr">
        <is>
          <t>P</t>
        </is>
      </c>
      <c r="C754" s="97" t="inlineStr">
        <is>
          <t>35-69 Bulan</t>
        </is>
      </c>
      <c r="D754" s="97" t="n">
        <v>9.300000000000001</v>
      </c>
      <c r="E754" s="97" t="n">
        <v>89</v>
      </c>
      <c r="F754" s="97" t="inlineStr">
        <is>
          <t>Sangat Kurang</t>
        </is>
      </c>
      <c r="G754" s="97" t="inlineStr">
        <is>
          <t>Pendek</t>
        </is>
      </c>
      <c r="H754" s="97" t="inlineStr">
        <is>
          <t>Gizi Buruk</t>
        </is>
      </c>
      <c r="I754" s="98" t="inlineStr">
        <is>
          <t>Ya</t>
        </is>
      </c>
      <c r="J754" s="98">
        <f>IF(G754="Normal","Tidak",IF(G754="Pendek","Potensi Stunting",IF(G754="Sangat Pendek","Stunting","")))</f>
        <v/>
      </c>
    </row>
    <row r="755" ht="15.75" customHeight="1" s="95">
      <c r="A755" s="97" t="inlineStr">
        <is>
          <t>anonymus0754</t>
        </is>
      </c>
      <c r="B755" s="97" t="inlineStr">
        <is>
          <t>P</t>
        </is>
      </c>
      <c r="C755" s="97" t="inlineStr">
        <is>
          <t>35-69 Bulan</t>
        </is>
      </c>
      <c r="D755" s="97" t="n">
        <v>9</v>
      </c>
      <c r="E755" s="97" t="n">
        <v>80</v>
      </c>
      <c r="F755" s="97" t="inlineStr">
        <is>
          <t>Kurang</t>
        </is>
      </c>
      <c r="G755" s="97" t="inlineStr">
        <is>
          <t>Pendek</t>
        </is>
      </c>
      <c r="H755" s="97" t="inlineStr">
        <is>
          <t>Gizi Baik</t>
        </is>
      </c>
      <c r="I755" s="98" t="inlineStr">
        <is>
          <t>Ya</t>
        </is>
      </c>
      <c r="J755" s="98">
        <f>IF(G755="Normal","Tidak",IF(G755="Pendek","Potensi Stunting",IF(G755="Sangat Pendek","Stunting","")))</f>
        <v/>
      </c>
    </row>
    <row r="756" ht="15.75" customHeight="1" s="95">
      <c r="A756" s="97" t="inlineStr">
        <is>
          <t>anonymus0755</t>
        </is>
      </c>
      <c r="B756" s="97" t="inlineStr">
        <is>
          <t>P</t>
        </is>
      </c>
      <c r="C756" s="97" t="inlineStr">
        <is>
          <t>35-69 Bulan</t>
        </is>
      </c>
      <c r="D756" s="97" t="n">
        <v>12.6</v>
      </c>
      <c r="E756" s="97" t="n">
        <v>91</v>
      </c>
      <c r="F756" s="97" t="inlineStr">
        <is>
          <t>Berat Badan Normal</t>
        </is>
      </c>
      <c r="G756" s="97" t="inlineStr">
        <is>
          <t>Normal</t>
        </is>
      </c>
      <c r="H756" s="97" t="inlineStr">
        <is>
          <t>Gizi Baik</t>
        </is>
      </c>
      <c r="I756" s="98" t="inlineStr">
        <is>
          <t>Ya</t>
        </is>
      </c>
      <c r="J756" s="98">
        <f>IF(G756="Normal","Tidak",IF(G756="Pendek","Potensi Stunting",IF(G756="Sangat Pendek","Stunting","")))</f>
        <v/>
      </c>
    </row>
    <row r="757" ht="15.75" customHeight="1" s="95">
      <c r="A757" s="97" t="inlineStr">
        <is>
          <t>anonymus0756</t>
        </is>
      </c>
      <c r="B757" s="97" t="inlineStr">
        <is>
          <t>L</t>
        </is>
      </c>
      <c r="C757" s="97" t="inlineStr">
        <is>
          <t>35-69 Bulan</t>
        </is>
      </c>
      <c r="D757" s="97" t="n">
        <v>11.4</v>
      </c>
      <c r="E757" s="97" t="n">
        <v>95</v>
      </c>
      <c r="F757" s="97" t="inlineStr">
        <is>
          <t>Berat Badan Normal</t>
        </is>
      </c>
      <c r="G757" s="97" t="inlineStr">
        <is>
          <t>Normal</t>
        </is>
      </c>
      <c r="H757" s="97" t="inlineStr">
        <is>
          <t>Gizi Baik</t>
        </is>
      </c>
      <c r="I757" s="98" t="inlineStr">
        <is>
          <t>Ya</t>
        </is>
      </c>
      <c r="J757" s="98">
        <f>IF(G757="Normal","Tidak",IF(G757="Pendek","Potensi Stunting",IF(G757="Sangat Pendek","Stunting","")))</f>
        <v/>
      </c>
    </row>
    <row r="758" ht="15.75" customHeight="1" s="95">
      <c r="A758" s="97" t="inlineStr">
        <is>
          <t>anonymus0757</t>
        </is>
      </c>
      <c r="B758" s="97" t="inlineStr">
        <is>
          <t>P</t>
        </is>
      </c>
      <c r="C758" s="97" t="inlineStr">
        <is>
          <t>35-69 Bulan</t>
        </is>
      </c>
      <c r="D758" s="97" t="n">
        <v>9.1</v>
      </c>
      <c r="E758" s="97" t="n">
        <v>80</v>
      </c>
      <c r="F758" s="97" t="inlineStr">
        <is>
          <t>Kurang</t>
        </is>
      </c>
      <c r="G758" s="97" t="inlineStr">
        <is>
          <t>Pendek</t>
        </is>
      </c>
      <c r="H758" s="97" t="inlineStr">
        <is>
          <t>Gizi Baik</t>
        </is>
      </c>
      <c r="I758" s="98" t="inlineStr">
        <is>
          <t>Ya</t>
        </is>
      </c>
      <c r="J758" s="98">
        <f>IF(G758="Normal","Tidak",IF(G758="Pendek","Potensi Stunting",IF(G758="Sangat Pendek","Stunting","")))</f>
        <v/>
      </c>
    </row>
    <row r="759" ht="15.75" customHeight="1" s="95">
      <c r="A759" s="97" t="inlineStr">
        <is>
          <t>anonymus0758</t>
        </is>
      </c>
      <c r="B759" s="97" t="inlineStr">
        <is>
          <t xml:space="preserve">L </t>
        </is>
      </c>
      <c r="C759" s="97" t="inlineStr">
        <is>
          <t>35-69 Bulan</t>
        </is>
      </c>
      <c r="D759" s="97" t="inlineStr">
        <is>
          <t>21.2</t>
        </is>
      </c>
      <c r="E759" s="97" t="n">
        <v>103</v>
      </c>
      <c r="F759" s="97" t="inlineStr">
        <is>
          <t>Risiko Lebih</t>
        </is>
      </c>
      <c r="G759" s="97" t="inlineStr">
        <is>
          <t>Normal</t>
        </is>
      </c>
      <c r="H759" s="97" t="inlineStr">
        <is>
          <t>Obesitas</t>
        </is>
      </c>
      <c r="I759" s="98" t="inlineStr">
        <is>
          <t>Ya</t>
        </is>
      </c>
      <c r="J759" s="98">
        <f>IF(G759="Normal","Tidak",IF(G759="Pendek","Potensi Stunting",IF(G759="Sangat Pendek","Stunting","")))</f>
        <v/>
      </c>
    </row>
    <row r="760" ht="15.75" customHeight="1" s="95">
      <c r="A760" s="97" t="inlineStr">
        <is>
          <t>anonymus0759</t>
        </is>
      </c>
      <c r="B760" s="97" t="inlineStr">
        <is>
          <t xml:space="preserve">P </t>
        </is>
      </c>
      <c r="C760" s="97" t="inlineStr">
        <is>
          <t>35-69 Bulan</t>
        </is>
      </c>
      <c r="D760" s="97" t="n">
        <v>13</v>
      </c>
      <c r="E760" s="97" t="n">
        <v>104</v>
      </c>
      <c r="F760" s="97" t="inlineStr">
        <is>
          <t>Kurang</t>
        </is>
      </c>
      <c r="G760" s="97" t="inlineStr">
        <is>
          <t>Normal</t>
        </is>
      </c>
      <c r="H760" s="97" t="inlineStr">
        <is>
          <t>Gizi Baik</t>
        </is>
      </c>
      <c r="I760" s="98" t="inlineStr">
        <is>
          <t>Ya</t>
        </is>
      </c>
      <c r="J760" s="98">
        <f>IF(G760="Normal","Tidak",IF(G760="Pendek","Potensi Stunting",IF(G760="Sangat Pendek","Stunting","")))</f>
        <v/>
      </c>
    </row>
    <row r="761" ht="15.75" customHeight="1" s="95">
      <c r="A761" s="97" t="inlineStr">
        <is>
          <t>anonymus0760</t>
        </is>
      </c>
      <c r="B761" s="97" t="inlineStr">
        <is>
          <t>P</t>
        </is>
      </c>
      <c r="C761" s="97" t="inlineStr">
        <is>
          <t>35-69 Bulan</t>
        </is>
      </c>
      <c r="D761" s="97" t="n">
        <v>12</v>
      </c>
      <c r="E761" s="97" t="n">
        <v>97</v>
      </c>
      <c r="F761" s="97" t="inlineStr">
        <is>
          <t>Kurang</t>
        </is>
      </c>
      <c r="G761" s="97" t="inlineStr">
        <is>
          <t>Normal</t>
        </is>
      </c>
      <c r="H761" s="97" t="inlineStr">
        <is>
          <t>Gizi Kurang</t>
        </is>
      </c>
      <c r="I761" s="98" t="inlineStr">
        <is>
          <t>Ya</t>
        </is>
      </c>
      <c r="J761" s="98">
        <f>IF(G761="Normal","Tidak",IF(G761="Pendek","Potensi Stunting",IF(G761="Sangat Pendek","Stunting","")))</f>
        <v/>
      </c>
    </row>
    <row r="762" ht="15.75" customHeight="1" s="95">
      <c r="A762" s="97" t="inlineStr">
        <is>
          <t>anonymus0761</t>
        </is>
      </c>
      <c r="B762" s="97" t="inlineStr">
        <is>
          <t xml:space="preserve">P </t>
        </is>
      </c>
      <c r="C762" s="97" t="inlineStr">
        <is>
          <t>1-34 Bulan</t>
        </is>
      </c>
      <c r="D762" s="97" t="inlineStr">
        <is>
          <t>10.7</t>
        </is>
      </c>
      <c r="E762" s="97" t="n">
        <v>80</v>
      </c>
      <c r="F762" s="97" t="inlineStr">
        <is>
          <t>Berat Badan Normal</t>
        </is>
      </c>
      <c r="G762" s="97" t="inlineStr">
        <is>
          <t>Normal</t>
        </is>
      </c>
      <c r="H762" s="97" t="inlineStr">
        <is>
          <t>Gizi Baik</t>
        </is>
      </c>
      <c r="I762" s="98" t="inlineStr">
        <is>
          <t>Ya</t>
        </is>
      </c>
      <c r="J762" s="98">
        <f>IF(G762="Normal","Tidak",IF(G762="Pendek","Potensi Stunting",IF(G762="Sangat Pendek","Stunting","")))</f>
        <v/>
      </c>
    </row>
    <row r="763" ht="15.75" customHeight="1" s="95">
      <c r="A763" s="97" t="inlineStr">
        <is>
          <t>anonymus0762</t>
        </is>
      </c>
      <c r="B763" s="97" t="inlineStr">
        <is>
          <t>L</t>
        </is>
      </c>
      <c r="C763" s="97" t="inlineStr">
        <is>
          <t>1-34 Bulan</t>
        </is>
      </c>
      <c r="D763" s="97" t="n">
        <v>8.800000000000001</v>
      </c>
      <c r="E763" s="97" t="n">
        <v>74</v>
      </c>
      <c r="F763" s="97" t="inlineStr">
        <is>
          <t>Normal</t>
        </is>
      </c>
      <c r="G763" s="97" t="inlineStr">
        <is>
          <t>Pendek</t>
        </is>
      </c>
      <c r="H763" s="97" t="inlineStr">
        <is>
          <t>Gizi Baik</t>
        </is>
      </c>
      <c r="I763" s="98" t="inlineStr">
        <is>
          <t>Ya</t>
        </is>
      </c>
      <c r="J763" s="98">
        <f>IF(G763="Normal","Tidak",IF(G763="Pendek","Potensi Stunting",IF(G763="Sangat Pendek","Stunting","")))</f>
        <v/>
      </c>
    </row>
    <row r="764" ht="15.75" customHeight="1" s="95">
      <c r="A764" s="97" t="inlineStr">
        <is>
          <t>anonymus0763</t>
        </is>
      </c>
      <c r="B764" s="97" t="inlineStr">
        <is>
          <t>L</t>
        </is>
      </c>
      <c r="C764" s="97" t="inlineStr">
        <is>
          <t>35-69 Bulan</t>
        </is>
      </c>
      <c r="D764" s="97" t="n">
        <v>7.9</v>
      </c>
      <c r="E764" s="97" t="n">
        <v>80</v>
      </c>
      <c r="F764" s="97" t="inlineStr">
        <is>
          <t>Sangat Kurang</t>
        </is>
      </c>
      <c r="G764" s="97" t="inlineStr">
        <is>
          <t>Sangat Pendek</t>
        </is>
      </c>
      <c r="H764" s="97" t="inlineStr">
        <is>
          <t>Gizi Buruk</t>
        </is>
      </c>
      <c r="I764" s="98" t="inlineStr">
        <is>
          <t>Ya</t>
        </is>
      </c>
      <c r="J764" s="98">
        <f>IF(G764="Normal","Tidak",IF(G764="Pendek","Potensi Stunting",IF(G764="Sangat Pendek","Stunting","")))</f>
        <v/>
      </c>
    </row>
    <row r="765" ht="15.75" customHeight="1" s="95">
      <c r="A765" s="97" t="inlineStr">
        <is>
          <t>anonymus0764</t>
        </is>
      </c>
      <c r="B765" s="97" t="inlineStr">
        <is>
          <t>P</t>
        </is>
      </c>
      <c r="C765" s="97" t="inlineStr">
        <is>
          <t>35-69 Bulan</t>
        </is>
      </c>
      <c r="D765" s="97" t="n">
        <v>11.3</v>
      </c>
      <c r="E765" s="97" t="n">
        <v>115</v>
      </c>
      <c r="F765" s="97" t="inlineStr">
        <is>
          <t>Berat Badan Normal</t>
        </is>
      </c>
      <c r="G765" s="97" t="inlineStr">
        <is>
          <t>Normal</t>
        </is>
      </c>
      <c r="H765" s="97" t="inlineStr">
        <is>
          <t>Gizi Baik</t>
        </is>
      </c>
      <c r="I765" s="98" t="inlineStr">
        <is>
          <t>Ya</t>
        </is>
      </c>
      <c r="J765" s="98">
        <f>IF(G765="Normal","Tidak",IF(G765="Pendek","Potensi Stunting",IF(G765="Sangat Pendek","Stunting","")))</f>
        <v/>
      </c>
    </row>
    <row r="766" ht="15.75" customHeight="1" s="95">
      <c r="A766" s="97" t="inlineStr">
        <is>
          <t>anonymus0765</t>
        </is>
      </c>
      <c r="B766" s="97" t="inlineStr">
        <is>
          <t xml:space="preserve">L </t>
        </is>
      </c>
      <c r="C766" s="97" t="inlineStr">
        <is>
          <t>1-34 Bulan</t>
        </is>
      </c>
      <c r="D766" s="97" t="inlineStr">
        <is>
          <t>9.5</t>
        </is>
      </c>
      <c r="E766" s="97" t="n">
        <v>81</v>
      </c>
      <c r="F766" s="97" t="inlineStr">
        <is>
          <t>Kurang</t>
        </is>
      </c>
      <c r="G766" s="97" t="inlineStr">
        <is>
          <t>Sangat Pendek</t>
        </is>
      </c>
      <c r="H766" s="97" t="inlineStr">
        <is>
          <t>Gizi Baik</t>
        </is>
      </c>
      <c r="I766" s="98" t="inlineStr">
        <is>
          <t>Ya</t>
        </is>
      </c>
      <c r="J766" s="98">
        <f>IF(G766="Normal","Tidak",IF(G766="Pendek","Potensi Stunting",IF(G766="Sangat Pendek","Stunting","")))</f>
        <v/>
      </c>
    </row>
    <row r="767" ht="15.75" customHeight="1" s="95">
      <c r="A767" s="97" t="inlineStr">
        <is>
          <t>anonymus0766</t>
        </is>
      </c>
      <c r="B767" s="97" t="inlineStr">
        <is>
          <t xml:space="preserve">P </t>
        </is>
      </c>
      <c r="C767" s="97" t="inlineStr">
        <is>
          <t>35-69 Bulan</t>
        </is>
      </c>
      <c r="D767" s="97" t="inlineStr">
        <is>
          <t>13.6</t>
        </is>
      </c>
      <c r="E767" s="97" t="n">
        <v>92</v>
      </c>
      <c r="F767" s="97" t="inlineStr">
        <is>
          <t>Berat Badan Normal</t>
        </is>
      </c>
      <c r="G767" s="97" t="inlineStr">
        <is>
          <t>Normal</t>
        </is>
      </c>
      <c r="H767" s="97" t="inlineStr">
        <is>
          <t>Gizi Baik</t>
        </is>
      </c>
      <c r="I767" s="98" t="inlineStr">
        <is>
          <t>Ya</t>
        </is>
      </c>
      <c r="J767" s="98">
        <f>IF(G767="Normal","Tidak",IF(G767="Pendek","Potensi Stunting",IF(G767="Sangat Pendek","Stunting","")))</f>
        <v/>
      </c>
    </row>
    <row r="768" ht="15.75" customHeight="1" s="95">
      <c r="A768" s="97" t="inlineStr">
        <is>
          <t>anonymus0767</t>
        </is>
      </c>
      <c r="B768" s="97" t="inlineStr">
        <is>
          <t>P</t>
        </is>
      </c>
      <c r="C768" s="97" t="inlineStr">
        <is>
          <t>35-69 Bulan</t>
        </is>
      </c>
      <c r="D768" s="97" t="n">
        <v>12.6</v>
      </c>
      <c r="E768" s="97" t="n">
        <v>99.59999999999999</v>
      </c>
      <c r="F768" s="97" t="inlineStr">
        <is>
          <t>Normal</t>
        </is>
      </c>
      <c r="G768" s="97" t="inlineStr">
        <is>
          <t>Normal</t>
        </is>
      </c>
      <c r="H768" s="97" t="inlineStr">
        <is>
          <t>Gizi Kurang</t>
        </is>
      </c>
      <c r="I768" s="98" t="inlineStr">
        <is>
          <t>Ya</t>
        </is>
      </c>
      <c r="J768" s="98">
        <f>IF(G768="Normal","Tidak",IF(G768="Pendek","Potensi Stunting",IF(G768="Sangat Pendek","Stunting","")))</f>
        <v/>
      </c>
    </row>
    <row r="769" ht="15.75" customHeight="1" s="95">
      <c r="A769" s="97" t="inlineStr">
        <is>
          <t>anonymus0768</t>
        </is>
      </c>
      <c r="B769" s="97" t="inlineStr">
        <is>
          <t>L</t>
        </is>
      </c>
      <c r="C769" s="97" t="inlineStr">
        <is>
          <t>35-69 Bulan</t>
        </is>
      </c>
      <c r="D769" s="97" t="n">
        <v>12.6</v>
      </c>
      <c r="E769" s="97" t="n">
        <v>93.2</v>
      </c>
      <c r="F769" s="97" t="inlineStr">
        <is>
          <t>Kurang</t>
        </is>
      </c>
      <c r="G769" s="97" t="inlineStr">
        <is>
          <t>Pendek</t>
        </is>
      </c>
      <c r="H769" s="97" t="inlineStr">
        <is>
          <t>Gizi Baik</t>
        </is>
      </c>
      <c r="I769" s="98" t="inlineStr">
        <is>
          <t>Ya</t>
        </is>
      </c>
      <c r="J769" s="98">
        <f>IF(G769="Normal","Tidak",IF(G769="Pendek","Potensi Stunting",IF(G769="Sangat Pendek","Stunting","")))</f>
        <v/>
      </c>
    </row>
    <row r="770" ht="15.75" customHeight="1" s="95">
      <c r="A770" s="97" t="inlineStr">
        <is>
          <t>anonymus0769</t>
        </is>
      </c>
      <c r="B770" s="97" t="inlineStr">
        <is>
          <t xml:space="preserve">L </t>
        </is>
      </c>
      <c r="C770" s="97" t="inlineStr">
        <is>
          <t>35-69 Bulan</t>
        </is>
      </c>
      <c r="D770" s="97" t="inlineStr">
        <is>
          <t>11.1</t>
        </is>
      </c>
      <c r="E770" s="97" t="n">
        <v>93</v>
      </c>
      <c r="F770" s="97" t="inlineStr">
        <is>
          <t>Kurang</t>
        </is>
      </c>
      <c r="G770" s="97" t="inlineStr">
        <is>
          <t>Normal</t>
        </is>
      </c>
      <c r="H770" s="97" t="inlineStr">
        <is>
          <t>Gizi Kurang</t>
        </is>
      </c>
      <c r="I770" s="98" t="inlineStr">
        <is>
          <t>Ya</t>
        </is>
      </c>
      <c r="J770" s="98">
        <f>IF(G770="Normal","Tidak",IF(G770="Pendek","Potensi Stunting",IF(G770="Sangat Pendek","Stunting","")))</f>
        <v/>
      </c>
    </row>
    <row r="771" ht="15.75" customHeight="1" s="95">
      <c r="A771" s="97" t="inlineStr">
        <is>
          <t>anonymus0770</t>
        </is>
      </c>
      <c r="B771" s="97" t="inlineStr">
        <is>
          <t>L</t>
        </is>
      </c>
      <c r="C771" s="97" t="inlineStr">
        <is>
          <t>1-34 Bulan</t>
        </is>
      </c>
      <c r="D771" s="97" t="n">
        <v>8</v>
      </c>
      <c r="E771" s="97" t="n">
        <v>89</v>
      </c>
      <c r="F771" s="97" t="inlineStr">
        <is>
          <t>Kurang</t>
        </is>
      </c>
      <c r="G771" s="97" t="inlineStr">
        <is>
          <t>Normal</t>
        </is>
      </c>
      <c r="H771" s="97" t="inlineStr">
        <is>
          <t>Gizi Kurang</t>
        </is>
      </c>
      <c r="I771" s="98" t="inlineStr">
        <is>
          <t>Ya</t>
        </is>
      </c>
      <c r="J771" s="98">
        <f>IF(G771="Normal","Tidak",IF(G771="Pendek","Potensi Stunting",IF(G771="Sangat Pendek","Stunting","")))</f>
        <v/>
      </c>
    </row>
    <row r="772" ht="15.75" customHeight="1" s="95">
      <c r="A772" s="97" t="inlineStr">
        <is>
          <t>anonymus0771</t>
        </is>
      </c>
      <c r="B772" s="97" t="inlineStr">
        <is>
          <t xml:space="preserve">L </t>
        </is>
      </c>
      <c r="C772" s="97" t="inlineStr">
        <is>
          <t>1-34 Bulan</t>
        </is>
      </c>
      <c r="D772" s="97" t="inlineStr">
        <is>
          <t>5.2</t>
        </is>
      </c>
      <c r="E772" s="97" t="n">
        <v>55</v>
      </c>
      <c r="F772" s="97" t="inlineStr">
        <is>
          <t>Berat Badan Normal</t>
        </is>
      </c>
      <c r="G772" s="97" t="inlineStr">
        <is>
          <t>Normal</t>
        </is>
      </c>
      <c r="H772" s="97" t="inlineStr">
        <is>
          <t>Risiko Gizi Lebih</t>
        </is>
      </c>
      <c r="I772" s="98" t="inlineStr">
        <is>
          <t>Ya</t>
        </is>
      </c>
      <c r="J772" s="98">
        <f>IF(G772="Normal","Tidak",IF(G772="Pendek","Potensi Stunting",IF(G772="Sangat Pendek","Stunting","")))</f>
        <v/>
      </c>
    </row>
    <row r="773" ht="15.75" customHeight="1" s="95">
      <c r="A773" s="97" t="inlineStr">
        <is>
          <t>anonymus0772</t>
        </is>
      </c>
      <c r="B773" s="97" t="inlineStr">
        <is>
          <t>L</t>
        </is>
      </c>
      <c r="C773" s="97" t="inlineStr">
        <is>
          <t>1-34 Bulan</t>
        </is>
      </c>
      <c r="D773" s="97" t="n">
        <v>4.1</v>
      </c>
      <c r="E773" s="97" t="n">
        <v>53</v>
      </c>
      <c r="F773" s="97" t="inlineStr">
        <is>
          <t>Normal</t>
        </is>
      </c>
      <c r="G773" s="97" t="inlineStr">
        <is>
          <t>Pendek</t>
        </is>
      </c>
      <c r="H773" s="97" t="inlineStr">
        <is>
          <t>Gizi Baik</t>
        </is>
      </c>
      <c r="I773" s="98" t="inlineStr">
        <is>
          <t>Ya</t>
        </is>
      </c>
      <c r="J773" s="98">
        <f>IF(G773="Normal","Tidak",IF(G773="Pendek","Potensi Stunting",IF(G773="Sangat Pendek","Stunting","")))</f>
        <v/>
      </c>
    </row>
    <row r="774" ht="15.75" customHeight="1" s="95">
      <c r="A774" s="97" t="inlineStr">
        <is>
          <t>anonymus0773</t>
        </is>
      </c>
      <c r="B774" s="97" t="inlineStr">
        <is>
          <t>L</t>
        </is>
      </c>
      <c r="C774" s="97" t="inlineStr">
        <is>
          <t>35-69 Bulan</t>
        </is>
      </c>
      <c r="D774" s="97" t="n">
        <v>11.4</v>
      </c>
      <c r="E774" s="97" t="n">
        <v>114</v>
      </c>
      <c r="F774" s="97" t="inlineStr">
        <is>
          <t>Berat Badan Normal</t>
        </is>
      </c>
      <c r="G774" s="97" t="inlineStr">
        <is>
          <t>Normal</t>
        </is>
      </c>
      <c r="H774" s="97" t="inlineStr">
        <is>
          <t>Gizi Baik</t>
        </is>
      </c>
      <c r="I774" s="98" t="inlineStr">
        <is>
          <t>Ya</t>
        </is>
      </c>
      <c r="J774" s="98">
        <f>IF(G774="Normal","Tidak",IF(G774="Pendek","Potensi Stunting",IF(G774="Sangat Pendek","Stunting","")))</f>
        <v/>
      </c>
    </row>
    <row r="775" ht="15.75" customHeight="1" s="95">
      <c r="A775" s="97" t="inlineStr">
        <is>
          <t>anonymus0774</t>
        </is>
      </c>
      <c r="B775" s="97" t="inlineStr">
        <is>
          <t>L</t>
        </is>
      </c>
      <c r="C775" s="97" t="inlineStr">
        <is>
          <t>1-34 Bulan</t>
        </is>
      </c>
      <c r="D775" s="97" t="n">
        <v>9.1</v>
      </c>
      <c r="E775" s="97" t="n">
        <v>76</v>
      </c>
      <c r="F775" s="97" t="inlineStr">
        <is>
          <t>Berat Badan Normal</t>
        </is>
      </c>
      <c r="G775" s="97" t="inlineStr">
        <is>
          <t>Normal</t>
        </is>
      </c>
      <c r="H775" s="97" t="inlineStr">
        <is>
          <t>Gizi Baik</t>
        </is>
      </c>
      <c r="I775" s="98" t="inlineStr">
        <is>
          <t>Ya</t>
        </is>
      </c>
      <c r="J775" s="98">
        <f>IF(G775="Normal","Tidak",IF(G775="Pendek","Potensi Stunting",IF(G775="Sangat Pendek","Stunting","")))</f>
        <v/>
      </c>
    </row>
    <row r="776" ht="15.75" customHeight="1" s="95">
      <c r="A776" s="97" t="inlineStr">
        <is>
          <t>anonymus0775</t>
        </is>
      </c>
      <c r="B776" s="97" t="inlineStr">
        <is>
          <t>L</t>
        </is>
      </c>
      <c r="C776" s="97" t="inlineStr">
        <is>
          <t>35-69 Bulan</t>
        </is>
      </c>
      <c r="D776" s="97" t="n">
        <v>12.8</v>
      </c>
      <c r="E776" s="97" t="n">
        <v>104</v>
      </c>
      <c r="F776" s="97" t="inlineStr">
        <is>
          <t>Berat Badan Normal</t>
        </is>
      </c>
      <c r="G776" s="97" t="inlineStr">
        <is>
          <t>Normal</t>
        </is>
      </c>
      <c r="H776" s="97" t="inlineStr">
        <is>
          <t>Gizi Baik</t>
        </is>
      </c>
      <c r="I776" s="98" t="inlineStr">
        <is>
          <t>Ya</t>
        </is>
      </c>
      <c r="J776" s="98">
        <f>IF(G776="Normal","Tidak",IF(G776="Pendek","Potensi Stunting",IF(G776="Sangat Pendek","Stunting","")))</f>
        <v/>
      </c>
    </row>
    <row r="777" ht="15.75" customHeight="1" s="95">
      <c r="A777" s="97" t="inlineStr">
        <is>
          <t>anonymus0776</t>
        </is>
      </c>
      <c r="B777" s="97" t="inlineStr">
        <is>
          <t>P</t>
        </is>
      </c>
      <c r="C777" s="97" t="inlineStr">
        <is>
          <t>1-34 Bulan</t>
        </is>
      </c>
      <c r="D777" s="97" t="n">
        <v>11.8</v>
      </c>
      <c r="E777" s="97" t="n">
        <v>93</v>
      </c>
      <c r="F777" s="97" t="inlineStr">
        <is>
          <t>Berat Badan Normal</t>
        </is>
      </c>
      <c r="G777" s="97" t="inlineStr">
        <is>
          <t>Normal</t>
        </is>
      </c>
      <c r="H777" s="97" t="inlineStr">
        <is>
          <t>Gizi Baik</t>
        </is>
      </c>
      <c r="I777" s="98" t="inlineStr">
        <is>
          <t>Ya</t>
        </is>
      </c>
      <c r="J777" s="98">
        <f>IF(G777="Normal","Tidak",IF(G777="Pendek","Potensi Stunting",IF(G777="Sangat Pendek","Stunting","")))</f>
        <v/>
      </c>
    </row>
    <row r="778" ht="15.75" customHeight="1" s="95">
      <c r="A778" s="97" t="inlineStr">
        <is>
          <t>anonymus0777</t>
        </is>
      </c>
      <c r="B778" s="97" t="inlineStr">
        <is>
          <t>P</t>
        </is>
      </c>
      <c r="C778" s="97" t="inlineStr">
        <is>
          <t>35-69 Bulan</t>
        </is>
      </c>
      <c r="D778" s="97" t="n">
        <v>18.8</v>
      </c>
      <c r="E778" s="97" t="n">
        <v>101</v>
      </c>
      <c r="F778" s="97" t="inlineStr">
        <is>
          <t>Risiko Lebih</t>
        </is>
      </c>
      <c r="G778" s="97" t="inlineStr">
        <is>
          <t>Normal</t>
        </is>
      </c>
      <c r="H778" s="97" t="inlineStr">
        <is>
          <t>Gizi Lebih</t>
        </is>
      </c>
      <c r="I778" s="98" t="inlineStr">
        <is>
          <t>Ya</t>
        </is>
      </c>
      <c r="J778" s="98">
        <f>IF(G778="Normal","Tidak",IF(G778="Pendek","Potensi Stunting",IF(G778="Sangat Pendek","Stunting","")))</f>
        <v/>
      </c>
    </row>
    <row r="779" ht="15.75" customHeight="1" s="95">
      <c r="A779" s="97" t="inlineStr">
        <is>
          <t>anonymus0778</t>
        </is>
      </c>
      <c r="B779" s="97" t="inlineStr">
        <is>
          <t>P</t>
        </is>
      </c>
      <c r="C779" s="97" t="inlineStr">
        <is>
          <t>35-69 Bulan</t>
        </is>
      </c>
      <c r="D779" s="97" t="n">
        <v>12.8</v>
      </c>
      <c r="E779" s="97" t="n">
        <v>91</v>
      </c>
      <c r="F779" s="97" t="inlineStr">
        <is>
          <t>Berat Badan Normal</t>
        </is>
      </c>
      <c r="G779" s="97" t="inlineStr">
        <is>
          <t>Normal</t>
        </is>
      </c>
      <c r="H779" s="97" t="inlineStr">
        <is>
          <t>Gizi Baik</t>
        </is>
      </c>
      <c r="I779" s="98" t="inlineStr">
        <is>
          <t>Ya</t>
        </is>
      </c>
      <c r="J779" s="98">
        <f>IF(G779="Normal","Tidak",IF(G779="Pendek","Potensi Stunting",IF(G779="Sangat Pendek","Stunting","")))</f>
        <v/>
      </c>
    </row>
    <row r="780" ht="15.75" customHeight="1" s="95">
      <c r="A780" s="97" t="inlineStr">
        <is>
          <t>anonymus0779</t>
        </is>
      </c>
      <c r="B780" s="97" t="inlineStr">
        <is>
          <t>P</t>
        </is>
      </c>
      <c r="C780" s="97" t="inlineStr">
        <is>
          <t>1-34 Bulan</t>
        </is>
      </c>
      <c r="D780" s="97" t="n">
        <v>14.2</v>
      </c>
      <c r="E780" s="97" t="n">
        <v>95</v>
      </c>
      <c r="F780" s="97" t="inlineStr">
        <is>
          <t>Berat Badan Normal</t>
        </is>
      </c>
      <c r="G780" s="97" t="inlineStr">
        <is>
          <t>Normal</t>
        </is>
      </c>
      <c r="H780" s="97" t="inlineStr">
        <is>
          <t>Gizi Baik</t>
        </is>
      </c>
      <c r="I780" s="98" t="inlineStr">
        <is>
          <t>Ya</t>
        </is>
      </c>
      <c r="J780" s="98">
        <f>IF(G780="Normal","Tidak",IF(G780="Pendek","Potensi Stunting",IF(G780="Sangat Pendek","Stunting","")))</f>
        <v/>
      </c>
    </row>
    <row r="781" ht="15.75" customHeight="1" s="95">
      <c r="A781" s="97" t="inlineStr">
        <is>
          <t>anonymus0780</t>
        </is>
      </c>
      <c r="B781" s="97" t="inlineStr">
        <is>
          <t>L</t>
        </is>
      </c>
      <c r="C781" s="97" t="inlineStr">
        <is>
          <t>1-34 Bulan</t>
        </is>
      </c>
      <c r="D781" s="97" t="n">
        <v>9</v>
      </c>
      <c r="E781" s="97" t="n">
        <v>84</v>
      </c>
      <c r="F781" s="97" t="inlineStr">
        <is>
          <t>Berat Badan Normal</t>
        </is>
      </c>
      <c r="G781" s="97" t="inlineStr">
        <is>
          <t>Normal</t>
        </is>
      </c>
      <c r="H781" s="97" t="inlineStr">
        <is>
          <t>Gizi Baik</t>
        </is>
      </c>
      <c r="I781" s="98" t="inlineStr">
        <is>
          <t>Ya</t>
        </is>
      </c>
      <c r="J781" s="98">
        <f>IF(G781="Normal","Tidak",IF(G781="Pendek","Potensi Stunting",IF(G781="Sangat Pendek","Stunting","")))</f>
        <v/>
      </c>
    </row>
    <row r="782" ht="15.75" customHeight="1" s="95">
      <c r="A782" s="97" t="inlineStr">
        <is>
          <t>anonymus0781</t>
        </is>
      </c>
      <c r="B782" s="97" t="inlineStr">
        <is>
          <t>P</t>
        </is>
      </c>
      <c r="C782" s="97" t="inlineStr">
        <is>
          <t>35-69 Bulan</t>
        </is>
      </c>
      <c r="D782" s="97" t="n">
        <v>10.8</v>
      </c>
      <c r="E782" s="97" t="n">
        <v>86</v>
      </c>
      <c r="F782" s="97" t="inlineStr">
        <is>
          <t>Kurang</t>
        </is>
      </c>
      <c r="G782" s="97" t="inlineStr">
        <is>
          <t>Sangat Pendek</t>
        </is>
      </c>
      <c r="H782" s="97" t="inlineStr">
        <is>
          <t>Gizi Baik</t>
        </is>
      </c>
      <c r="I782" s="98" t="inlineStr">
        <is>
          <t>Tidak</t>
        </is>
      </c>
      <c r="J782" s="98">
        <f>IF(G782="Normal","Tidak",IF(G782="Pendek","Potensi Stunting",IF(G782="Sangat Pendek","Stunting","")))</f>
        <v/>
      </c>
    </row>
    <row r="783" ht="15.75" customHeight="1" s="95">
      <c r="A783" s="97" t="inlineStr">
        <is>
          <t>anonymus0782</t>
        </is>
      </c>
      <c r="B783" s="97" t="inlineStr">
        <is>
          <t>P</t>
        </is>
      </c>
      <c r="C783" s="97" t="inlineStr">
        <is>
          <t>35-69 Bulan</t>
        </is>
      </c>
      <c r="D783" s="97" t="n">
        <v>18</v>
      </c>
      <c r="E783" s="97" t="n">
        <v>93</v>
      </c>
      <c r="F783" s="97" t="inlineStr">
        <is>
          <t>Risiko Lebih</t>
        </is>
      </c>
      <c r="G783" s="97" t="inlineStr">
        <is>
          <t>Normal</t>
        </is>
      </c>
      <c r="H783" s="97" t="inlineStr">
        <is>
          <t>Gizi Lebih</t>
        </is>
      </c>
      <c r="I783" s="98" t="inlineStr">
        <is>
          <t>Ya</t>
        </is>
      </c>
      <c r="J783" s="98">
        <f>IF(G783="Normal","Tidak",IF(G783="Pendek","Potensi Stunting",IF(G783="Sangat Pendek","Stunting","")))</f>
        <v/>
      </c>
    </row>
    <row r="784" ht="15.75" customHeight="1" s="95">
      <c r="A784" s="97" t="inlineStr">
        <is>
          <t>anonymus0783</t>
        </is>
      </c>
      <c r="B784" s="97" t="inlineStr">
        <is>
          <t>L</t>
        </is>
      </c>
      <c r="C784" s="97" t="inlineStr">
        <is>
          <t>1-34 Bulan</t>
        </is>
      </c>
      <c r="D784" s="97" t="n">
        <v>9.300000000000001</v>
      </c>
      <c r="E784" s="97" t="n">
        <v>71</v>
      </c>
      <c r="F784" s="97" t="inlineStr">
        <is>
          <t>Normal</t>
        </is>
      </c>
      <c r="G784" s="97" t="inlineStr">
        <is>
          <t>Pendek</t>
        </is>
      </c>
      <c r="H784" s="97" t="inlineStr">
        <is>
          <t>Gizi Baik</t>
        </is>
      </c>
      <c r="I784" s="98" t="inlineStr">
        <is>
          <t>Ya</t>
        </is>
      </c>
      <c r="J784" s="98">
        <f>IF(G784="Normal","Tidak",IF(G784="Pendek","Potensi Stunting",IF(G784="Sangat Pendek","Stunting","")))</f>
        <v/>
      </c>
    </row>
    <row r="785" ht="15.75" customHeight="1" s="95">
      <c r="A785" s="97" t="inlineStr">
        <is>
          <t>anonymus0784</t>
        </is>
      </c>
      <c r="B785" s="97" t="inlineStr">
        <is>
          <t>L</t>
        </is>
      </c>
      <c r="C785" s="97" t="inlineStr">
        <is>
          <t>35-69 Bulan</t>
        </is>
      </c>
      <c r="D785" s="97" t="n">
        <v>14.8</v>
      </c>
      <c r="E785" s="97" t="n">
        <v>103</v>
      </c>
      <c r="F785" s="97" t="inlineStr">
        <is>
          <t>Berat Badan Normal</t>
        </is>
      </c>
      <c r="G785" s="97" t="inlineStr">
        <is>
          <t>Normal</t>
        </is>
      </c>
      <c r="H785" s="97" t="inlineStr">
        <is>
          <t>Gizi Baik</t>
        </is>
      </c>
      <c r="I785" s="98" t="inlineStr">
        <is>
          <t>Ya</t>
        </is>
      </c>
      <c r="J785" s="98">
        <f>IF(G785="Normal","Tidak",IF(G785="Pendek","Potensi Stunting",IF(G785="Sangat Pendek","Stunting","")))</f>
        <v/>
      </c>
    </row>
    <row r="786" ht="15.75" customHeight="1" s="95">
      <c r="A786" s="97" t="inlineStr">
        <is>
          <t>anonymus0785</t>
        </is>
      </c>
      <c r="B786" s="97" t="inlineStr">
        <is>
          <t>P</t>
        </is>
      </c>
      <c r="C786" s="97" t="inlineStr">
        <is>
          <t>1-34 Bulan</t>
        </is>
      </c>
      <c r="D786" s="97" t="n">
        <v>13</v>
      </c>
      <c r="E786" s="97" t="n">
        <v>77</v>
      </c>
      <c r="F786" s="97" t="inlineStr">
        <is>
          <t>Berat Badan Normal</t>
        </is>
      </c>
      <c r="G786" s="97" t="inlineStr">
        <is>
          <t>Normal</t>
        </is>
      </c>
      <c r="H786" s="97" t="inlineStr">
        <is>
          <t>Gizi Baik</t>
        </is>
      </c>
      <c r="I786" s="98" t="inlineStr">
        <is>
          <t>Ya</t>
        </is>
      </c>
      <c r="J786" s="98">
        <f>IF(G786="Normal","Tidak",IF(G786="Pendek","Potensi Stunting",IF(G786="Sangat Pendek","Stunting","")))</f>
        <v/>
      </c>
    </row>
    <row r="787" ht="15.75" customHeight="1" s="95">
      <c r="A787" s="97" t="inlineStr">
        <is>
          <t>anonymus0786</t>
        </is>
      </c>
      <c r="B787" s="97" t="inlineStr">
        <is>
          <t>P</t>
        </is>
      </c>
      <c r="C787" s="97" t="inlineStr">
        <is>
          <t>1-34 Bulan</t>
        </is>
      </c>
      <c r="D787" s="97" t="n">
        <v>12.9</v>
      </c>
      <c r="E787" s="97" t="n">
        <v>72</v>
      </c>
      <c r="F787" s="97" t="inlineStr">
        <is>
          <t>Berat Badan Normal</t>
        </is>
      </c>
      <c r="G787" s="97" t="inlineStr">
        <is>
          <t>Normal</t>
        </is>
      </c>
      <c r="H787" s="97" t="inlineStr">
        <is>
          <t>Gizi Baik</t>
        </is>
      </c>
      <c r="I787" s="98" t="inlineStr">
        <is>
          <t>Ya</t>
        </is>
      </c>
      <c r="J787" s="98">
        <f>IF(G787="Normal","Tidak",IF(G787="Pendek","Potensi Stunting",IF(G787="Sangat Pendek","Stunting","")))</f>
        <v/>
      </c>
    </row>
    <row r="788" ht="15.75" customHeight="1" s="95">
      <c r="A788" s="97" t="inlineStr">
        <is>
          <t>anonymus0787</t>
        </is>
      </c>
      <c r="B788" s="97" t="inlineStr">
        <is>
          <t>L</t>
        </is>
      </c>
      <c r="C788" s="97" t="inlineStr">
        <is>
          <t>1-34 Bulan</t>
        </is>
      </c>
      <c r="D788" s="97" t="n">
        <v>9.800000000000001</v>
      </c>
      <c r="E788" s="97" t="n">
        <v>76</v>
      </c>
      <c r="F788" s="97" t="inlineStr">
        <is>
          <t>Normal</t>
        </is>
      </c>
      <c r="G788" s="97" t="inlineStr">
        <is>
          <t>Pendek</t>
        </is>
      </c>
      <c r="H788" s="97" t="inlineStr">
        <is>
          <t>Gizi Baik</t>
        </is>
      </c>
      <c r="I788" s="98" t="inlineStr">
        <is>
          <t>Ya</t>
        </is>
      </c>
      <c r="J788" s="98">
        <f>IF(G788="Normal","Tidak",IF(G788="Pendek","Potensi Stunting",IF(G788="Sangat Pendek","Stunting","")))</f>
        <v/>
      </c>
    </row>
    <row r="789" ht="15.75" customHeight="1" s="95">
      <c r="A789" s="97" t="inlineStr">
        <is>
          <t>anonymus0788</t>
        </is>
      </c>
      <c r="B789" s="97" t="inlineStr">
        <is>
          <t>L</t>
        </is>
      </c>
      <c r="C789" s="97" t="inlineStr">
        <is>
          <t>1-34 Bulan</t>
        </is>
      </c>
      <c r="D789" s="97" t="n">
        <v>2.5</v>
      </c>
      <c r="E789" s="97" t="n">
        <v>48</v>
      </c>
      <c r="F789" s="97" t="inlineStr">
        <is>
          <t>Sangat Kurang</t>
        </is>
      </c>
      <c r="G789" s="97" t="inlineStr">
        <is>
          <t>Pendek</t>
        </is>
      </c>
      <c r="H789" s="97" t="inlineStr">
        <is>
          <t>Gizi Kurang</t>
        </is>
      </c>
      <c r="I789" s="98" t="inlineStr">
        <is>
          <t>Ya</t>
        </is>
      </c>
      <c r="J789" s="98">
        <f>IF(G789="Normal","Tidak",IF(G789="Pendek","Potensi Stunting",IF(G789="Sangat Pendek","Stunting","")))</f>
        <v/>
      </c>
    </row>
    <row r="790" ht="15.75" customHeight="1" s="95">
      <c r="A790" s="97" t="inlineStr">
        <is>
          <t>anonymus0789</t>
        </is>
      </c>
      <c r="B790" s="97" t="inlineStr">
        <is>
          <t xml:space="preserve">P </t>
        </is>
      </c>
      <c r="C790" s="97" t="inlineStr">
        <is>
          <t>1-34 Bulan</t>
        </is>
      </c>
      <c r="D790" s="97" t="n">
        <v>14</v>
      </c>
      <c r="E790" s="97" t="n">
        <v>96</v>
      </c>
      <c r="F790" s="97" t="inlineStr">
        <is>
          <t>Berat Badan Normal</t>
        </is>
      </c>
      <c r="G790" s="97" t="inlineStr">
        <is>
          <t>Normal</t>
        </is>
      </c>
      <c r="H790" s="97" t="inlineStr">
        <is>
          <t>Gizi Baik</t>
        </is>
      </c>
      <c r="I790" s="98" t="inlineStr">
        <is>
          <t>Ya</t>
        </is>
      </c>
      <c r="J790" s="98">
        <f>IF(G790="Normal","Tidak",IF(G790="Pendek","Potensi Stunting",IF(G790="Sangat Pendek","Stunting","")))</f>
        <v/>
      </c>
    </row>
    <row r="791" ht="15.75" customHeight="1" s="95">
      <c r="A791" s="97" t="inlineStr">
        <is>
          <t>anonymus0790</t>
        </is>
      </c>
      <c r="B791" s="97" t="inlineStr">
        <is>
          <t xml:space="preserve">P </t>
        </is>
      </c>
      <c r="C791" s="97" t="inlineStr">
        <is>
          <t>35-69 Bulan</t>
        </is>
      </c>
      <c r="D791" s="97" t="inlineStr">
        <is>
          <t>12.2</t>
        </is>
      </c>
      <c r="E791" s="97" t="n">
        <v>96</v>
      </c>
      <c r="F791" s="97" t="inlineStr">
        <is>
          <t>Kurang</t>
        </is>
      </c>
      <c r="G791" s="97" t="inlineStr">
        <is>
          <t>Pendek</t>
        </is>
      </c>
      <c r="H791" s="97" t="inlineStr">
        <is>
          <t>Gizi Baik</t>
        </is>
      </c>
      <c r="I791" s="98" t="inlineStr">
        <is>
          <t>Ya</t>
        </is>
      </c>
      <c r="J791" s="98">
        <f>IF(G791="Normal","Tidak",IF(G791="Pendek","Potensi Stunting",IF(G791="Sangat Pendek","Stunting","")))</f>
        <v/>
      </c>
    </row>
    <row r="792" ht="15.75" customHeight="1" s="95">
      <c r="A792" s="97" t="inlineStr">
        <is>
          <t>anonymus0791</t>
        </is>
      </c>
      <c r="B792" s="97" t="inlineStr">
        <is>
          <t>L</t>
        </is>
      </c>
      <c r="C792" s="97" t="inlineStr">
        <is>
          <t>1-34 Bulan</t>
        </is>
      </c>
      <c r="D792" s="97" t="n">
        <v>13.3</v>
      </c>
      <c r="E792" s="97" t="n">
        <v>76</v>
      </c>
      <c r="F792" s="97" t="inlineStr">
        <is>
          <t>Berat Badan Normal</t>
        </is>
      </c>
      <c r="G792" s="97" t="inlineStr">
        <is>
          <t>Normal</t>
        </is>
      </c>
      <c r="H792" s="97" t="inlineStr">
        <is>
          <t>Gizi Baik</t>
        </is>
      </c>
      <c r="I792" s="98" t="inlineStr">
        <is>
          <t>Ya</t>
        </is>
      </c>
      <c r="J792" s="98">
        <f>IF(G792="Normal","Tidak",IF(G792="Pendek","Potensi Stunting",IF(G792="Sangat Pendek","Stunting","")))</f>
        <v/>
      </c>
    </row>
    <row r="793" ht="15.75" customHeight="1" s="95">
      <c r="A793" s="97" t="inlineStr">
        <is>
          <t>anonymus0792</t>
        </is>
      </c>
      <c r="B793" s="97" t="inlineStr">
        <is>
          <t>L</t>
        </is>
      </c>
      <c r="C793" s="97" t="inlineStr">
        <is>
          <t>1-34 Bulan</t>
        </is>
      </c>
      <c r="D793" s="97" t="n">
        <v>6.5</v>
      </c>
      <c r="E793" s="97" t="n">
        <v>65</v>
      </c>
      <c r="F793" s="97" t="inlineStr">
        <is>
          <t>Kurang</t>
        </is>
      </c>
      <c r="G793" s="97" t="inlineStr">
        <is>
          <t>Pendek</t>
        </is>
      </c>
      <c r="H793" s="97" t="inlineStr">
        <is>
          <t>Gizi Baik</t>
        </is>
      </c>
      <c r="I793" s="98" t="inlineStr">
        <is>
          <t>Ya</t>
        </is>
      </c>
      <c r="J793" s="98">
        <f>IF(G793="Normal","Tidak",IF(G793="Pendek","Potensi Stunting",IF(G793="Sangat Pendek","Stunting","")))</f>
        <v/>
      </c>
    </row>
    <row r="794" ht="15.75" customHeight="1" s="95">
      <c r="A794" s="97" t="inlineStr">
        <is>
          <t>anonymus0793</t>
        </is>
      </c>
      <c r="B794" s="97" t="inlineStr">
        <is>
          <t xml:space="preserve">L </t>
        </is>
      </c>
      <c r="C794" s="97" t="inlineStr">
        <is>
          <t>1-34 Bulan</t>
        </is>
      </c>
      <c r="D794" s="97" t="inlineStr">
        <is>
          <t>13.4</t>
        </is>
      </c>
      <c r="E794" s="97" t="n">
        <v>87</v>
      </c>
      <c r="F794" s="97" t="inlineStr">
        <is>
          <t>Berat Badan Normal</t>
        </is>
      </c>
      <c r="G794" s="97" t="inlineStr">
        <is>
          <t>Normal</t>
        </is>
      </c>
      <c r="H794" s="97" t="inlineStr">
        <is>
          <t>Risiko Gizi Lebih</t>
        </is>
      </c>
      <c r="I794" s="98" t="inlineStr">
        <is>
          <t>Ya</t>
        </is>
      </c>
      <c r="J794" s="98">
        <f>IF(G794="Normal","Tidak",IF(G794="Pendek","Potensi Stunting",IF(G794="Sangat Pendek","Stunting","")))</f>
        <v/>
      </c>
    </row>
    <row r="795" ht="15.75" customHeight="1" s="95">
      <c r="A795" s="97" t="inlineStr">
        <is>
          <t>anonymus0794</t>
        </is>
      </c>
      <c r="B795" s="97" t="inlineStr">
        <is>
          <t xml:space="preserve">P </t>
        </is>
      </c>
      <c r="C795" s="97" t="inlineStr">
        <is>
          <t>1-34 Bulan</t>
        </is>
      </c>
      <c r="D795" s="97" t="inlineStr">
        <is>
          <t>13.2</t>
        </is>
      </c>
      <c r="E795" s="97" t="n">
        <v>91</v>
      </c>
      <c r="F795" s="97" t="inlineStr">
        <is>
          <t>Risiko Lebih</t>
        </is>
      </c>
      <c r="G795" s="97" t="inlineStr">
        <is>
          <t>Normal</t>
        </is>
      </c>
      <c r="H795" s="97" t="inlineStr">
        <is>
          <t>Gizi Baik</t>
        </is>
      </c>
      <c r="I795" s="98" t="inlineStr">
        <is>
          <t>Ya</t>
        </is>
      </c>
      <c r="J795" s="98">
        <f>IF(G795="Normal","Tidak",IF(G795="Pendek","Potensi Stunting",IF(G795="Sangat Pendek","Stunting","")))</f>
        <v/>
      </c>
    </row>
    <row r="796" ht="15.75" customHeight="1" s="95">
      <c r="A796" s="97" t="inlineStr">
        <is>
          <t>anonymus0795</t>
        </is>
      </c>
      <c r="B796" s="97" t="inlineStr">
        <is>
          <t xml:space="preserve">L </t>
        </is>
      </c>
      <c r="C796" s="97" t="inlineStr">
        <is>
          <t>1-34 Bulan</t>
        </is>
      </c>
      <c r="D796" s="97" t="inlineStr">
        <is>
          <t>10.3</t>
        </is>
      </c>
      <c r="E796" s="97" t="n">
        <v>87</v>
      </c>
      <c r="F796" s="97" t="inlineStr">
        <is>
          <t>Kurang</t>
        </is>
      </c>
      <c r="G796" s="97" t="inlineStr">
        <is>
          <t>Pendek</t>
        </is>
      </c>
      <c r="H796" s="97" t="inlineStr">
        <is>
          <t>Gizi Baik</t>
        </is>
      </c>
      <c r="I796" s="98" t="inlineStr">
        <is>
          <t>Ya</t>
        </is>
      </c>
      <c r="J796" s="98">
        <f>IF(G796="Normal","Tidak",IF(G796="Pendek","Potensi Stunting",IF(G796="Sangat Pendek","Stunting","")))</f>
        <v/>
      </c>
    </row>
    <row r="797" ht="15.75" customHeight="1" s="95">
      <c r="A797" s="97" t="inlineStr">
        <is>
          <t>anonymus0796</t>
        </is>
      </c>
      <c r="B797" s="97" t="inlineStr">
        <is>
          <t>L</t>
        </is>
      </c>
      <c r="C797" s="97" t="inlineStr">
        <is>
          <t>1-34 Bulan</t>
        </is>
      </c>
      <c r="D797" s="97" t="n">
        <v>10.8</v>
      </c>
      <c r="E797" s="97" t="n">
        <v>77</v>
      </c>
      <c r="F797" s="97" t="inlineStr">
        <is>
          <t>Normal</t>
        </is>
      </c>
      <c r="G797" s="97" t="inlineStr">
        <is>
          <t>Pendek</t>
        </is>
      </c>
      <c r="H797" s="97" t="inlineStr">
        <is>
          <t>Gizi Baik</t>
        </is>
      </c>
      <c r="I797" s="98" t="inlineStr">
        <is>
          <t>Ya</t>
        </is>
      </c>
      <c r="J797" s="98">
        <f>IF(G797="Normal","Tidak",IF(G797="Pendek","Potensi Stunting",IF(G797="Sangat Pendek","Stunting","")))</f>
        <v/>
      </c>
    </row>
    <row r="798" ht="15.75" customHeight="1" s="95">
      <c r="A798" s="97" t="inlineStr">
        <is>
          <t>anonymus0797</t>
        </is>
      </c>
      <c r="B798" s="97" t="inlineStr">
        <is>
          <t>P</t>
        </is>
      </c>
      <c r="C798" s="97" t="inlineStr">
        <is>
          <t>1-34 Bulan</t>
        </is>
      </c>
      <c r="D798" s="97" t="n">
        <v>10</v>
      </c>
      <c r="E798" s="97" t="n">
        <v>88</v>
      </c>
      <c r="F798" s="97" t="inlineStr">
        <is>
          <t>Normal</t>
        </is>
      </c>
      <c r="G798" s="97" t="inlineStr">
        <is>
          <t>Normal</t>
        </is>
      </c>
      <c r="H798" s="97" t="inlineStr">
        <is>
          <t>Gizi Kurang</t>
        </is>
      </c>
      <c r="I798" s="98" t="inlineStr">
        <is>
          <t>Ya</t>
        </is>
      </c>
      <c r="J798" s="98">
        <f>IF(G798="Normal","Tidak",IF(G798="Pendek","Potensi Stunting",IF(G798="Sangat Pendek","Stunting","")))</f>
        <v/>
      </c>
    </row>
    <row r="799" ht="15.75" customHeight="1" s="95">
      <c r="A799" s="97" t="inlineStr">
        <is>
          <t>anonymus0798</t>
        </is>
      </c>
      <c r="B799" s="97" t="inlineStr">
        <is>
          <t>L</t>
        </is>
      </c>
      <c r="C799" s="97" t="inlineStr">
        <is>
          <t>1-34 Bulan</t>
        </is>
      </c>
      <c r="D799" s="97" t="n">
        <v>9.199999999999999</v>
      </c>
      <c r="E799" s="97" t="n">
        <v>77</v>
      </c>
      <c r="F799" s="97" t="inlineStr">
        <is>
          <t>Berat Badan Normal</t>
        </is>
      </c>
      <c r="G799" s="97" t="inlineStr">
        <is>
          <t>Normal</t>
        </is>
      </c>
      <c r="H799" s="97" t="inlineStr">
        <is>
          <t>Gizi Baik</t>
        </is>
      </c>
      <c r="I799" s="98" t="inlineStr">
        <is>
          <t>Ya</t>
        </is>
      </c>
      <c r="J799" s="98">
        <f>IF(G799="Normal","Tidak",IF(G799="Pendek","Potensi Stunting",IF(G799="Sangat Pendek","Stunting","")))</f>
        <v/>
      </c>
    </row>
    <row r="800" ht="15.75" customHeight="1" s="95">
      <c r="A800" s="97" t="inlineStr">
        <is>
          <t>anonymus0799</t>
        </is>
      </c>
      <c r="B800" s="97" t="inlineStr">
        <is>
          <t>L</t>
        </is>
      </c>
      <c r="C800" s="97" t="inlineStr">
        <is>
          <t>1-34 Bulan</t>
        </is>
      </c>
      <c r="D800" s="97" t="n">
        <v>9.699999999999999</v>
      </c>
      <c r="E800" s="97" t="n">
        <v>84</v>
      </c>
      <c r="F800" s="97" t="inlineStr">
        <is>
          <t>Kurang</t>
        </is>
      </c>
      <c r="G800" s="97" t="inlineStr">
        <is>
          <t>Normal</t>
        </is>
      </c>
      <c r="H800" s="97" t="inlineStr">
        <is>
          <t>Gizi Kurang</t>
        </is>
      </c>
      <c r="I800" s="98" t="inlineStr">
        <is>
          <t>Ya</t>
        </is>
      </c>
      <c r="J800" s="98">
        <f>IF(G800="Normal","Tidak",IF(G800="Pendek","Potensi Stunting",IF(G800="Sangat Pendek","Stunting","")))</f>
        <v/>
      </c>
    </row>
    <row r="801" ht="15.75" customHeight="1" s="95">
      <c r="A801" s="97" t="inlineStr">
        <is>
          <t>anonymus0800</t>
        </is>
      </c>
      <c r="B801" s="97" t="inlineStr">
        <is>
          <t xml:space="preserve">L </t>
        </is>
      </c>
      <c r="C801" s="97" t="inlineStr">
        <is>
          <t>1-34 Bulan</t>
        </is>
      </c>
      <c r="D801" s="97" t="inlineStr">
        <is>
          <t>8.7</t>
        </is>
      </c>
      <c r="E801" s="97" t="n">
        <v>74</v>
      </c>
      <c r="F801" s="97" t="inlineStr">
        <is>
          <t>Berat Badan Normal</t>
        </is>
      </c>
      <c r="G801" s="97" t="inlineStr">
        <is>
          <t>Normal</t>
        </is>
      </c>
      <c r="H801" s="97" t="inlineStr">
        <is>
          <t>Gizi Baik</t>
        </is>
      </c>
      <c r="I801" s="98" t="inlineStr">
        <is>
          <t>Ya</t>
        </is>
      </c>
      <c r="J801" s="98">
        <f>IF(G801="Normal","Tidak",IF(G801="Pendek","Potensi Stunting",IF(G801="Sangat Pendek","Stunting","")))</f>
        <v/>
      </c>
    </row>
    <row r="802" ht="15.75" customHeight="1" s="95">
      <c r="A802" s="97" t="inlineStr">
        <is>
          <t>anonymus0801</t>
        </is>
      </c>
      <c r="B802" s="97" t="inlineStr">
        <is>
          <t xml:space="preserve">L </t>
        </is>
      </c>
      <c r="C802" s="97" t="inlineStr">
        <is>
          <t>35-69 Bulan</t>
        </is>
      </c>
      <c r="D802" s="97" t="inlineStr">
        <is>
          <t>14.5</t>
        </is>
      </c>
      <c r="E802" s="97" t="n">
        <v>103</v>
      </c>
      <c r="F802" s="97" t="inlineStr">
        <is>
          <t>Berat Badan Normal</t>
        </is>
      </c>
      <c r="G802" s="97" t="inlineStr">
        <is>
          <t>Normal</t>
        </is>
      </c>
      <c r="H802" s="97" t="inlineStr">
        <is>
          <t>Gizi Baik</t>
        </is>
      </c>
      <c r="I802" s="98" t="inlineStr">
        <is>
          <t>Ya</t>
        </is>
      </c>
      <c r="J802" s="98">
        <f>IF(G802="Normal","Tidak",IF(G802="Pendek","Potensi Stunting",IF(G802="Sangat Pendek","Stunting","")))</f>
        <v/>
      </c>
    </row>
    <row r="803" ht="15.75" customHeight="1" s="95">
      <c r="A803" s="97" t="inlineStr">
        <is>
          <t>anonymus0802</t>
        </is>
      </c>
      <c r="B803" s="97" t="inlineStr">
        <is>
          <t>P</t>
        </is>
      </c>
      <c r="C803" s="97" t="inlineStr">
        <is>
          <t>35-69 Bulan</t>
        </is>
      </c>
      <c r="D803" s="97" t="n">
        <v>12</v>
      </c>
      <c r="E803" s="97" t="n">
        <v>94</v>
      </c>
      <c r="F803" s="97" t="inlineStr">
        <is>
          <t>Kurang</t>
        </is>
      </c>
      <c r="G803" s="97" t="inlineStr">
        <is>
          <t>Pendek</t>
        </is>
      </c>
      <c r="H803" s="97" t="inlineStr">
        <is>
          <t>Gizi Baik</t>
        </is>
      </c>
      <c r="I803" s="98" t="inlineStr">
        <is>
          <t>Ya</t>
        </is>
      </c>
      <c r="J803" s="98">
        <f>IF(G803="Normal","Tidak",IF(G803="Pendek","Potensi Stunting",IF(G803="Sangat Pendek","Stunting","")))</f>
        <v/>
      </c>
    </row>
    <row r="804" ht="15.75" customHeight="1" s="95">
      <c r="A804" s="97" t="inlineStr">
        <is>
          <t>anonymus0803</t>
        </is>
      </c>
      <c r="B804" s="97" t="inlineStr">
        <is>
          <t xml:space="preserve">L </t>
        </is>
      </c>
      <c r="C804" s="97" t="inlineStr">
        <is>
          <t>1-34 Bulan</t>
        </is>
      </c>
      <c r="D804" s="97" t="n">
        <v>8</v>
      </c>
      <c r="E804" s="97" t="n">
        <v>68</v>
      </c>
      <c r="F804" s="97" t="inlineStr">
        <is>
          <t>Berat Badan Normal</t>
        </is>
      </c>
      <c r="G804" s="97" t="inlineStr">
        <is>
          <t>Normal</t>
        </is>
      </c>
      <c r="H804" s="97" t="inlineStr">
        <is>
          <t>Gizi Baik</t>
        </is>
      </c>
      <c r="I804" s="98" t="inlineStr">
        <is>
          <t>Ya</t>
        </is>
      </c>
      <c r="J804" s="98">
        <f>IF(G804="Normal","Tidak",IF(G804="Pendek","Potensi Stunting",IF(G804="Sangat Pendek","Stunting","")))</f>
        <v/>
      </c>
    </row>
    <row r="805" ht="15.75" customHeight="1" s="95">
      <c r="A805" s="97" t="inlineStr">
        <is>
          <t>anonymus0804</t>
        </is>
      </c>
      <c r="B805" s="97" t="inlineStr">
        <is>
          <t>P</t>
        </is>
      </c>
      <c r="C805" s="97" t="inlineStr">
        <is>
          <t>1-34 Bulan</t>
        </is>
      </c>
      <c r="D805" s="97" t="n">
        <v>14.6</v>
      </c>
      <c r="E805" s="97" t="n">
        <v>77</v>
      </c>
      <c r="F805" s="97" t="inlineStr">
        <is>
          <t>Berat Badan Normal</t>
        </is>
      </c>
      <c r="G805" s="97" t="inlineStr">
        <is>
          <t>Normal</t>
        </is>
      </c>
      <c r="H805" s="97" t="inlineStr">
        <is>
          <t>Gizi Baik</t>
        </is>
      </c>
      <c r="I805" s="98" t="inlineStr">
        <is>
          <t>Ya</t>
        </is>
      </c>
      <c r="J805" s="98">
        <f>IF(G805="Normal","Tidak",IF(G805="Pendek","Potensi Stunting",IF(G805="Sangat Pendek","Stunting","")))</f>
        <v/>
      </c>
    </row>
    <row r="806" ht="15.75" customHeight="1" s="95">
      <c r="A806" s="97" t="inlineStr">
        <is>
          <t>anonymus0805</t>
        </is>
      </c>
      <c r="B806" s="97" t="inlineStr">
        <is>
          <t xml:space="preserve">P </t>
        </is>
      </c>
      <c r="C806" s="97" t="inlineStr">
        <is>
          <t>1-34 Bulan</t>
        </is>
      </c>
      <c r="D806" s="97" t="inlineStr">
        <is>
          <t>5.4</t>
        </is>
      </c>
      <c r="E806" s="97" t="n">
        <v>59</v>
      </c>
      <c r="F806" s="97" t="inlineStr">
        <is>
          <t>Sangat Kurang</t>
        </is>
      </c>
      <c r="G806" s="97" t="inlineStr">
        <is>
          <t>Sangat Pendek</t>
        </is>
      </c>
      <c r="H806" s="97" t="inlineStr">
        <is>
          <t>Gizi Baik</t>
        </is>
      </c>
      <c r="I806" s="98" t="inlineStr">
        <is>
          <t>Ya</t>
        </is>
      </c>
      <c r="J806" s="98">
        <f>IF(G806="Normal","Tidak",IF(G806="Pendek","Potensi Stunting",IF(G806="Sangat Pendek","Stunting","")))</f>
        <v/>
      </c>
    </row>
    <row r="807" ht="15.75" customHeight="1" s="95">
      <c r="A807" s="97" t="inlineStr">
        <is>
          <t>anonymus0806</t>
        </is>
      </c>
      <c r="B807" s="97" t="inlineStr">
        <is>
          <t xml:space="preserve">L </t>
        </is>
      </c>
      <c r="C807" s="97" t="inlineStr">
        <is>
          <t>1-34 Bulan</t>
        </is>
      </c>
      <c r="D807" s="97" t="n">
        <v>6</v>
      </c>
      <c r="E807" s="97" t="n">
        <v>60</v>
      </c>
      <c r="F807" s="97" t="inlineStr">
        <is>
          <t>Berat Badan Normal</t>
        </is>
      </c>
      <c r="G807" s="97" t="inlineStr">
        <is>
          <t>Normal</t>
        </is>
      </c>
      <c r="H807" s="97" t="inlineStr">
        <is>
          <t>Gizi Baik</t>
        </is>
      </c>
      <c r="I807" s="98" t="inlineStr">
        <is>
          <t>Ya</t>
        </is>
      </c>
      <c r="J807" s="98">
        <f>IF(G807="Normal","Tidak",IF(G807="Pendek","Potensi Stunting",IF(G807="Sangat Pendek","Stunting","")))</f>
        <v/>
      </c>
    </row>
    <row r="808" ht="15.75" customHeight="1" s="95">
      <c r="A808" s="97" t="inlineStr">
        <is>
          <t>anonymus0807</t>
        </is>
      </c>
      <c r="B808" s="97" t="inlineStr">
        <is>
          <t>P</t>
        </is>
      </c>
      <c r="C808" s="97" t="inlineStr">
        <is>
          <t>1-34 Bulan</t>
        </is>
      </c>
      <c r="D808" s="97" t="n">
        <v>6.8</v>
      </c>
      <c r="E808" s="97" t="n">
        <v>82</v>
      </c>
      <c r="F808" s="97" t="inlineStr">
        <is>
          <t>Kurang</t>
        </is>
      </c>
      <c r="G808" s="97" t="inlineStr">
        <is>
          <t>Normal</t>
        </is>
      </c>
      <c r="H808" s="97" t="inlineStr">
        <is>
          <t>Gizi Kurang</t>
        </is>
      </c>
      <c r="I808" s="98" t="inlineStr">
        <is>
          <t>Ya</t>
        </is>
      </c>
      <c r="J808" s="98">
        <f>IF(G808="Normal","Tidak",IF(G808="Pendek","Potensi Stunting",IF(G808="Sangat Pendek","Stunting","")))</f>
        <v/>
      </c>
    </row>
    <row r="809" ht="15.75" customHeight="1" s="95">
      <c r="A809" s="97" t="inlineStr">
        <is>
          <t>anonymus0808</t>
        </is>
      </c>
      <c r="B809" s="97" t="inlineStr">
        <is>
          <t>P</t>
        </is>
      </c>
      <c r="C809" s="97" t="inlineStr">
        <is>
          <t>35-69 Bulan</t>
        </is>
      </c>
      <c r="D809" s="97" t="n">
        <v>19.5</v>
      </c>
      <c r="E809" s="97" t="n">
        <v>116</v>
      </c>
      <c r="F809" s="97" t="inlineStr">
        <is>
          <t>Risiko Lebih</t>
        </is>
      </c>
      <c r="G809" s="97" t="inlineStr">
        <is>
          <t>Normal</t>
        </is>
      </c>
      <c r="H809" s="97" t="inlineStr">
        <is>
          <t>Gizi Lebih</t>
        </is>
      </c>
      <c r="I809" s="98" t="inlineStr">
        <is>
          <t>Ya</t>
        </is>
      </c>
      <c r="J809" s="98">
        <f>IF(G809="Normal","Tidak",IF(G809="Pendek","Potensi Stunting",IF(G809="Sangat Pendek","Stunting","")))</f>
        <v/>
      </c>
    </row>
    <row r="810" ht="15.75" customHeight="1" s="95">
      <c r="A810" s="97" t="inlineStr">
        <is>
          <t>anonymus0809</t>
        </is>
      </c>
      <c r="B810" s="97" t="inlineStr">
        <is>
          <t>L</t>
        </is>
      </c>
      <c r="C810" s="97" t="inlineStr">
        <is>
          <t>35-69 Bulan</t>
        </is>
      </c>
      <c r="D810" s="97" t="n">
        <v>14.2</v>
      </c>
      <c r="E810" s="97" t="n">
        <v>109</v>
      </c>
      <c r="F810" s="97" t="inlineStr">
        <is>
          <t>Berat Badan Normal</t>
        </is>
      </c>
      <c r="G810" s="97" t="inlineStr">
        <is>
          <t>Normal</t>
        </is>
      </c>
      <c r="H810" s="97" t="inlineStr">
        <is>
          <t>Gizi Baik</t>
        </is>
      </c>
      <c r="I810" s="98" t="inlineStr">
        <is>
          <t>Ya</t>
        </is>
      </c>
      <c r="J810" s="98">
        <f>IF(G810="Normal","Tidak",IF(G810="Pendek","Potensi Stunting",IF(G810="Sangat Pendek","Stunting","")))</f>
        <v/>
      </c>
    </row>
    <row r="811" ht="15.75" customHeight="1" s="95">
      <c r="A811" s="97" t="inlineStr">
        <is>
          <t>anonymus0810</t>
        </is>
      </c>
      <c r="B811" s="97" t="inlineStr">
        <is>
          <t xml:space="preserve">L </t>
        </is>
      </c>
      <c r="C811" s="97" t="inlineStr">
        <is>
          <t>35-69 Bulan</t>
        </is>
      </c>
      <c r="D811" s="97" t="inlineStr">
        <is>
          <t>15.3</t>
        </is>
      </c>
      <c r="E811" s="97" t="n">
        <v>101</v>
      </c>
      <c r="F811" s="97" t="inlineStr">
        <is>
          <t>Berat Badan Normal</t>
        </is>
      </c>
      <c r="G811" s="97" t="inlineStr">
        <is>
          <t>Normal</t>
        </is>
      </c>
      <c r="H811" s="97" t="inlineStr">
        <is>
          <t>Gizi Baik</t>
        </is>
      </c>
      <c r="I811" s="98" t="inlineStr">
        <is>
          <t>Ya</t>
        </is>
      </c>
      <c r="J811" s="98">
        <f>IF(G811="Normal","Tidak",IF(G811="Pendek","Potensi Stunting",IF(G811="Sangat Pendek","Stunting","")))</f>
        <v/>
      </c>
    </row>
    <row r="812" ht="15.75" customHeight="1" s="95">
      <c r="A812" s="97" t="inlineStr">
        <is>
          <t>anonymus0811</t>
        </is>
      </c>
      <c r="B812" s="97" t="inlineStr">
        <is>
          <t>L</t>
        </is>
      </c>
      <c r="C812" s="97" t="inlineStr">
        <is>
          <t>35-69 Bulan</t>
        </is>
      </c>
      <c r="D812" s="97" t="n">
        <v>9.4</v>
      </c>
      <c r="E812" s="97" t="n">
        <v>85</v>
      </c>
      <c r="F812" s="97" t="inlineStr">
        <is>
          <t>Kurang</t>
        </is>
      </c>
      <c r="G812" s="97" t="inlineStr">
        <is>
          <t>Pendek</t>
        </is>
      </c>
      <c r="H812" s="97" t="inlineStr">
        <is>
          <t>Gizi Kurang</t>
        </is>
      </c>
      <c r="I812" s="98" t="inlineStr">
        <is>
          <t>Ya</t>
        </is>
      </c>
      <c r="J812" s="98">
        <f>IF(G812="Normal","Tidak",IF(G812="Pendek","Potensi Stunting",IF(G812="Sangat Pendek","Stunting","")))</f>
        <v/>
      </c>
    </row>
    <row r="813" ht="15.75" customHeight="1" s="95">
      <c r="A813" s="97" t="inlineStr">
        <is>
          <t>anonymus0812</t>
        </is>
      </c>
      <c r="B813" s="97" t="inlineStr">
        <is>
          <t>P</t>
        </is>
      </c>
      <c r="C813" s="97" t="inlineStr">
        <is>
          <t>1-34 Bulan</t>
        </is>
      </c>
      <c r="D813" s="97" t="n">
        <v>12.5</v>
      </c>
      <c r="E813" s="97" t="n">
        <v>87</v>
      </c>
      <c r="F813" s="97" t="inlineStr">
        <is>
          <t>Berat Badan Normal</t>
        </is>
      </c>
      <c r="G813" s="97" t="inlineStr">
        <is>
          <t>Normal</t>
        </is>
      </c>
      <c r="H813" s="97" t="inlineStr">
        <is>
          <t>Gizi Baik</t>
        </is>
      </c>
      <c r="I813" s="98" t="inlineStr">
        <is>
          <t>Ya</t>
        </is>
      </c>
      <c r="J813" s="98">
        <f>IF(G813="Normal","Tidak",IF(G813="Pendek","Potensi Stunting",IF(G813="Sangat Pendek","Stunting","")))</f>
        <v/>
      </c>
    </row>
    <row r="814" ht="15.75" customHeight="1" s="95">
      <c r="A814" s="97" t="inlineStr">
        <is>
          <t>anonymus0813</t>
        </is>
      </c>
      <c r="B814" s="97" t="inlineStr">
        <is>
          <t>P</t>
        </is>
      </c>
      <c r="C814" s="97" t="inlineStr">
        <is>
          <t>1-34 Bulan</t>
        </is>
      </c>
      <c r="D814" s="97" t="n">
        <v>7</v>
      </c>
      <c r="E814" s="97" t="n">
        <v>71.40000000000001</v>
      </c>
      <c r="F814" s="97" t="inlineStr">
        <is>
          <t>Kurang</t>
        </is>
      </c>
      <c r="G814" s="97" t="inlineStr">
        <is>
          <t>Pendek</t>
        </is>
      </c>
      <c r="H814" s="97" t="inlineStr">
        <is>
          <t>Gizi Kurang</t>
        </is>
      </c>
      <c r="I814" s="98" t="inlineStr">
        <is>
          <t>Ya</t>
        </is>
      </c>
      <c r="J814" s="98">
        <f>IF(G814="Normal","Tidak",IF(G814="Pendek","Potensi Stunting",IF(G814="Sangat Pendek","Stunting","")))</f>
        <v/>
      </c>
    </row>
    <row r="815" ht="15.75" customHeight="1" s="95">
      <c r="A815" s="97" t="inlineStr">
        <is>
          <t>anonymus0814</t>
        </is>
      </c>
      <c r="B815" s="97" t="inlineStr">
        <is>
          <t xml:space="preserve">P </t>
        </is>
      </c>
      <c r="C815" s="97" t="inlineStr">
        <is>
          <t>1-34 Bulan</t>
        </is>
      </c>
      <c r="D815" s="97" t="inlineStr">
        <is>
          <t>12.9</t>
        </is>
      </c>
      <c r="E815" s="97" t="n">
        <v>91</v>
      </c>
      <c r="F815" s="97" t="inlineStr">
        <is>
          <t>Berat Badan Normal</t>
        </is>
      </c>
      <c r="G815" s="97" t="inlineStr">
        <is>
          <t>Normal</t>
        </is>
      </c>
      <c r="H815" s="97" t="inlineStr">
        <is>
          <t>Gizi Baik</t>
        </is>
      </c>
      <c r="I815" s="98" t="inlineStr">
        <is>
          <t>Ya</t>
        </is>
      </c>
      <c r="J815" s="98">
        <f>IF(G815="Normal","Tidak",IF(G815="Pendek","Potensi Stunting",IF(G815="Sangat Pendek","Stunting","")))</f>
        <v/>
      </c>
    </row>
    <row r="816" ht="15.75" customHeight="1" s="95">
      <c r="A816" s="97" t="inlineStr">
        <is>
          <t>anonymus0815</t>
        </is>
      </c>
      <c r="B816" s="97" t="inlineStr">
        <is>
          <t>L</t>
        </is>
      </c>
      <c r="C816" s="97" t="inlineStr">
        <is>
          <t>35-69 Bulan</t>
        </is>
      </c>
      <c r="D816" s="97" t="n">
        <v>17</v>
      </c>
      <c r="E816" s="97" t="n">
        <v>103</v>
      </c>
      <c r="F816" s="97" t="inlineStr">
        <is>
          <t>Berat Badan Normal</t>
        </is>
      </c>
      <c r="G816" s="97" t="inlineStr">
        <is>
          <t>Normal</t>
        </is>
      </c>
      <c r="H816" s="97" t="inlineStr">
        <is>
          <t>Gizi Baik</t>
        </is>
      </c>
      <c r="I816" s="98" t="inlineStr">
        <is>
          <t>Ya</t>
        </is>
      </c>
      <c r="J816" s="98">
        <f>IF(G816="Normal","Tidak",IF(G816="Pendek","Potensi Stunting",IF(G816="Sangat Pendek","Stunting","")))</f>
        <v/>
      </c>
    </row>
    <row r="817" ht="15.75" customHeight="1" s="95">
      <c r="A817" s="97" t="inlineStr">
        <is>
          <t>anonymus0816</t>
        </is>
      </c>
      <c r="B817" s="97" t="inlineStr">
        <is>
          <t xml:space="preserve">L </t>
        </is>
      </c>
      <c r="C817" s="97" t="inlineStr">
        <is>
          <t>1-34 Bulan</t>
        </is>
      </c>
      <c r="D817" s="97" t="inlineStr">
        <is>
          <t>12.9</t>
        </is>
      </c>
      <c r="E817" s="97" t="n">
        <v>88</v>
      </c>
      <c r="F817" s="97" t="inlineStr">
        <is>
          <t>Berat Badan Normal</t>
        </is>
      </c>
      <c r="G817" s="97" t="inlineStr">
        <is>
          <t>Normal</t>
        </is>
      </c>
      <c r="H817" s="97" t="inlineStr">
        <is>
          <t>Gizi Baik</t>
        </is>
      </c>
      <c r="I817" s="98" t="inlineStr">
        <is>
          <t>Ya</t>
        </is>
      </c>
      <c r="J817" s="98">
        <f>IF(G817="Normal","Tidak",IF(G817="Pendek","Potensi Stunting",IF(G817="Sangat Pendek","Stunting","")))</f>
        <v/>
      </c>
    </row>
    <row r="818" ht="15.75" customHeight="1" s="95">
      <c r="A818" s="97" t="inlineStr">
        <is>
          <t>anonymus0817</t>
        </is>
      </c>
      <c r="B818" s="97" t="inlineStr">
        <is>
          <t xml:space="preserve">P </t>
        </is>
      </c>
      <c r="C818" s="97" t="inlineStr">
        <is>
          <t>1-34 Bulan</t>
        </is>
      </c>
      <c r="D818" s="97" t="n">
        <v>11</v>
      </c>
      <c r="E818" s="97" t="n">
        <v>80</v>
      </c>
      <c r="F818" s="97" t="inlineStr">
        <is>
          <t>Berat Badan Normal</t>
        </is>
      </c>
      <c r="G818" s="97" t="inlineStr">
        <is>
          <t>Normal</t>
        </is>
      </c>
      <c r="H818" s="97" t="inlineStr">
        <is>
          <t>Gizi Baik</t>
        </is>
      </c>
      <c r="I818" s="98" t="inlineStr">
        <is>
          <t>Ya</t>
        </is>
      </c>
      <c r="J818" s="98">
        <f>IF(G818="Normal","Tidak",IF(G818="Pendek","Potensi Stunting",IF(G818="Sangat Pendek","Stunting","")))</f>
        <v/>
      </c>
    </row>
    <row r="819" ht="15.75" customHeight="1" s="95">
      <c r="A819" s="97" t="inlineStr">
        <is>
          <t>anonymus0818</t>
        </is>
      </c>
      <c r="B819" s="97" t="inlineStr">
        <is>
          <t>P</t>
        </is>
      </c>
      <c r="C819" s="97" t="inlineStr">
        <is>
          <t>1-34 Bulan</t>
        </is>
      </c>
      <c r="D819" s="97" t="n">
        <v>10.9</v>
      </c>
      <c r="E819" s="97" t="n">
        <v>92</v>
      </c>
      <c r="F819" s="97" t="inlineStr">
        <is>
          <t>Berat Badan Normal</t>
        </is>
      </c>
      <c r="G819" s="97" t="inlineStr">
        <is>
          <t>Normal</t>
        </is>
      </c>
      <c r="H819" s="97" t="inlineStr">
        <is>
          <t>Gizi Baik</t>
        </is>
      </c>
      <c r="I819" s="98" t="inlineStr">
        <is>
          <t>Ya</t>
        </is>
      </c>
      <c r="J819" s="98">
        <f>IF(G819="Normal","Tidak",IF(G819="Pendek","Potensi Stunting",IF(G819="Sangat Pendek","Stunting","")))</f>
        <v/>
      </c>
    </row>
    <row r="820" ht="15.75" customHeight="1" s="95">
      <c r="A820" s="97" t="inlineStr">
        <is>
          <t>anonymus0819</t>
        </is>
      </c>
      <c r="B820" s="97" t="inlineStr">
        <is>
          <t xml:space="preserve">L </t>
        </is>
      </c>
      <c r="C820" s="97" t="inlineStr">
        <is>
          <t>1-34 Bulan</t>
        </is>
      </c>
      <c r="D820" s="97" t="n">
        <v>13</v>
      </c>
      <c r="E820" s="97" t="n">
        <v>87</v>
      </c>
      <c r="F820" s="97" t="inlineStr">
        <is>
          <t>Berat Badan Normal</t>
        </is>
      </c>
      <c r="G820" s="97" t="inlineStr">
        <is>
          <t>Normal</t>
        </is>
      </c>
      <c r="H820" s="97" t="inlineStr">
        <is>
          <t>Gizi Baik</t>
        </is>
      </c>
      <c r="I820" s="98" t="inlineStr">
        <is>
          <t>Ya</t>
        </is>
      </c>
      <c r="J820" s="98">
        <f>IF(G820="Normal","Tidak",IF(G820="Pendek","Potensi Stunting",IF(G820="Sangat Pendek","Stunting","")))</f>
        <v/>
      </c>
    </row>
    <row r="821" ht="15.75" customHeight="1" s="95">
      <c r="A821" s="97" t="inlineStr">
        <is>
          <t>anonymus0820</t>
        </is>
      </c>
      <c r="B821" s="97" t="inlineStr">
        <is>
          <t>L</t>
        </is>
      </c>
      <c r="C821" s="97" t="inlineStr">
        <is>
          <t>1-34 Bulan</t>
        </is>
      </c>
      <c r="D821" s="97" t="n">
        <v>12.8</v>
      </c>
      <c r="E821" s="97" t="n">
        <v>91</v>
      </c>
      <c r="F821" s="97" t="inlineStr">
        <is>
          <t>Berat Badan Normal</t>
        </is>
      </c>
      <c r="G821" s="97" t="inlineStr">
        <is>
          <t>Normal</t>
        </is>
      </c>
      <c r="H821" s="97" t="inlineStr">
        <is>
          <t>Gizi Baik</t>
        </is>
      </c>
      <c r="I821" s="98" t="inlineStr">
        <is>
          <t>Ya</t>
        </is>
      </c>
      <c r="J821" s="98">
        <f>IF(G821="Normal","Tidak",IF(G821="Pendek","Potensi Stunting",IF(G821="Sangat Pendek","Stunting","")))</f>
        <v/>
      </c>
    </row>
    <row r="822" ht="15.75" customHeight="1" s="95">
      <c r="A822" s="97" t="inlineStr">
        <is>
          <t>anonymus0821</t>
        </is>
      </c>
      <c r="B822" s="97" t="inlineStr">
        <is>
          <t xml:space="preserve">P </t>
        </is>
      </c>
      <c r="C822" s="97" t="inlineStr">
        <is>
          <t>35-69 Bulan</t>
        </is>
      </c>
      <c r="D822" s="97" t="inlineStr">
        <is>
          <t>16.2</t>
        </is>
      </c>
      <c r="E822" s="97" t="n">
        <v>102</v>
      </c>
      <c r="F822" s="97" t="inlineStr">
        <is>
          <t>Berat Badan Normal</t>
        </is>
      </c>
      <c r="G822" s="97" t="inlineStr">
        <is>
          <t>Normal</t>
        </is>
      </c>
      <c r="H822" s="97" t="inlineStr">
        <is>
          <t>Gizi Baik</t>
        </is>
      </c>
      <c r="I822" s="98" t="inlineStr">
        <is>
          <t>Ya</t>
        </is>
      </c>
      <c r="J822" s="98">
        <f>IF(G822="Normal","Tidak",IF(G822="Pendek","Potensi Stunting",IF(G822="Sangat Pendek","Stunting","")))</f>
        <v/>
      </c>
    </row>
    <row r="823" ht="15.75" customHeight="1" s="95">
      <c r="A823" s="97" t="inlineStr">
        <is>
          <t>anonymus0822</t>
        </is>
      </c>
      <c r="B823" s="97" t="inlineStr">
        <is>
          <t>L</t>
        </is>
      </c>
      <c r="C823" s="97" t="inlineStr">
        <is>
          <t>1-34 Bulan</t>
        </is>
      </c>
      <c r="D823" s="97" t="n">
        <v>7.9</v>
      </c>
      <c r="E823" s="97" t="n">
        <v>90</v>
      </c>
      <c r="F823" s="97" t="inlineStr">
        <is>
          <t>Kurang</t>
        </is>
      </c>
      <c r="G823" s="97" t="inlineStr">
        <is>
          <t>Normal</t>
        </is>
      </c>
      <c r="H823" s="97" t="inlineStr">
        <is>
          <t>Gizi Kurang</t>
        </is>
      </c>
      <c r="I823" s="98" t="inlineStr">
        <is>
          <t>Ya</t>
        </is>
      </c>
      <c r="J823" s="98">
        <f>IF(G823="Normal","Tidak",IF(G823="Pendek","Potensi Stunting",IF(G823="Sangat Pendek","Stunting","")))</f>
        <v/>
      </c>
    </row>
    <row r="824" ht="15.75" customHeight="1" s="95">
      <c r="A824" s="97" t="inlineStr">
        <is>
          <t>anonymus0823</t>
        </is>
      </c>
      <c r="B824" s="97" t="inlineStr">
        <is>
          <t>L</t>
        </is>
      </c>
      <c r="C824" s="97" t="inlineStr">
        <is>
          <t>35-69 Bulan</t>
        </is>
      </c>
      <c r="D824" s="97" t="n">
        <v>11.5</v>
      </c>
      <c r="E824" s="97" t="n">
        <v>93</v>
      </c>
      <c r="F824" s="97" t="inlineStr">
        <is>
          <t>Kurang</t>
        </is>
      </c>
      <c r="G824" s="97" t="inlineStr">
        <is>
          <t>Normal</t>
        </is>
      </c>
      <c r="H824" s="97" t="inlineStr">
        <is>
          <t>Gizi Kurang</t>
        </is>
      </c>
      <c r="I824" s="98" t="inlineStr">
        <is>
          <t>Ya</t>
        </is>
      </c>
      <c r="J824" s="98">
        <f>IF(G824="Normal","Tidak",IF(G824="Pendek","Potensi Stunting",IF(G824="Sangat Pendek","Stunting","")))</f>
        <v/>
      </c>
    </row>
    <row r="825" ht="15.75" customHeight="1" s="95">
      <c r="A825" s="97" t="inlineStr">
        <is>
          <t>anonymus0824</t>
        </is>
      </c>
      <c r="B825" s="97" t="inlineStr">
        <is>
          <t>P</t>
        </is>
      </c>
      <c r="C825" s="97" t="inlineStr">
        <is>
          <t>35-69 Bulan</t>
        </is>
      </c>
      <c r="D825" s="97" t="n">
        <v>19.4</v>
      </c>
      <c r="E825" s="97" t="n">
        <v>98</v>
      </c>
      <c r="F825" s="97" t="inlineStr">
        <is>
          <t>Risiko Lebih</t>
        </is>
      </c>
      <c r="G825" s="97" t="inlineStr">
        <is>
          <t>Normal</t>
        </is>
      </c>
      <c r="H825" s="97" t="inlineStr">
        <is>
          <t>Gizi Lebih</t>
        </is>
      </c>
      <c r="I825" s="98" t="inlineStr">
        <is>
          <t>Ya</t>
        </is>
      </c>
      <c r="J825" s="98">
        <f>IF(G825="Normal","Tidak",IF(G825="Pendek","Potensi Stunting",IF(G825="Sangat Pendek","Stunting","")))</f>
        <v/>
      </c>
    </row>
    <row r="826" ht="15.75" customHeight="1" s="95">
      <c r="A826" s="97" t="inlineStr">
        <is>
          <t>anonymus0825</t>
        </is>
      </c>
      <c r="B826" s="97" t="inlineStr">
        <is>
          <t>L</t>
        </is>
      </c>
      <c r="C826" s="97" t="inlineStr">
        <is>
          <t>35-69 Bulan</t>
        </is>
      </c>
      <c r="D826" s="97" t="n">
        <v>18.1</v>
      </c>
      <c r="E826" s="97" t="n">
        <v>94</v>
      </c>
      <c r="F826" s="97" t="inlineStr">
        <is>
          <t>Risiko Lebih</t>
        </is>
      </c>
      <c r="G826" s="97" t="inlineStr">
        <is>
          <t>Normal</t>
        </is>
      </c>
      <c r="H826" s="97" t="inlineStr">
        <is>
          <t>Gizi Lebih</t>
        </is>
      </c>
      <c r="I826" s="98" t="inlineStr">
        <is>
          <t>Ya</t>
        </is>
      </c>
      <c r="J826" s="98">
        <f>IF(G826="Normal","Tidak",IF(G826="Pendek","Potensi Stunting",IF(G826="Sangat Pendek","Stunting","")))</f>
        <v/>
      </c>
    </row>
    <row r="827" ht="15.75" customHeight="1" s="95">
      <c r="A827" s="97" t="inlineStr">
        <is>
          <t>anonymus0826</t>
        </is>
      </c>
      <c r="B827" s="97" t="inlineStr">
        <is>
          <t>P</t>
        </is>
      </c>
      <c r="C827" s="97" t="inlineStr">
        <is>
          <t>1-34 Bulan</t>
        </is>
      </c>
      <c r="D827" s="97" t="n">
        <v>12.7</v>
      </c>
      <c r="E827" s="97" t="n">
        <v>84</v>
      </c>
      <c r="F827" s="97" t="inlineStr">
        <is>
          <t>Berat Badan Normal</t>
        </is>
      </c>
      <c r="G827" s="97" t="inlineStr">
        <is>
          <t>Normal</t>
        </is>
      </c>
      <c r="H827" s="97" t="inlineStr">
        <is>
          <t>Gizi Baik</t>
        </is>
      </c>
      <c r="I827" s="98" t="inlineStr">
        <is>
          <t>Ya</t>
        </is>
      </c>
      <c r="J827" s="98">
        <f>IF(G827="Normal","Tidak",IF(G827="Pendek","Potensi Stunting",IF(G827="Sangat Pendek","Stunting","")))</f>
        <v/>
      </c>
    </row>
    <row r="828" ht="15.75" customHeight="1" s="95">
      <c r="A828" s="97" t="inlineStr">
        <is>
          <t>anonymus0827</t>
        </is>
      </c>
      <c r="B828" s="97" t="inlineStr">
        <is>
          <t>L</t>
        </is>
      </c>
      <c r="C828" s="97" t="inlineStr">
        <is>
          <t>35-69 Bulan</t>
        </is>
      </c>
      <c r="D828" s="97" t="n">
        <v>17.3</v>
      </c>
      <c r="E828" s="97" t="n">
        <v>101</v>
      </c>
      <c r="F828" s="97" t="inlineStr">
        <is>
          <t>Risiko Lebih</t>
        </is>
      </c>
      <c r="G828" s="97" t="inlineStr">
        <is>
          <t>Normal</t>
        </is>
      </c>
      <c r="H828" s="97" t="inlineStr">
        <is>
          <t>Gizi Lebih</t>
        </is>
      </c>
      <c r="I828" s="98" t="inlineStr">
        <is>
          <t>Ya</t>
        </is>
      </c>
      <c r="J828" s="98">
        <f>IF(G828="Normal","Tidak",IF(G828="Pendek","Potensi Stunting",IF(G828="Sangat Pendek","Stunting","")))</f>
        <v/>
      </c>
    </row>
    <row r="829" ht="15.75" customHeight="1" s="95">
      <c r="A829" s="97" t="inlineStr">
        <is>
          <t>anonymus0828</t>
        </is>
      </c>
      <c r="B829" s="97" t="inlineStr">
        <is>
          <t>P</t>
        </is>
      </c>
      <c r="C829" s="97" t="inlineStr">
        <is>
          <t>1-34 Bulan</t>
        </is>
      </c>
      <c r="D829" s="97" t="n">
        <v>9.9</v>
      </c>
      <c r="E829" s="97" t="n">
        <v>89</v>
      </c>
      <c r="F829" s="97" t="inlineStr">
        <is>
          <t>Kurang</t>
        </is>
      </c>
      <c r="G829" s="97" t="inlineStr">
        <is>
          <t>Normal</t>
        </is>
      </c>
      <c r="H829" s="97" t="inlineStr">
        <is>
          <t>Gizi Kurang</t>
        </is>
      </c>
      <c r="I829" s="98" t="inlineStr">
        <is>
          <t>Ya</t>
        </is>
      </c>
      <c r="J829" s="98">
        <f>IF(G829="Normal","Tidak",IF(G829="Pendek","Potensi Stunting",IF(G829="Sangat Pendek","Stunting","")))</f>
        <v/>
      </c>
    </row>
    <row r="830" ht="15.75" customHeight="1" s="95">
      <c r="A830" s="97" t="inlineStr">
        <is>
          <t>anonymus0829</t>
        </is>
      </c>
      <c r="B830" s="97" t="inlineStr">
        <is>
          <t>L</t>
        </is>
      </c>
      <c r="C830" s="97" t="inlineStr">
        <is>
          <t>1-34 Bulan</t>
        </is>
      </c>
      <c r="D830" s="97" t="n">
        <v>5.6</v>
      </c>
      <c r="E830" s="97" t="n">
        <v>62.5</v>
      </c>
      <c r="F830" s="97" t="inlineStr">
        <is>
          <t>Normal</t>
        </is>
      </c>
      <c r="G830" s="97" t="inlineStr">
        <is>
          <t>Normal</t>
        </is>
      </c>
      <c r="H830" s="97" t="inlineStr">
        <is>
          <t>Gizi Kurang</t>
        </is>
      </c>
      <c r="I830" s="98" t="inlineStr">
        <is>
          <t>Ya</t>
        </is>
      </c>
      <c r="J830" s="98">
        <f>IF(G830="Normal","Tidak",IF(G830="Pendek","Potensi Stunting",IF(G830="Sangat Pendek","Stunting","")))</f>
        <v/>
      </c>
    </row>
    <row r="831" ht="15.75" customHeight="1" s="95">
      <c r="A831" s="97" t="inlineStr">
        <is>
          <t>anonymus0830</t>
        </is>
      </c>
      <c r="B831" s="97" t="inlineStr">
        <is>
          <t xml:space="preserve">L </t>
        </is>
      </c>
      <c r="C831" s="97" t="inlineStr">
        <is>
          <t>1-34 Bulan</t>
        </is>
      </c>
      <c r="D831" s="97" t="inlineStr">
        <is>
          <t>9.2</t>
        </is>
      </c>
      <c r="E831" s="97" t="n">
        <v>74</v>
      </c>
      <c r="F831" s="97" t="inlineStr">
        <is>
          <t>Berat Badan Normal</t>
        </is>
      </c>
      <c r="G831" s="97" t="inlineStr">
        <is>
          <t>Normal</t>
        </is>
      </c>
      <c r="H831" s="97" t="inlineStr">
        <is>
          <t>Gizi Baik</t>
        </is>
      </c>
      <c r="I831" s="98" t="inlineStr">
        <is>
          <t>Ya</t>
        </is>
      </c>
      <c r="J831" s="98">
        <f>IF(G831="Normal","Tidak",IF(G831="Pendek","Potensi Stunting",IF(G831="Sangat Pendek","Stunting","")))</f>
        <v/>
      </c>
    </row>
    <row r="832" ht="15.75" customHeight="1" s="95">
      <c r="A832" s="97" t="inlineStr">
        <is>
          <t>anonymus0831</t>
        </is>
      </c>
      <c r="B832" s="97" t="inlineStr">
        <is>
          <t>P</t>
        </is>
      </c>
      <c r="C832" s="97" t="inlineStr">
        <is>
          <t>35-69 Bulan</t>
        </is>
      </c>
      <c r="D832" s="97" t="n">
        <v>10.3</v>
      </c>
      <c r="E832" s="97" t="n">
        <v>103</v>
      </c>
      <c r="F832" s="97" t="inlineStr">
        <is>
          <t>Berat Badan Normal</t>
        </is>
      </c>
      <c r="G832" s="97" t="inlineStr">
        <is>
          <t>Normal</t>
        </is>
      </c>
      <c r="H832" s="97" t="inlineStr">
        <is>
          <t>Gizi Baik</t>
        </is>
      </c>
      <c r="I832" s="98" t="inlineStr">
        <is>
          <t>Ya</t>
        </is>
      </c>
      <c r="J832" s="98">
        <f>IF(G832="Normal","Tidak",IF(G832="Pendek","Potensi Stunting",IF(G832="Sangat Pendek","Stunting","")))</f>
        <v/>
      </c>
    </row>
    <row r="833" ht="15.75" customHeight="1" s="95">
      <c r="A833" s="97" t="inlineStr">
        <is>
          <t>anonymus0832</t>
        </is>
      </c>
      <c r="B833" s="97" t="inlineStr">
        <is>
          <t>P</t>
        </is>
      </c>
      <c r="C833" s="97" t="inlineStr">
        <is>
          <t>35-69 Bulan</t>
        </is>
      </c>
      <c r="D833" s="97" t="n">
        <v>10.45</v>
      </c>
      <c r="E833" s="97" t="n">
        <v>90.5</v>
      </c>
      <c r="F833" s="97" t="inlineStr">
        <is>
          <t>Kurang</t>
        </is>
      </c>
      <c r="G833" s="97" t="inlineStr">
        <is>
          <t>Normal</t>
        </is>
      </c>
      <c r="H833" s="97" t="inlineStr">
        <is>
          <t>Gizi Kurang</t>
        </is>
      </c>
      <c r="I833" s="98" t="inlineStr">
        <is>
          <t>Ya</t>
        </is>
      </c>
      <c r="J833" s="98">
        <f>IF(G833="Normal","Tidak",IF(G833="Pendek","Potensi Stunting",IF(G833="Sangat Pendek","Stunting","")))</f>
        <v/>
      </c>
    </row>
    <row r="834" ht="15.75" customHeight="1" s="95">
      <c r="A834" s="97" t="inlineStr">
        <is>
          <t>anonymus0833</t>
        </is>
      </c>
      <c r="B834" s="97" t="inlineStr">
        <is>
          <t xml:space="preserve">L </t>
        </is>
      </c>
      <c r="C834" s="97" t="inlineStr">
        <is>
          <t>35-69 Bulan</t>
        </is>
      </c>
      <c r="D834" s="97" t="inlineStr">
        <is>
          <t>14.8</t>
        </is>
      </c>
      <c r="E834" s="97" t="n">
        <v>99</v>
      </c>
      <c r="F834" s="97" t="inlineStr">
        <is>
          <t>Berat Badan Normal</t>
        </is>
      </c>
      <c r="G834" s="97" t="inlineStr">
        <is>
          <t>Normal</t>
        </is>
      </c>
      <c r="H834" s="97" t="inlineStr">
        <is>
          <t>Gizi Baik</t>
        </is>
      </c>
      <c r="I834" s="98" t="inlineStr">
        <is>
          <t>Ya</t>
        </is>
      </c>
      <c r="J834" s="98">
        <f>IF(G834="Normal","Tidak",IF(G834="Pendek","Potensi Stunting",IF(G834="Sangat Pendek","Stunting","")))</f>
        <v/>
      </c>
    </row>
    <row r="835" ht="15.75" customHeight="1" s="95">
      <c r="A835" s="97" t="inlineStr">
        <is>
          <t>anonymus0834</t>
        </is>
      </c>
      <c r="B835" s="97" t="inlineStr">
        <is>
          <t xml:space="preserve">P </t>
        </is>
      </c>
      <c r="C835" s="97" t="inlineStr">
        <is>
          <t>1-34 Bulan</t>
        </is>
      </c>
      <c r="D835" s="97" t="n">
        <v>13</v>
      </c>
      <c r="E835" s="97" t="n">
        <v>91</v>
      </c>
      <c r="F835" s="97" t="inlineStr">
        <is>
          <t>Berat Badan Normal</t>
        </is>
      </c>
      <c r="G835" s="97" t="inlineStr">
        <is>
          <t>Normal</t>
        </is>
      </c>
      <c r="H835" s="97" t="inlineStr">
        <is>
          <t>Gizi Baik</t>
        </is>
      </c>
      <c r="I835" s="98" t="inlineStr">
        <is>
          <t>Ya</t>
        </is>
      </c>
      <c r="J835" s="98">
        <f>IF(G835="Normal","Tidak",IF(G835="Pendek","Potensi Stunting",IF(G835="Sangat Pendek","Stunting","")))</f>
        <v/>
      </c>
    </row>
    <row r="836" ht="15.75" customHeight="1" s="95">
      <c r="A836" s="97" t="inlineStr">
        <is>
          <t>anonymus0835</t>
        </is>
      </c>
      <c r="B836" s="97" t="inlineStr">
        <is>
          <t>L</t>
        </is>
      </c>
      <c r="C836" s="97" t="inlineStr">
        <is>
          <t>1-34 Bulan</t>
        </is>
      </c>
      <c r="D836" s="97" t="n">
        <v>8.6</v>
      </c>
      <c r="E836" s="97" t="n">
        <v>78</v>
      </c>
      <c r="F836" s="97" t="inlineStr">
        <is>
          <t>Sangat Kurang</t>
        </is>
      </c>
      <c r="G836" s="97" t="inlineStr">
        <is>
          <t>Sangat Pendek</t>
        </is>
      </c>
      <c r="H836" s="97" t="inlineStr">
        <is>
          <t>Gizi Kurang</t>
        </is>
      </c>
      <c r="I836" s="98" t="inlineStr">
        <is>
          <t>Ya</t>
        </is>
      </c>
      <c r="J836" s="98">
        <f>IF(G836="Normal","Tidak",IF(G836="Pendek","Potensi Stunting",IF(G836="Sangat Pendek","Stunting","")))</f>
        <v/>
      </c>
    </row>
    <row r="837" ht="15.75" customHeight="1" s="95">
      <c r="A837" s="97" t="inlineStr">
        <is>
          <t>anonymus0836</t>
        </is>
      </c>
      <c r="B837" s="97" t="inlineStr">
        <is>
          <t>L</t>
        </is>
      </c>
      <c r="C837" s="97" t="inlineStr">
        <is>
          <t>35-69 Bulan</t>
        </is>
      </c>
      <c r="D837" s="97" t="n">
        <v>8.5</v>
      </c>
      <c r="E837" s="97" t="n">
        <v>78.3</v>
      </c>
      <c r="F837" s="97" t="inlineStr">
        <is>
          <t>Sangat Kurang</t>
        </is>
      </c>
      <c r="G837" s="97" t="inlineStr">
        <is>
          <t>Sangat Pendek</t>
        </is>
      </c>
      <c r="H837" s="97" t="inlineStr">
        <is>
          <t>Gizi Kurang</t>
        </is>
      </c>
      <c r="I837" s="98" t="inlineStr">
        <is>
          <t>Ya</t>
        </is>
      </c>
      <c r="J837" s="98">
        <f>IF(G837="Normal","Tidak",IF(G837="Pendek","Potensi Stunting",IF(G837="Sangat Pendek","Stunting","")))</f>
        <v/>
      </c>
    </row>
    <row r="838" ht="15.75" customHeight="1" s="95">
      <c r="A838" s="97" t="inlineStr">
        <is>
          <t>anonymus0837</t>
        </is>
      </c>
      <c r="B838" s="97" t="inlineStr">
        <is>
          <t>L</t>
        </is>
      </c>
      <c r="C838" s="97" t="inlineStr">
        <is>
          <t>35-69 Bulan</t>
        </is>
      </c>
      <c r="D838" s="97" t="n">
        <v>16.1</v>
      </c>
      <c r="E838" s="97" t="n">
        <v>110</v>
      </c>
      <c r="F838" s="97" t="inlineStr">
        <is>
          <t>Berat Badan Normal</t>
        </is>
      </c>
      <c r="G838" s="97" t="inlineStr">
        <is>
          <t>Normal</t>
        </is>
      </c>
      <c r="H838" s="97" t="inlineStr">
        <is>
          <t>Gizi Baik</t>
        </is>
      </c>
      <c r="I838" s="98" t="inlineStr">
        <is>
          <t>Ya</t>
        </is>
      </c>
      <c r="J838" s="98">
        <f>IF(G838="Normal","Tidak",IF(G838="Pendek","Potensi Stunting",IF(G838="Sangat Pendek","Stunting","")))</f>
        <v/>
      </c>
    </row>
    <row r="839" ht="15.75" customHeight="1" s="95">
      <c r="A839" s="97" t="inlineStr">
        <is>
          <t>anonymus0838</t>
        </is>
      </c>
      <c r="B839" s="97" t="inlineStr">
        <is>
          <t>L</t>
        </is>
      </c>
      <c r="C839" s="97" t="inlineStr">
        <is>
          <t>35-69 Bulan</t>
        </is>
      </c>
      <c r="D839" s="97" t="n">
        <v>10.5</v>
      </c>
      <c r="E839" s="97" t="n">
        <v>90</v>
      </c>
      <c r="F839" s="97" t="inlineStr">
        <is>
          <t>Sangat Kurang</t>
        </is>
      </c>
      <c r="G839" s="97" t="inlineStr">
        <is>
          <t>Pendek</t>
        </is>
      </c>
      <c r="H839" s="97" t="inlineStr">
        <is>
          <t>Gizi Kurang</t>
        </is>
      </c>
      <c r="I839" s="98" t="inlineStr">
        <is>
          <t>Ya</t>
        </is>
      </c>
      <c r="J839" s="98">
        <f>IF(G839="Normal","Tidak",IF(G839="Pendek","Potensi Stunting",IF(G839="Sangat Pendek","Stunting","")))</f>
        <v/>
      </c>
    </row>
    <row r="840" ht="15.75" customHeight="1" s="95">
      <c r="A840" s="97" t="inlineStr">
        <is>
          <t>anonymus0839</t>
        </is>
      </c>
      <c r="B840" s="97" t="inlineStr">
        <is>
          <t>L</t>
        </is>
      </c>
      <c r="C840" s="97" t="inlineStr">
        <is>
          <t>1-34 Bulan</t>
        </is>
      </c>
      <c r="D840" s="97" t="n">
        <v>12.7</v>
      </c>
      <c r="E840" s="97" t="n">
        <v>79</v>
      </c>
      <c r="F840" s="97" t="inlineStr">
        <is>
          <t>Berat Badan Normal</t>
        </is>
      </c>
      <c r="G840" s="97" t="inlineStr">
        <is>
          <t>Normal</t>
        </is>
      </c>
      <c r="H840" s="97" t="inlineStr">
        <is>
          <t>Gizi Baik</t>
        </is>
      </c>
      <c r="I840" s="98" t="inlineStr">
        <is>
          <t>Ya</t>
        </is>
      </c>
      <c r="J840" s="98">
        <f>IF(G840="Normal","Tidak",IF(G840="Pendek","Potensi Stunting",IF(G840="Sangat Pendek","Stunting","")))</f>
        <v/>
      </c>
    </row>
    <row r="841" ht="15.75" customHeight="1" s="95">
      <c r="A841" s="97" t="inlineStr">
        <is>
          <t>anonymus0840</t>
        </is>
      </c>
      <c r="B841" s="97" t="inlineStr">
        <is>
          <t>L</t>
        </is>
      </c>
      <c r="C841" s="97" t="inlineStr">
        <is>
          <t>1-34 Bulan</t>
        </is>
      </c>
      <c r="D841" s="97" t="n">
        <v>14.6</v>
      </c>
      <c r="E841" s="97" t="n">
        <v>99</v>
      </c>
      <c r="F841" s="97" t="inlineStr">
        <is>
          <t>Berat Badan Normal</t>
        </is>
      </c>
      <c r="G841" s="97" t="inlineStr">
        <is>
          <t>Normal</t>
        </is>
      </c>
      <c r="H841" s="97" t="inlineStr">
        <is>
          <t>Gizi Baik</t>
        </is>
      </c>
      <c r="I841" s="98" t="inlineStr">
        <is>
          <t>Ya</t>
        </is>
      </c>
      <c r="J841" s="98">
        <f>IF(G841="Normal","Tidak",IF(G841="Pendek","Potensi Stunting",IF(G841="Sangat Pendek","Stunting","")))</f>
        <v/>
      </c>
    </row>
    <row r="842" ht="15.75" customHeight="1" s="95">
      <c r="A842" s="97" t="inlineStr">
        <is>
          <t>anonymus0841</t>
        </is>
      </c>
      <c r="B842" s="97" t="inlineStr">
        <is>
          <t xml:space="preserve">L </t>
        </is>
      </c>
      <c r="C842" s="97" t="inlineStr">
        <is>
          <t>1-34 Bulan</t>
        </is>
      </c>
      <c r="D842" s="97" t="inlineStr">
        <is>
          <t>12.5</t>
        </is>
      </c>
      <c r="E842" s="97" t="n">
        <v>87</v>
      </c>
      <c r="F842" s="97" t="inlineStr">
        <is>
          <t>Berat Badan Normal</t>
        </is>
      </c>
      <c r="G842" s="97" t="inlineStr">
        <is>
          <t>Normal</t>
        </is>
      </c>
      <c r="H842" s="97" t="inlineStr">
        <is>
          <t>Gizi Baik</t>
        </is>
      </c>
      <c r="I842" s="98" t="inlineStr">
        <is>
          <t>Ya</t>
        </is>
      </c>
      <c r="J842" s="98">
        <f>IF(G842="Normal","Tidak",IF(G842="Pendek","Potensi Stunting",IF(G842="Sangat Pendek","Stunting","")))</f>
        <v/>
      </c>
    </row>
    <row r="843" ht="15.75" customHeight="1" s="95">
      <c r="A843" s="97" t="inlineStr">
        <is>
          <t>anonymus0842</t>
        </is>
      </c>
      <c r="B843" s="97" t="inlineStr">
        <is>
          <t>L</t>
        </is>
      </c>
      <c r="C843" s="97" t="inlineStr">
        <is>
          <t>35-69 Bulan</t>
        </is>
      </c>
      <c r="D843" s="97" t="n">
        <v>16.9</v>
      </c>
      <c r="E843" s="97" t="n">
        <v>93</v>
      </c>
      <c r="F843" s="97" t="inlineStr">
        <is>
          <t>Berat Badan Normal</t>
        </is>
      </c>
      <c r="G843" s="97" t="inlineStr">
        <is>
          <t>Normal</t>
        </is>
      </c>
      <c r="H843" s="97" t="inlineStr">
        <is>
          <t>Gizi Baik</t>
        </is>
      </c>
      <c r="I843" s="98" t="inlineStr">
        <is>
          <t>Ya</t>
        </is>
      </c>
      <c r="J843" s="98">
        <f>IF(G843="Normal","Tidak",IF(G843="Pendek","Potensi Stunting",IF(G843="Sangat Pendek","Stunting","")))</f>
        <v/>
      </c>
    </row>
    <row r="844" ht="15.75" customHeight="1" s="95">
      <c r="A844" s="97" t="inlineStr">
        <is>
          <t>anonymus0843</t>
        </is>
      </c>
      <c r="B844" s="97" t="inlineStr">
        <is>
          <t>L</t>
        </is>
      </c>
      <c r="C844" s="97" t="inlineStr">
        <is>
          <t>1-34 Bulan</t>
        </is>
      </c>
      <c r="D844" s="97" t="n">
        <v>6.16</v>
      </c>
      <c r="E844" s="97" t="n">
        <v>65.5</v>
      </c>
      <c r="F844" s="97" t="inlineStr">
        <is>
          <t>Kurang</t>
        </is>
      </c>
      <c r="G844" s="97" t="inlineStr">
        <is>
          <t>Pendek</t>
        </is>
      </c>
      <c r="H844" s="97" t="inlineStr">
        <is>
          <t>Gizi Kurang</t>
        </is>
      </c>
      <c r="I844" s="98" t="inlineStr">
        <is>
          <t>Ya</t>
        </is>
      </c>
      <c r="J844" s="98">
        <f>IF(G844="Normal","Tidak",IF(G844="Pendek","Potensi Stunting",IF(G844="Sangat Pendek","Stunting","")))</f>
        <v/>
      </c>
    </row>
    <row r="845" ht="15.75" customHeight="1" s="95">
      <c r="A845" s="97" t="inlineStr">
        <is>
          <t>anonymus0844</t>
        </is>
      </c>
      <c r="B845" s="97" t="inlineStr">
        <is>
          <t>P</t>
        </is>
      </c>
      <c r="C845" s="97" t="inlineStr">
        <is>
          <t>1-34 Bulan</t>
        </is>
      </c>
      <c r="D845" s="97" t="n">
        <v>6.3</v>
      </c>
      <c r="E845" s="97" t="n">
        <v>70</v>
      </c>
      <c r="F845" s="97" t="inlineStr">
        <is>
          <t>Kurang</t>
        </is>
      </c>
      <c r="G845" s="97" t="inlineStr">
        <is>
          <t>Normal</t>
        </is>
      </c>
      <c r="H845" s="97" t="inlineStr">
        <is>
          <t>Gizi Kurang</t>
        </is>
      </c>
      <c r="I845" s="98" t="inlineStr">
        <is>
          <t>Ya</t>
        </is>
      </c>
      <c r="J845" s="98">
        <f>IF(G845="Normal","Tidak",IF(G845="Pendek","Potensi Stunting",IF(G845="Sangat Pendek","Stunting","")))</f>
        <v/>
      </c>
    </row>
    <row r="846" ht="15.75" customHeight="1" s="95">
      <c r="A846" s="97" t="inlineStr">
        <is>
          <t>anonymus0845</t>
        </is>
      </c>
      <c r="B846" s="97" t="inlineStr">
        <is>
          <t>P</t>
        </is>
      </c>
      <c r="C846" s="97" t="inlineStr">
        <is>
          <t>1-34 Bulan</t>
        </is>
      </c>
      <c r="D846" s="97" t="n">
        <v>7.8</v>
      </c>
      <c r="E846" s="97" t="n">
        <v>72</v>
      </c>
      <c r="F846" s="97" t="inlineStr">
        <is>
          <t>Normal</t>
        </is>
      </c>
      <c r="G846" s="97" t="inlineStr">
        <is>
          <t>Pendek</t>
        </is>
      </c>
      <c r="H846" s="97" t="inlineStr">
        <is>
          <t>Gizi Baik</t>
        </is>
      </c>
      <c r="I846" s="98" t="inlineStr">
        <is>
          <t>Ya</t>
        </is>
      </c>
      <c r="J846" s="98">
        <f>IF(G846="Normal","Tidak",IF(G846="Pendek","Potensi Stunting",IF(G846="Sangat Pendek","Stunting","")))</f>
        <v/>
      </c>
    </row>
    <row r="847" ht="15.75" customHeight="1" s="95">
      <c r="A847" s="97" t="inlineStr">
        <is>
          <t>anonymus0846</t>
        </is>
      </c>
      <c r="B847" s="97" t="inlineStr">
        <is>
          <t xml:space="preserve">P </t>
        </is>
      </c>
      <c r="C847" s="97" t="inlineStr">
        <is>
          <t>1-34 Bulan</t>
        </is>
      </c>
      <c r="D847" s="97" t="inlineStr">
        <is>
          <t>7.2</t>
        </is>
      </c>
      <c r="E847" s="97" t="n">
        <v>70</v>
      </c>
      <c r="F847" s="97" t="inlineStr">
        <is>
          <t>Berat Badan Normal</t>
        </is>
      </c>
      <c r="G847" s="97" t="inlineStr">
        <is>
          <t>Normal</t>
        </is>
      </c>
      <c r="H847" s="97" t="inlineStr">
        <is>
          <t>Gizi Baik</t>
        </is>
      </c>
      <c r="I847" s="98" t="inlineStr">
        <is>
          <t>Ya</t>
        </is>
      </c>
      <c r="J847" s="98">
        <f>IF(G847="Normal","Tidak",IF(G847="Pendek","Potensi Stunting",IF(G847="Sangat Pendek","Stunting","")))</f>
        <v/>
      </c>
    </row>
    <row r="848" ht="15.75" customHeight="1" s="95">
      <c r="A848" s="97" t="inlineStr">
        <is>
          <t>anonymus0847</t>
        </is>
      </c>
      <c r="B848" s="97" t="inlineStr">
        <is>
          <t>P</t>
        </is>
      </c>
      <c r="C848" s="97" t="inlineStr">
        <is>
          <t>35-69 Bulan</t>
        </is>
      </c>
      <c r="D848" s="97" t="n">
        <v>10.1</v>
      </c>
      <c r="E848" s="97" t="n">
        <v>84</v>
      </c>
      <c r="F848" s="97" t="inlineStr">
        <is>
          <t>Kurang</t>
        </is>
      </c>
      <c r="G848" s="97" t="inlineStr">
        <is>
          <t>Pendek</t>
        </is>
      </c>
      <c r="H848" s="97" t="inlineStr">
        <is>
          <t>Gizi Baik</t>
        </is>
      </c>
      <c r="I848" s="98" t="inlineStr">
        <is>
          <t>Ya</t>
        </is>
      </c>
      <c r="J848" s="98">
        <f>IF(G848="Normal","Tidak",IF(G848="Pendek","Potensi Stunting",IF(G848="Sangat Pendek","Stunting","")))</f>
        <v/>
      </c>
    </row>
    <row r="849" ht="15.75" customHeight="1" s="95">
      <c r="A849" s="97" t="inlineStr">
        <is>
          <t>anonymus0848</t>
        </is>
      </c>
      <c r="B849" s="97" t="inlineStr">
        <is>
          <t>P</t>
        </is>
      </c>
      <c r="C849" s="97" t="inlineStr">
        <is>
          <t>1-34 Bulan</t>
        </is>
      </c>
      <c r="D849" s="97" t="n">
        <v>7.2</v>
      </c>
      <c r="E849" s="97" t="n">
        <v>69</v>
      </c>
      <c r="F849" s="97" t="inlineStr">
        <is>
          <t>Kurang</t>
        </is>
      </c>
      <c r="G849" s="97" t="inlineStr">
        <is>
          <t>Pendek</t>
        </is>
      </c>
      <c r="H849" s="97" t="inlineStr">
        <is>
          <t>Gizi Baik</t>
        </is>
      </c>
      <c r="I849" s="98" t="inlineStr">
        <is>
          <t>Ya</t>
        </is>
      </c>
      <c r="J849" s="98">
        <f>IF(G849="Normal","Tidak",IF(G849="Pendek","Potensi Stunting",IF(G849="Sangat Pendek","Stunting","")))</f>
        <v/>
      </c>
    </row>
    <row r="850" ht="15.75" customHeight="1" s="95">
      <c r="A850" s="97" t="inlineStr">
        <is>
          <t>anonymus0849</t>
        </is>
      </c>
      <c r="B850" s="97" t="inlineStr">
        <is>
          <t>L</t>
        </is>
      </c>
      <c r="C850" s="97" t="inlineStr">
        <is>
          <t>1-34 Bulan</t>
        </is>
      </c>
      <c r="D850" s="97" t="n">
        <v>12.4</v>
      </c>
      <c r="E850" s="97" t="n">
        <v>73</v>
      </c>
      <c r="F850" s="97" t="inlineStr">
        <is>
          <t>Berat Badan Normal</t>
        </is>
      </c>
      <c r="G850" s="97" t="inlineStr">
        <is>
          <t>Normal</t>
        </is>
      </c>
      <c r="H850" s="97" t="inlineStr">
        <is>
          <t>Gizi Baik</t>
        </is>
      </c>
      <c r="I850" s="98" t="inlineStr">
        <is>
          <t>Ya</t>
        </is>
      </c>
      <c r="J850" s="98">
        <f>IF(G850="Normal","Tidak",IF(G850="Pendek","Potensi Stunting",IF(G850="Sangat Pendek","Stunting","")))</f>
        <v/>
      </c>
    </row>
    <row r="851" ht="15.75" customHeight="1" s="95">
      <c r="A851" s="97" t="inlineStr">
        <is>
          <t>anonymus0850</t>
        </is>
      </c>
      <c r="B851" s="97" t="inlineStr">
        <is>
          <t>P</t>
        </is>
      </c>
      <c r="C851" s="97" t="inlineStr">
        <is>
          <t>35-69 Bulan</t>
        </is>
      </c>
      <c r="D851" s="97" t="n">
        <v>12.3</v>
      </c>
      <c r="E851" s="97" t="n">
        <v>83</v>
      </c>
      <c r="F851" s="97" t="inlineStr">
        <is>
          <t>Kurang</t>
        </is>
      </c>
      <c r="G851" s="97" t="inlineStr">
        <is>
          <t>Sangat Pendek</t>
        </is>
      </c>
      <c r="H851" s="97" t="inlineStr">
        <is>
          <t>Risiko Gizi Lebih</t>
        </is>
      </c>
      <c r="I851" s="98" t="inlineStr">
        <is>
          <t>Ya</t>
        </is>
      </c>
      <c r="J851" s="98">
        <f>IF(G851="Normal","Tidak",IF(G851="Pendek","Potensi Stunting",IF(G851="Sangat Pendek","Stunting","")))</f>
        <v/>
      </c>
    </row>
    <row r="852" ht="15.75" customHeight="1" s="95">
      <c r="A852" s="97" t="inlineStr">
        <is>
          <t>anonymus0851</t>
        </is>
      </c>
      <c r="B852" s="97" t="inlineStr">
        <is>
          <t>L</t>
        </is>
      </c>
      <c r="C852" s="97" t="inlineStr">
        <is>
          <t>1-34 Bulan</t>
        </is>
      </c>
      <c r="D852" s="97" t="n">
        <v>10.15</v>
      </c>
      <c r="E852" s="97" t="n">
        <v>74</v>
      </c>
      <c r="F852" s="97" t="inlineStr">
        <is>
          <t>Normal</t>
        </is>
      </c>
      <c r="G852" s="97" t="inlineStr">
        <is>
          <t>Pendek</t>
        </is>
      </c>
      <c r="H852" s="97" t="inlineStr">
        <is>
          <t>Risiko Gizi Lebih</t>
        </is>
      </c>
      <c r="I852" s="98" t="inlineStr">
        <is>
          <t>Ya</t>
        </is>
      </c>
      <c r="J852" s="98">
        <f>IF(G852="Normal","Tidak",IF(G852="Pendek","Potensi Stunting",IF(G852="Sangat Pendek","Stunting","")))</f>
        <v/>
      </c>
    </row>
    <row r="853" ht="15.75" customHeight="1" s="95">
      <c r="A853" s="97" t="inlineStr">
        <is>
          <t>anonymus0852</t>
        </is>
      </c>
      <c r="B853" s="97" t="inlineStr">
        <is>
          <t>P</t>
        </is>
      </c>
      <c r="C853" s="97" t="inlineStr">
        <is>
          <t>35-69 Bulan</t>
        </is>
      </c>
      <c r="D853" s="97" t="n">
        <v>14.2</v>
      </c>
      <c r="E853" s="97" t="n">
        <v>116</v>
      </c>
      <c r="F853" s="97" t="inlineStr">
        <is>
          <t>Berat Badan Normal</t>
        </is>
      </c>
      <c r="G853" s="97" t="inlineStr">
        <is>
          <t>Normal</t>
        </is>
      </c>
      <c r="H853" s="97" t="inlineStr">
        <is>
          <t>Gizi Baik</t>
        </is>
      </c>
      <c r="I853" s="98" t="inlineStr">
        <is>
          <t>Ya</t>
        </is>
      </c>
      <c r="J853" s="98">
        <f>IF(G853="Normal","Tidak",IF(G853="Pendek","Potensi Stunting",IF(G853="Sangat Pendek","Stunting","")))</f>
        <v/>
      </c>
    </row>
    <row r="854" ht="15.75" customHeight="1" s="95">
      <c r="A854" s="97" t="inlineStr">
        <is>
          <t>anonymus0853</t>
        </is>
      </c>
      <c r="B854" s="97" t="inlineStr">
        <is>
          <t>P</t>
        </is>
      </c>
      <c r="C854" s="97" t="inlineStr">
        <is>
          <t>1-34 Bulan</t>
        </is>
      </c>
      <c r="D854" s="97" t="n">
        <v>13</v>
      </c>
      <c r="E854" s="97" t="n">
        <v>80</v>
      </c>
      <c r="F854" s="97" t="inlineStr">
        <is>
          <t>Berat Badan Normal</t>
        </is>
      </c>
      <c r="G854" s="97" t="inlineStr">
        <is>
          <t>Normal</t>
        </is>
      </c>
      <c r="H854" s="97" t="inlineStr">
        <is>
          <t>Gizi Baik</t>
        </is>
      </c>
      <c r="I854" s="98" t="inlineStr">
        <is>
          <t>Ya</t>
        </is>
      </c>
      <c r="J854" s="98">
        <f>IF(G854="Normal","Tidak",IF(G854="Pendek","Potensi Stunting",IF(G854="Sangat Pendek","Stunting","")))</f>
        <v/>
      </c>
    </row>
    <row r="855" ht="15.75" customHeight="1" s="95">
      <c r="A855" s="97" t="inlineStr">
        <is>
          <t>anonymus0854</t>
        </is>
      </c>
      <c r="B855" s="97" t="inlineStr">
        <is>
          <t>P</t>
        </is>
      </c>
      <c r="C855" s="97" t="inlineStr">
        <is>
          <t>35-69 Bulan</t>
        </is>
      </c>
      <c r="D855" s="97" t="n">
        <v>15.7</v>
      </c>
      <c r="E855" s="97" t="n">
        <v>96</v>
      </c>
      <c r="F855" s="97" t="inlineStr">
        <is>
          <t>Berat Badan Normal</t>
        </is>
      </c>
      <c r="G855" s="97" t="inlineStr">
        <is>
          <t>Normal</t>
        </is>
      </c>
      <c r="H855" s="97" t="inlineStr">
        <is>
          <t>Gizi Baik</t>
        </is>
      </c>
      <c r="I855" s="98" t="inlineStr">
        <is>
          <t>Ya</t>
        </is>
      </c>
      <c r="J855" s="98">
        <f>IF(G855="Normal","Tidak",IF(G855="Pendek","Potensi Stunting",IF(G855="Sangat Pendek","Stunting","")))</f>
        <v/>
      </c>
    </row>
    <row r="856" ht="15.75" customHeight="1" s="95">
      <c r="A856" s="97" t="inlineStr">
        <is>
          <t>anonymus0855</t>
        </is>
      </c>
      <c r="B856" s="97" t="inlineStr">
        <is>
          <t xml:space="preserve">L </t>
        </is>
      </c>
      <c r="C856" s="97" t="inlineStr">
        <is>
          <t>1-34 Bulan</t>
        </is>
      </c>
      <c r="D856" s="97" t="n">
        <v>14</v>
      </c>
      <c r="E856" s="97" t="n">
        <v>91</v>
      </c>
      <c r="F856" s="97" t="inlineStr">
        <is>
          <t>Berat Badan Normal</t>
        </is>
      </c>
      <c r="G856" s="97" t="inlineStr">
        <is>
          <t>Normal</t>
        </is>
      </c>
      <c r="H856" s="97" t="inlineStr">
        <is>
          <t>Gizi Baik</t>
        </is>
      </c>
      <c r="I856" s="98" t="inlineStr">
        <is>
          <t>Ya</t>
        </is>
      </c>
      <c r="J856" s="98">
        <f>IF(G856="Normal","Tidak",IF(G856="Pendek","Potensi Stunting",IF(G856="Sangat Pendek","Stunting","")))</f>
        <v/>
      </c>
    </row>
    <row r="857" ht="15.75" customHeight="1" s="95">
      <c r="A857" s="97" t="inlineStr">
        <is>
          <t>anonymus0856</t>
        </is>
      </c>
      <c r="B857" s="97" t="inlineStr">
        <is>
          <t>P</t>
        </is>
      </c>
      <c r="C857" s="97" t="inlineStr">
        <is>
          <t>35-69 Bulan</t>
        </is>
      </c>
      <c r="D857" s="97" t="n">
        <v>9.4</v>
      </c>
      <c r="E857" s="97" t="n">
        <v>78</v>
      </c>
      <c r="F857" s="97" t="inlineStr">
        <is>
          <t>Normal</t>
        </is>
      </c>
      <c r="G857" s="97" t="inlineStr">
        <is>
          <t>Pendek</t>
        </is>
      </c>
      <c r="H857" s="97" t="inlineStr">
        <is>
          <t>Gizi Baik</t>
        </is>
      </c>
      <c r="I857" s="98" t="inlineStr">
        <is>
          <t>Ya</t>
        </is>
      </c>
      <c r="J857" s="98">
        <f>IF(G857="Normal","Tidak",IF(G857="Pendek","Potensi Stunting",IF(G857="Sangat Pendek","Stunting","")))</f>
        <v/>
      </c>
    </row>
    <row r="858" ht="15.75" customHeight="1" s="95">
      <c r="A858" s="97" t="inlineStr">
        <is>
          <t>anonymus0857</t>
        </is>
      </c>
      <c r="B858" s="97" t="inlineStr">
        <is>
          <t>P</t>
        </is>
      </c>
      <c r="C858" s="97" t="inlineStr">
        <is>
          <t>35-69 Bulan</t>
        </is>
      </c>
      <c r="D858" s="97" t="n">
        <v>19.8</v>
      </c>
      <c r="E858" s="97" t="n">
        <v>119</v>
      </c>
      <c r="F858" s="97" t="inlineStr">
        <is>
          <t>Risiko Lebih</t>
        </is>
      </c>
      <c r="G858" s="97" t="inlineStr">
        <is>
          <t>Normal</t>
        </is>
      </c>
      <c r="H858" s="97" t="inlineStr">
        <is>
          <t>Gizi Lebih</t>
        </is>
      </c>
      <c r="I858" s="98" t="inlineStr">
        <is>
          <t>Ya</t>
        </is>
      </c>
      <c r="J858" s="98">
        <f>IF(G858="Normal","Tidak",IF(G858="Pendek","Potensi Stunting",IF(G858="Sangat Pendek","Stunting","")))</f>
        <v/>
      </c>
    </row>
    <row r="859" ht="15.75" customHeight="1" s="95">
      <c r="A859" s="97" t="inlineStr">
        <is>
          <t>anonymus0858</t>
        </is>
      </c>
      <c r="B859" s="97" t="inlineStr">
        <is>
          <t>L</t>
        </is>
      </c>
      <c r="C859" s="97" t="inlineStr">
        <is>
          <t>35-69 Bulan</t>
        </is>
      </c>
      <c r="D859" s="97" t="n">
        <v>17.7</v>
      </c>
      <c r="E859" s="97" t="n">
        <v>98</v>
      </c>
      <c r="F859" s="97" t="inlineStr">
        <is>
          <t>Risiko Lebih</t>
        </is>
      </c>
      <c r="G859" s="97" t="inlineStr">
        <is>
          <t>Normal</t>
        </is>
      </c>
      <c r="H859" s="97" t="inlineStr">
        <is>
          <t>Gizi Lebih</t>
        </is>
      </c>
      <c r="I859" s="98" t="inlineStr">
        <is>
          <t>Ya</t>
        </is>
      </c>
      <c r="J859" s="98">
        <f>IF(G859="Normal","Tidak",IF(G859="Pendek","Potensi Stunting",IF(G859="Sangat Pendek","Stunting","")))</f>
        <v/>
      </c>
    </row>
    <row r="860" ht="15.75" customHeight="1" s="95">
      <c r="A860" s="97" t="inlineStr">
        <is>
          <t>anonymus0859</t>
        </is>
      </c>
      <c r="B860" s="97" t="inlineStr">
        <is>
          <t>P</t>
        </is>
      </c>
      <c r="C860" s="97" t="inlineStr">
        <is>
          <t>35-69 Bulan</t>
        </is>
      </c>
      <c r="D860" s="97" t="n">
        <v>18.7</v>
      </c>
      <c r="E860" s="97" t="n">
        <v>112</v>
      </c>
      <c r="F860" s="97" t="inlineStr">
        <is>
          <t>Risiko Lebih</t>
        </is>
      </c>
      <c r="G860" s="97" t="inlineStr">
        <is>
          <t>Normal</t>
        </is>
      </c>
      <c r="H860" s="97" t="inlineStr">
        <is>
          <t>Gizi Lebih</t>
        </is>
      </c>
      <c r="I860" s="98" t="inlineStr">
        <is>
          <t>Ya</t>
        </is>
      </c>
      <c r="J860" s="98">
        <f>IF(G860="Normal","Tidak",IF(G860="Pendek","Potensi Stunting",IF(G860="Sangat Pendek","Stunting","")))</f>
        <v/>
      </c>
    </row>
    <row r="861" ht="15.75" customHeight="1" s="95">
      <c r="A861" s="97" t="inlineStr">
        <is>
          <t>anonymus0860</t>
        </is>
      </c>
      <c r="B861" s="97" t="inlineStr">
        <is>
          <t xml:space="preserve">P </t>
        </is>
      </c>
      <c r="C861" s="97" t="inlineStr">
        <is>
          <t>35-69 Bulan</t>
        </is>
      </c>
      <c r="D861" s="97" t="inlineStr">
        <is>
          <t>9.4</t>
        </is>
      </c>
      <c r="E861" s="97" t="n">
        <v>83</v>
      </c>
      <c r="F861" s="97" t="inlineStr">
        <is>
          <t>Sangat Kurang</t>
        </is>
      </c>
      <c r="G861" s="97" t="inlineStr">
        <is>
          <t>Sangat Pendek</t>
        </is>
      </c>
      <c r="H861" s="97" t="inlineStr">
        <is>
          <t>Gizi Baik</t>
        </is>
      </c>
      <c r="I861" s="98" t="inlineStr">
        <is>
          <t>Ya</t>
        </is>
      </c>
      <c r="J861" s="98">
        <f>IF(G861="Normal","Tidak",IF(G861="Pendek","Potensi Stunting",IF(G861="Sangat Pendek","Stunting","")))</f>
        <v/>
      </c>
    </row>
    <row r="862" ht="15.75" customHeight="1" s="95">
      <c r="A862" s="97" t="inlineStr">
        <is>
          <t>anonymus0861</t>
        </is>
      </c>
      <c r="B862" s="97" t="inlineStr">
        <is>
          <t>L</t>
        </is>
      </c>
      <c r="C862" s="97" t="inlineStr">
        <is>
          <t>35-69 Bulan</t>
        </is>
      </c>
      <c r="D862" s="97" t="n">
        <v>9.5</v>
      </c>
      <c r="E862" s="97" t="n">
        <v>83</v>
      </c>
      <c r="F862" s="97" t="inlineStr">
        <is>
          <t>Sangat Kurang</t>
        </is>
      </c>
      <c r="G862" s="97" t="inlineStr">
        <is>
          <t>Sangat Pendek</t>
        </is>
      </c>
      <c r="H862" s="97" t="inlineStr">
        <is>
          <t>Gizi Baik</t>
        </is>
      </c>
      <c r="I862" s="98" t="inlineStr">
        <is>
          <t>Ya</t>
        </is>
      </c>
      <c r="J862" s="98">
        <f>IF(G862="Normal","Tidak",IF(G862="Pendek","Potensi Stunting",IF(G862="Sangat Pendek","Stunting","")))</f>
        <v/>
      </c>
    </row>
    <row r="863" ht="15.75" customHeight="1" s="95">
      <c r="A863" s="97" t="inlineStr">
        <is>
          <t>anonymus0862</t>
        </is>
      </c>
      <c r="B863" s="97" t="inlineStr">
        <is>
          <t>L</t>
        </is>
      </c>
      <c r="C863" s="97" t="inlineStr">
        <is>
          <t>35-69 Bulan</t>
        </is>
      </c>
      <c r="D863" s="97" t="n">
        <v>15.8</v>
      </c>
      <c r="E863" s="97" t="n">
        <v>111</v>
      </c>
      <c r="F863" s="97" t="inlineStr">
        <is>
          <t>Normal</t>
        </is>
      </c>
      <c r="G863" s="97" t="inlineStr">
        <is>
          <t>Normal</t>
        </is>
      </c>
      <c r="H863" s="97" t="inlineStr">
        <is>
          <t>Gizi Kurang</t>
        </is>
      </c>
      <c r="I863" s="98" t="inlineStr">
        <is>
          <t>Ya</t>
        </is>
      </c>
      <c r="J863" s="98">
        <f>IF(G863="Normal","Tidak",IF(G863="Pendek","Potensi Stunting",IF(G863="Sangat Pendek","Stunting","")))</f>
        <v/>
      </c>
    </row>
    <row r="864" ht="15.75" customHeight="1" s="95">
      <c r="A864" s="97" t="inlineStr">
        <is>
          <t>anonymus0863</t>
        </is>
      </c>
      <c r="B864" s="97" t="inlineStr">
        <is>
          <t xml:space="preserve">P </t>
        </is>
      </c>
      <c r="C864" s="97" t="inlineStr">
        <is>
          <t>1-34 Bulan</t>
        </is>
      </c>
      <c r="D864" s="97" t="inlineStr">
        <is>
          <t>9.2</t>
        </is>
      </c>
      <c r="E864" s="97" t="n">
        <v>71</v>
      </c>
      <c r="F864" s="97" t="inlineStr">
        <is>
          <t>Berat Badan Normal</t>
        </is>
      </c>
      <c r="G864" s="97" t="inlineStr">
        <is>
          <t>Normal</t>
        </is>
      </c>
      <c r="H864" s="97" t="inlineStr">
        <is>
          <t>Risiko Gizi Lebih</t>
        </is>
      </c>
      <c r="I864" s="98" t="inlineStr">
        <is>
          <t>Ya</t>
        </is>
      </c>
      <c r="J864" s="98">
        <f>IF(G864="Normal","Tidak",IF(G864="Pendek","Potensi Stunting",IF(G864="Sangat Pendek","Stunting","")))</f>
        <v/>
      </c>
    </row>
    <row r="865" ht="15.75" customHeight="1" s="95">
      <c r="A865" s="97" t="inlineStr">
        <is>
          <t>anonymus0864</t>
        </is>
      </c>
      <c r="B865" s="97" t="inlineStr">
        <is>
          <t xml:space="preserve">P </t>
        </is>
      </c>
      <c r="C865" s="97" t="inlineStr">
        <is>
          <t>1-34 Bulan</t>
        </is>
      </c>
      <c r="D865" s="97" t="inlineStr">
        <is>
          <t>10.4</t>
        </is>
      </c>
      <c r="E865" s="97" t="n">
        <v>85</v>
      </c>
      <c r="F865" s="97" t="inlineStr">
        <is>
          <t>Berat Badan Normal</t>
        </is>
      </c>
      <c r="G865" s="97" t="inlineStr">
        <is>
          <t>Normal</t>
        </is>
      </c>
      <c r="H865" s="97" t="inlineStr">
        <is>
          <t>Gizi Baik</t>
        </is>
      </c>
      <c r="I865" s="98" t="inlineStr">
        <is>
          <t>Ya</t>
        </is>
      </c>
      <c r="J865" s="98">
        <f>IF(G865="Normal","Tidak",IF(G865="Pendek","Potensi Stunting",IF(G865="Sangat Pendek","Stunting","")))</f>
        <v/>
      </c>
    </row>
    <row r="866" ht="15.75" customHeight="1" s="95">
      <c r="A866" s="97" t="inlineStr">
        <is>
          <t>anonymus0865</t>
        </is>
      </c>
      <c r="B866" s="97" t="inlineStr">
        <is>
          <t xml:space="preserve">P </t>
        </is>
      </c>
      <c r="C866" s="97" t="inlineStr">
        <is>
          <t>35-69 Bulan</t>
        </is>
      </c>
      <c r="D866" s="97" t="inlineStr">
        <is>
          <t>13.2</t>
        </is>
      </c>
      <c r="E866" s="97" t="n">
        <v>96</v>
      </c>
      <c r="F866" s="97" t="inlineStr">
        <is>
          <t>Berat Badan Normal</t>
        </is>
      </c>
      <c r="G866" s="97" t="inlineStr">
        <is>
          <t>Normal</t>
        </is>
      </c>
      <c r="H866" s="97" t="inlineStr">
        <is>
          <t>Gizi Baik</t>
        </is>
      </c>
      <c r="I866" s="98" t="inlineStr">
        <is>
          <t>Ya</t>
        </is>
      </c>
      <c r="J866" s="98">
        <f>IF(G866="Normal","Tidak",IF(G866="Pendek","Potensi Stunting",IF(G866="Sangat Pendek","Stunting","")))</f>
        <v/>
      </c>
    </row>
    <row r="867" ht="15.75" customHeight="1" s="95">
      <c r="A867" s="97" t="inlineStr">
        <is>
          <t>anonymus0866</t>
        </is>
      </c>
      <c r="B867" s="97" t="inlineStr">
        <is>
          <t>P</t>
        </is>
      </c>
      <c r="C867" s="97" t="inlineStr">
        <is>
          <t>1-34 Bulan</t>
        </is>
      </c>
      <c r="D867" s="97" t="n">
        <v>7.13</v>
      </c>
      <c r="E867" s="97" t="n">
        <v>72</v>
      </c>
      <c r="F867" s="97" t="inlineStr">
        <is>
          <t>Normal</t>
        </is>
      </c>
      <c r="G867" s="97" t="inlineStr">
        <is>
          <t>Normal</t>
        </is>
      </c>
      <c r="H867" s="97" t="inlineStr">
        <is>
          <t>Gizi Kurang</t>
        </is>
      </c>
      <c r="I867" s="98" t="inlineStr">
        <is>
          <t>Ya</t>
        </is>
      </c>
      <c r="J867" s="98">
        <f>IF(G867="Normal","Tidak",IF(G867="Pendek","Potensi Stunting",IF(G867="Sangat Pendek","Stunting","")))</f>
        <v/>
      </c>
    </row>
    <row r="868" ht="15.75" customHeight="1" s="95">
      <c r="A868" s="97" t="inlineStr">
        <is>
          <t>anonymus0867</t>
        </is>
      </c>
      <c r="B868" s="97" t="inlineStr">
        <is>
          <t>L</t>
        </is>
      </c>
      <c r="C868" s="97" t="inlineStr">
        <is>
          <t>35-69 Bulan</t>
        </is>
      </c>
      <c r="D868" s="97" t="n">
        <v>13.6</v>
      </c>
      <c r="E868" s="97" t="n">
        <v>111</v>
      </c>
      <c r="F868" s="97" t="inlineStr">
        <is>
          <t>Berat Badan Normal</t>
        </is>
      </c>
      <c r="G868" s="97" t="inlineStr">
        <is>
          <t>Normal</t>
        </is>
      </c>
      <c r="H868" s="97" t="inlineStr">
        <is>
          <t>Gizi Baik</t>
        </is>
      </c>
      <c r="I868" s="98" t="inlineStr">
        <is>
          <t>Ya</t>
        </is>
      </c>
      <c r="J868" s="98">
        <f>IF(G868="Normal","Tidak",IF(G868="Pendek","Potensi Stunting",IF(G868="Sangat Pendek","Stunting","")))</f>
        <v/>
      </c>
    </row>
    <row r="869" ht="15.75" customHeight="1" s="95">
      <c r="A869" s="99" t="inlineStr">
        <is>
          <t>anonymus0868</t>
        </is>
      </c>
      <c r="B869" s="97" t="inlineStr">
        <is>
          <t>P</t>
        </is>
      </c>
      <c r="C869" s="97" t="n">
        <v>0</v>
      </c>
      <c r="D869" s="99" t="n">
        <v>2.987</v>
      </c>
      <c r="E869" s="97" t="n">
        <v>54</v>
      </c>
      <c r="F869" s="97" t="inlineStr">
        <is>
          <t>Normal</t>
        </is>
      </c>
      <c r="G869" s="97" t="inlineStr">
        <is>
          <t>Normal</t>
        </is>
      </c>
      <c r="H869" s="97" t="inlineStr">
        <is>
          <t>Gizi Kurang</t>
        </is>
      </c>
      <c r="I869" s="98" t="inlineStr">
        <is>
          <t>Ya</t>
        </is>
      </c>
      <c r="J869" s="98">
        <f>IF(G869="Normal","Tidak",IF(G869="Pendek","Potensi Stunting",IF(G869="Sangat Pendek","Stunting","")))</f>
        <v/>
      </c>
    </row>
    <row r="870" ht="15.75" customHeight="1" s="95">
      <c r="A870" s="97" t="inlineStr">
        <is>
          <t>anonymus0869</t>
        </is>
      </c>
      <c r="B870" s="97" t="inlineStr">
        <is>
          <t>L</t>
        </is>
      </c>
      <c r="C870" s="97" t="inlineStr">
        <is>
          <t>35-69 Bulan</t>
        </is>
      </c>
      <c r="D870" s="97" t="n">
        <v>11</v>
      </c>
      <c r="E870" s="97" t="n">
        <v>93</v>
      </c>
      <c r="F870" s="97" t="inlineStr">
        <is>
          <t>Kurang</t>
        </is>
      </c>
      <c r="G870" s="97" t="inlineStr">
        <is>
          <t>Normal</t>
        </is>
      </c>
      <c r="H870" s="97" t="inlineStr">
        <is>
          <t>Gizi Kurang</t>
        </is>
      </c>
      <c r="I870" s="98" t="inlineStr">
        <is>
          <t>Ya</t>
        </is>
      </c>
      <c r="J870" s="98">
        <f>IF(G870="Normal","Tidak",IF(G870="Pendek","Potensi Stunting",IF(G870="Sangat Pendek","Stunting","")))</f>
        <v/>
      </c>
    </row>
    <row r="871" ht="15.75" customHeight="1" s="95">
      <c r="A871" s="97" t="inlineStr">
        <is>
          <t>anonymus0870</t>
        </is>
      </c>
      <c r="B871" s="97" t="inlineStr">
        <is>
          <t>P</t>
        </is>
      </c>
      <c r="C871" s="97" t="inlineStr">
        <is>
          <t>1-34 Bulan</t>
        </is>
      </c>
      <c r="D871" s="97" t="n">
        <v>7.8</v>
      </c>
      <c r="E871" s="97" t="n">
        <v>78</v>
      </c>
      <c r="F871" s="97" t="inlineStr">
        <is>
          <t>Kurang</t>
        </is>
      </c>
      <c r="G871" s="97" t="inlineStr">
        <is>
          <t>Normal</t>
        </is>
      </c>
      <c r="H871" s="97" t="inlineStr">
        <is>
          <t>Gizi Kurang</t>
        </is>
      </c>
      <c r="I871" s="98" t="inlineStr">
        <is>
          <t>Ya</t>
        </is>
      </c>
      <c r="J871" s="98">
        <f>IF(G871="Normal","Tidak",IF(G871="Pendek","Potensi Stunting",IF(G871="Sangat Pendek","Stunting","")))</f>
        <v/>
      </c>
    </row>
    <row r="872" ht="15.75" customHeight="1" s="95">
      <c r="A872" s="97" t="inlineStr">
        <is>
          <t>anonymus0871</t>
        </is>
      </c>
      <c r="B872" s="97" t="inlineStr">
        <is>
          <t xml:space="preserve">L </t>
        </is>
      </c>
      <c r="C872" s="97" t="inlineStr">
        <is>
          <t>35-69 Bulan</t>
        </is>
      </c>
      <c r="D872" s="97" t="inlineStr">
        <is>
          <t>17.4</t>
        </is>
      </c>
      <c r="E872" s="97" t="n">
        <v>105</v>
      </c>
      <c r="F872" s="97" t="inlineStr">
        <is>
          <t>Berat Badan Normal</t>
        </is>
      </c>
      <c r="G872" s="97" t="inlineStr">
        <is>
          <t>Normal</t>
        </is>
      </c>
      <c r="H872" s="97" t="inlineStr">
        <is>
          <t>Gizi Baik</t>
        </is>
      </c>
      <c r="I872" s="98" t="inlineStr">
        <is>
          <t>Ya</t>
        </is>
      </c>
      <c r="J872" s="98">
        <f>IF(G872="Normal","Tidak",IF(G872="Pendek","Potensi Stunting",IF(G872="Sangat Pendek","Stunting","")))</f>
        <v/>
      </c>
    </row>
    <row r="873" ht="15.75" customHeight="1" s="95">
      <c r="A873" s="97" t="inlineStr">
        <is>
          <t>anonymus0872</t>
        </is>
      </c>
      <c r="B873" s="97" t="inlineStr">
        <is>
          <t>P</t>
        </is>
      </c>
      <c r="C873" s="97" t="inlineStr">
        <is>
          <t>1-34 Bulan</t>
        </is>
      </c>
      <c r="D873" s="97" t="n">
        <v>12.5</v>
      </c>
      <c r="E873" s="97" t="n">
        <v>81</v>
      </c>
      <c r="F873" s="97" t="inlineStr">
        <is>
          <t>Berat Badan Normal</t>
        </is>
      </c>
      <c r="G873" s="97" t="inlineStr">
        <is>
          <t>Normal</t>
        </is>
      </c>
      <c r="H873" s="97" t="inlineStr">
        <is>
          <t>Gizi Baik</t>
        </is>
      </c>
      <c r="I873" s="98" t="inlineStr">
        <is>
          <t>Ya</t>
        </is>
      </c>
      <c r="J873" s="98">
        <f>IF(G873="Normal","Tidak",IF(G873="Pendek","Potensi Stunting",IF(G873="Sangat Pendek","Stunting","")))</f>
        <v/>
      </c>
    </row>
    <row r="874" ht="15.75" customHeight="1" s="95">
      <c r="A874" s="97" t="inlineStr">
        <is>
          <t>anonymus0873</t>
        </is>
      </c>
      <c r="B874" s="97" t="inlineStr">
        <is>
          <t>L</t>
        </is>
      </c>
      <c r="C874" s="97" t="inlineStr">
        <is>
          <t>35-69 Bulan</t>
        </is>
      </c>
      <c r="D874" s="97" t="n">
        <v>12.3</v>
      </c>
      <c r="E874" s="97" t="n">
        <v>99</v>
      </c>
      <c r="F874" s="97" t="inlineStr">
        <is>
          <t>Kurang</t>
        </is>
      </c>
      <c r="G874" s="97" t="inlineStr">
        <is>
          <t>Normal</t>
        </is>
      </c>
      <c r="H874" s="97" t="inlineStr">
        <is>
          <t>Gizi Kurang</t>
        </is>
      </c>
      <c r="I874" s="98" t="inlineStr">
        <is>
          <t>Ya</t>
        </is>
      </c>
      <c r="J874" s="98">
        <f>IF(G874="Normal","Tidak",IF(G874="Pendek","Potensi Stunting",IF(G874="Sangat Pendek","Stunting","")))</f>
        <v/>
      </c>
    </row>
    <row r="875" ht="15.75" customHeight="1" s="95">
      <c r="A875" s="97" t="inlineStr">
        <is>
          <t>anonymus0874</t>
        </is>
      </c>
      <c r="B875" s="97" t="inlineStr">
        <is>
          <t>L</t>
        </is>
      </c>
      <c r="C875" s="97" t="inlineStr">
        <is>
          <t>35-69 Bulan</t>
        </is>
      </c>
      <c r="D875" s="97" t="n">
        <v>12.4</v>
      </c>
      <c r="E875" s="97" t="n">
        <v>97</v>
      </c>
      <c r="F875" s="97" t="inlineStr">
        <is>
          <t>Normal</t>
        </is>
      </c>
      <c r="G875" s="97" t="inlineStr">
        <is>
          <t>Normal</t>
        </is>
      </c>
      <c r="H875" s="97" t="inlineStr">
        <is>
          <t>Gizi Kurang</t>
        </is>
      </c>
      <c r="I875" s="98" t="inlineStr">
        <is>
          <t>Ya</t>
        </is>
      </c>
      <c r="J875" s="98">
        <f>IF(G875="Normal","Tidak",IF(G875="Pendek","Potensi Stunting",IF(G875="Sangat Pendek","Stunting","")))</f>
        <v/>
      </c>
    </row>
    <row r="876" ht="15.75" customHeight="1" s="95">
      <c r="A876" s="97" t="inlineStr">
        <is>
          <t>anonymus0875</t>
        </is>
      </c>
      <c r="B876" s="97" t="inlineStr">
        <is>
          <t>L</t>
        </is>
      </c>
      <c r="C876" s="97" t="inlineStr">
        <is>
          <t>35-69 Bulan</t>
        </is>
      </c>
      <c r="D876" s="97" t="n">
        <v>17.1</v>
      </c>
      <c r="E876" s="97" t="n">
        <v>101</v>
      </c>
      <c r="F876" s="97" t="inlineStr">
        <is>
          <t>Risiko Lebih</t>
        </is>
      </c>
      <c r="G876" s="97" t="inlineStr">
        <is>
          <t>Normal</t>
        </is>
      </c>
      <c r="H876" s="97" t="inlineStr">
        <is>
          <t>Gizi Lebih</t>
        </is>
      </c>
      <c r="I876" s="98" t="inlineStr">
        <is>
          <t>Ya</t>
        </is>
      </c>
      <c r="J876" s="98">
        <f>IF(G876="Normal","Tidak",IF(G876="Pendek","Potensi Stunting",IF(G876="Sangat Pendek","Stunting","")))</f>
        <v/>
      </c>
    </row>
    <row r="877" ht="15.75" customHeight="1" s="95">
      <c r="A877" s="97" t="inlineStr">
        <is>
          <t>anonymus0876</t>
        </is>
      </c>
      <c r="B877" s="97" t="inlineStr">
        <is>
          <t xml:space="preserve">L </t>
        </is>
      </c>
      <c r="C877" s="97" t="inlineStr">
        <is>
          <t>35-69 Bulan</t>
        </is>
      </c>
      <c r="D877" s="97" t="inlineStr">
        <is>
          <t>14.3</t>
        </is>
      </c>
      <c r="E877" s="97" t="n">
        <v>100</v>
      </c>
      <c r="F877" s="97" t="inlineStr">
        <is>
          <t>Berat Badan Normal</t>
        </is>
      </c>
      <c r="G877" s="97" t="inlineStr">
        <is>
          <t>Normal</t>
        </is>
      </c>
      <c r="H877" s="97" t="inlineStr">
        <is>
          <t>Gizi Baik</t>
        </is>
      </c>
      <c r="I877" s="98" t="inlineStr">
        <is>
          <t>Ya</t>
        </is>
      </c>
      <c r="J877" s="98">
        <f>IF(G877="Normal","Tidak",IF(G877="Pendek","Potensi Stunting",IF(G877="Sangat Pendek","Stunting","")))</f>
        <v/>
      </c>
    </row>
    <row r="878" ht="15.75" customHeight="1" s="95">
      <c r="A878" s="97" t="inlineStr">
        <is>
          <t>anonymus0877</t>
        </is>
      </c>
      <c r="B878" s="97" t="inlineStr">
        <is>
          <t>L</t>
        </is>
      </c>
      <c r="C878" s="97" t="inlineStr">
        <is>
          <t>35-69 Bulan</t>
        </is>
      </c>
      <c r="D878" s="97" t="n">
        <v>10</v>
      </c>
      <c r="E878" s="97" t="n">
        <v>84</v>
      </c>
      <c r="F878" s="97" t="inlineStr">
        <is>
          <t>Kurang</t>
        </is>
      </c>
      <c r="G878" s="97" t="inlineStr">
        <is>
          <t>Pendek</t>
        </is>
      </c>
      <c r="H878" s="97" t="inlineStr">
        <is>
          <t>Gizi Baik</t>
        </is>
      </c>
      <c r="I878" s="98" t="inlineStr">
        <is>
          <t>Ya</t>
        </is>
      </c>
      <c r="J878" s="98">
        <f>IF(G878="Normal","Tidak",IF(G878="Pendek","Potensi Stunting",IF(G878="Sangat Pendek","Stunting","")))</f>
        <v/>
      </c>
    </row>
    <row r="879" ht="15.75" customHeight="1" s="95">
      <c r="A879" s="97" t="inlineStr">
        <is>
          <t>anonymus0878</t>
        </is>
      </c>
      <c r="B879" s="97" t="inlineStr">
        <is>
          <t>P</t>
        </is>
      </c>
      <c r="C879" s="97" t="inlineStr">
        <is>
          <t>1-34 Bulan</t>
        </is>
      </c>
      <c r="D879" s="97" t="n">
        <v>14.4</v>
      </c>
      <c r="E879" s="97" t="n">
        <v>81</v>
      </c>
      <c r="F879" s="97" t="inlineStr">
        <is>
          <t>Berat Badan Normal</t>
        </is>
      </c>
      <c r="G879" s="97" t="inlineStr">
        <is>
          <t>Normal</t>
        </is>
      </c>
      <c r="H879" s="97" t="inlineStr">
        <is>
          <t>Gizi Baik</t>
        </is>
      </c>
      <c r="I879" s="98" t="inlineStr">
        <is>
          <t>Ya</t>
        </is>
      </c>
      <c r="J879" s="98">
        <f>IF(G879="Normal","Tidak",IF(G879="Pendek","Potensi Stunting",IF(G879="Sangat Pendek","Stunting","")))</f>
        <v/>
      </c>
    </row>
    <row r="880" ht="15.75" customHeight="1" s="95">
      <c r="A880" s="97" t="inlineStr">
        <is>
          <t>anonymus0879</t>
        </is>
      </c>
      <c r="B880" s="97" t="inlineStr">
        <is>
          <t xml:space="preserve">L </t>
        </is>
      </c>
      <c r="C880" s="97" t="inlineStr">
        <is>
          <t>35-69 Bulan</t>
        </is>
      </c>
      <c r="D880" s="97" t="inlineStr">
        <is>
          <t>16.9</t>
        </is>
      </c>
      <c r="E880" s="97" t="n">
        <v>102</v>
      </c>
      <c r="F880" s="97" t="inlineStr">
        <is>
          <t>Berat Badan Normal</t>
        </is>
      </c>
      <c r="G880" s="97" t="inlineStr">
        <is>
          <t>Normal</t>
        </is>
      </c>
      <c r="H880" s="97" t="inlineStr">
        <is>
          <t>Gizi Baik</t>
        </is>
      </c>
      <c r="I880" s="98" t="inlineStr">
        <is>
          <t>Ya</t>
        </is>
      </c>
      <c r="J880" s="98">
        <f>IF(G880="Normal","Tidak",IF(G880="Pendek","Potensi Stunting",IF(G880="Sangat Pendek","Stunting","")))</f>
        <v/>
      </c>
    </row>
    <row r="881" ht="15.75" customHeight="1" s="95">
      <c r="A881" s="97" t="inlineStr">
        <is>
          <t>anonymus0880</t>
        </is>
      </c>
      <c r="B881" s="97" t="inlineStr">
        <is>
          <t>L</t>
        </is>
      </c>
      <c r="C881" s="97" t="inlineStr">
        <is>
          <t>35-69 Bulan</t>
        </is>
      </c>
      <c r="D881" s="97" t="n">
        <v>9.199999999999999</v>
      </c>
      <c r="E881" s="97" t="n">
        <v>81.7</v>
      </c>
      <c r="F881" s="97" t="inlineStr">
        <is>
          <t>Kurang</t>
        </is>
      </c>
      <c r="G881" s="97" t="inlineStr">
        <is>
          <t>Pendek</t>
        </is>
      </c>
      <c r="H881" s="97" t="inlineStr">
        <is>
          <t>Gizi Kurang</t>
        </is>
      </c>
      <c r="I881" s="98" t="inlineStr">
        <is>
          <t>Ya</t>
        </is>
      </c>
      <c r="J881" s="98">
        <f>IF(G881="Normal","Tidak",IF(G881="Pendek","Potensi Stunting",IF(G881="Sangat Pendek","Stunting","")))</f>
        <v/>
      </c>
    </row>
    <row r="882" ht="15.75" customHeight="1" s="95">
      <c r="A882" s="97" t="inlineStr">
        <is>
          <t>anonymus0881</t>
        </is>
      </c>
      <c r="B882" s="97" t="inlineStr">
        <is>
          <t>L</t>
        </is>
      </c>
      <c r="C882" s="97" t="inlineStr">
        <is>
          <t>1-34 Bulan</t>
        </is>
      </c>
      <c r="D882" s="97" t="n">
        <v>13.7</v>
      </c>
      <c r="E882" s="97" t="n">
        <v>73</v>
      </c>
      <c r="F882" s="97" t="inlineStr">
        <is>
          <t>Berat Badan Normal</t>
        </is>
      </c>
      <c r="G882" s="97" t="inlineStr">
        <is>
          <t>Normal</t>
        </is>
      </c>
      <c r="H882" s="97" t="inlineStr">
        <is>
          <t>Gizi Baik</t>
        </is>
      </c>
      <c r="I882" s="98" t="inlineStr">
        <is>
          <t>Ya</t>
        </is>
      </c>
      <c r="J882" s="98">
        <f>IF(G882="Normal","Tidak",IF(G882="Pendek","Potensi Stunting",IF(G882="Sangat Pendek","Stunting","")))</f>
        <v/>
      </c>
    </row>
    <row r="883" ht="15.75" customHeight="1" s="95">
      <c r="A883" s="97" t="inlineStr">
        <is>
          <t>anonymus0882</t>
        </is>
      </c>
      <c r="B883" s="97" t="inlineStr">
        <is>
          <t xml:space="preserve">L </t>
        </is>
      </c>
      <c r="C883" s="97" t="inlineStr">
        <is>
          <t>1-34 Bulan</t>
        </is>
      </c>
      <c r="D883" s="97" t="inlineStr">
        <is>
          <t>9.2</t>
        </is>
      </c>
      <c r="E883" s="97" t="n">
        <v>74</v>
      </c>
      <c r="F883" s="97" t="inlineStr">
        <is>
          <t>Berat Badan Normal</t>
        </is>
      </c>
      <c r="G883" s="97" t="inlineStr">
        <is>
          <t>Normal</t>
        </is>
      </c>
      <c r="H883" s="97" t="inlineStr">
        <is>
          <t>Gizi Baik</t>
        </is>
      </c>
      <c r="I883" s="98" t="inlineStr">
        <is>
          <t>Ya</t>
        </is>
      </c>
      <c r="J883" s="98">
        <f>IF(G883="Normal","Tidak",IF(G883="Pendek","Potensi Stunting",IF(G883="Sangat Pendek","Stunting","")))</f>
        <v/>
      </c>
    </row>
    <row r="884" ht="15.75" customHeight="1" s="95">
      <c r="A884" s="97" t="inlineStr">
        <is>
          <t>anonymus0883</t>
        </is>
      </c>
      <c r="B884" s="97" t="inlineStr">
        <is>
          <t>L</t>
        </is>
      </c>
      <c r="C884" s="97" t="inlineStr">
        <is>
          <t>35-69 Bulan</t>
        </is>
      </c>
      <c r="D884" s="97" t="n">
        <v>17.4</v>
      </c>
      <c r="E884" s="97" t="n">
        <v>92</v>
      </c>
      <c r="F884" s="97" t="inlineStr">
        <is>
          <t>Risiko Lebih</t>
        </is>
      </c>
      <c r="G884" s="97" t="inlineStr">
        <is>
          <t>Normal</t>
        </is>
      </c>
      <c r="H884" s="97" t="inlineStr">
        <is>
          <t>Gizi Lebih</t>
        </is>
      </c>
      <c r="I884" s="98" t="inlineStr">
        <is>
          <t>Ya</t>
        </is>
      </c>
      <c r="J884" s="98">
        <f>IF(G884="Normal","Tidak",IF(G884="Pendek","Potensi Stunting",IF(G884="Sangat Pendek","Stunting","")))</f>
        <v/>
      </c>
    </row>
    <row r="885" ht="15.75" customHeight="1" s="95">
      <c r="A885" s="97" t="inlineStr">
        <is>
          <t>anonymus0884</t>
        </is>
      </c>
      <c r="B885" s="97" t="inlineStr">
        <is>
          <t>L</t>
        </is>
      </c>
      <c r="C885" s="97" t="inlineStr">
        <is>
          <t>35-69 Bulan</t>
        </is>
      </c>
      <c r="D885" s="97" t="n">
        <v>17.5</v>
      </c>
      <c r="E885" s="97" t="n">
        <v>117</v>
      </c>
      <c r="F885" s="97" t="inlineStr">
        <is>
          <t>Risiko Lebih</t>
        </is>
      </c>
      <c r="G885" s="97" t="inlineStr">
        <is>
          <t>Normal</t>
        </is>
      </c>
      <c r="H885" s="97" t="inlineStr">
        <is>
          <t>Gizi Lebih</t>
        </is>
      </c>
      <c r="I885" s="98" t="inlineStr">
        <is>
          <t>Ya</t>
        </is>
      </c>
      <c r="J885" s="98">
        <f>IF(G885="Normal","Tidak",IF(G885="Pendek","Potensi Stunting",IF(G885="Sangat Pendek","Stunting","")))</f>
        <v/>
      </c>
    </row>
    <row r="886" ht="15.75" customHeight="1" s="95">
      <c r="A886" s="97" t="inlineStr">
        <is>
          <t>anonymus0885</t>
        </is>
      </c>
      <c r="B886" s="97" t="inlineStr">
        <is>
          <t>L</t>
        </is>
      </c>
      <c r="C886" s="97" t="inlineStr">
        <is>
          <t>1-34 Bulan</t>
        </is>
      </c>
      <c r="D886" s="97" t="n">
        <v>6.6</v>
      </c>
      <c r="E886" s="97" t="n">
        <v>81</v>
      </c>
      <c r="F886" s="97" t="inlineStr">
        <is>
          <t>Kurang</t>
        </is>
      </c>
      <c r="G886" s="97" t="inlineStr">
        <is>
          <t>Normal</t>
        </is>
      </c>
      <c r="H886" s="97" t="inlineStr">
        <is>
          <t>Gizi Kurang</t>
        </is>
      </c>
      <c r="I886" s="98" t="inlineStr">
        <is>
          <t>Ya</t>
        </is>
      </c>
      <c r="J886" s="98">
        <f>IF(G886="Normal","Tidak",IF(G886="Pendek","Potensi Stunting",IF(G886="Sangat Pendek","Stunting","")))</f>
        <v/>
      </c>
    </row>
    <row r="887" ht="15.75" customHeight="1" s="95">
      <c r="A887" s="97" t="inlineStr">
        <is>
          <t>anonymus0886</t>
        </is>
      </c>
      <c r="B887" s="97" t="inlineStr">
        <is>
          <t xml:space="preserve">P </t>
        </is>
      </c>
      <c r="C887" s="97" t="inlineStr">
        <is>
          <t>35-69 Bulan</t>
        </is>
      </c>
      <c r="D887" s="97" t="inlineStr">
        <is>
          <t>14.5</t>
        </is>
      </c>
      <c r="E887" s="97" t="n">
        <v>98</v>
      </c>
      <c r="F887" s="97" t="inlineStr">
        <is>
          <t>Berat Badan Normal</t>
        </is>
      </c>
      <c r="G887" s="97" t="inlineStr">
        <is>
          <t>Normal</t>
        </is>
      </c>
      <c r="H887" s="97" t="inlineStr">
        <is>
          <t>Gizi Baik</t>
        </is>
      </c>
      <c r="I887" s="98" t="inlineStr">
        <is>
          <t>Ya</t>
        </is>
      </c>
      <c r="J887" s="98">
        <f>IF(G887="Normal","Tidak",IF(G887="Pendek","Potensi Stunting",IF(G887="Sangat Pendek","Stunting","")))</f>
        <v/>
      </c>
    </row>
    <row r="888" ht="15.75" customHeight="1" s="95">
      <c r="A888" s="97" t="inlineStr">
        <is>
          <t>anonymus0887</t>
        </is>
      </c>
      <c r="B888" s="97" t="inlineStr">
        <is>
          <t>L</t>
        </is>
      </c>
      <c r="C888" s="97" t="inlineStr">
        <is>
          <t>1-34 Bulan</t>
        </is>
      </c>
      <c r="D888" s="97" t="n">
        <v>8</v>
      </c>
      <c r="E888" s="97" t="n">
        <v>78</v>
      </c>
      <c r="F888" s="97" t="inlineStr">
        <is>
          <t>Kurang</t>
        </is>
      </c>
      <c r="G888" s="97" t="inlineStr">
        <is>
          <t>Normal</t>
        </is>
      </c>
      <c r="H888" s="97" t="inlineStr">
        <is>
          <t>Gizi Kurang</t>
        </is>
      </c>
      <c r="I888" s="98" t="inlineStr">
        <is>
          <t>Ya</t>
        </is>
      </c>
      <c r="J888" s="98">
        <f>IF(G888="Normal","Tidak",IF(G888="Pendek","Potensi Stunting",IF(G888="Sangat Pendek","Stunting","")))</f>
        <v/>
      </c>
    </row>
    <row r="889" ht="15.75" customHeight="1" s="95">
      <c r="A889" s="97" t="inlineStr">
        <is>
          <t>anonymus0888</t>
        </is>
      </c>
      <c r="B889" s="97" t="inlineStr">
        <is>
          <t xml:space="preserve">L </t>
        </is>
      </c>
      <c r="C889" s="97" t="inlineStr">
        <is>
          <t>35-69 Bulan</t>
        </is>
      </c>
      <c r="D889" s="97" t="inlineStr">
        <is>
          <t>17.4</t>
        </is>
      </c>
      <c r="E889" s="97" t="n">
        <v>104</v>
      </c>
      <c r="F889" s="97" t="inlineStr">
        <is>
          <t>Berat Badan Normal</t>
        </is>
      </c>
      <c r="G889" s="97" t="inlineStr">
        <is>
          <t>Normal</t>
        </is>
      </c>
      <c r="H889" s="97" t="inlineStr">
        <is>
          <t>Gizi Baik</t>
        </is>
      </c>
      <c r="I889" s="98" t="inlineStr">
        <is>
          <t>Ya</t>
        </is>
      </c>
      <c r="J889" s="98">
        <f>IF(G889="Normal","Tidak",IF(G889="Pendek","Potensi Stunting",IF(G889="Sangat Pendek","Stunting","")))</f>
        <v/>
      </c>
    </row>
    <row r="890" ht="15.75" customHeight="1" s="95">
      <c r="A890" s="97" t="inlineStr">
        <is>
          <t>anonymus0889</t>
        </is>
      </c>
      <c r="B890" s="97" t="inlineStr">
        <is>
          <t>L</t>
        </is>
      </c>
      <c r="C890" s="97" t="inlineStr">
        <is>
          <t>35-69 Bulan</t>
        </is>
      </c>
      <c r="D890" s="97" t="n">
        <v>13.7</v>
      </c>
      <c r="E890" s="97" t="n">
        <v>96</v>
      </c>
      <c r="F890" s="97" t="inlineStr">
        <is>
          <t>Berat Badan Normal</t>
        </is>
      </c>
      <c r="G890" s="97" t="inlineStr">
        <is>
          <t>Normal</t>
        </is>
      </c>
      <c r="H890" s="97" t="inlineStr">
        <is>
          <t>Gizi Baik</t>
        </is>
      </c>
      <c r="I890" s="98" t="inlineStr">
        <is>
          <t>Ya</t>
        </is>
      </c>
      <c r="J890" s="98">
        <f>IF(G890="Normal","Tidak",IF(G890="Pendek","Potensi Stunting",IF(G890="Sangat Pendek","Stunting","")))</f>
        <v/>
      </c>
    </row>
    <row r="891" ht="15.75" customHeight="1" s="95">
      <c r="A891" s="97" t="inlineStr">
        <is>
          <t>anonymus0890</t>
        </is>
      </c>
      <c r="B891" s="97" t="inlineStr">
        <is>
          <t xml:space="preserve">L </t>
        </is>
      </c>
      <c r="C891" s="97" t="inlineStr">
        <is>
          <t>1-34 Bulan</t>
        </is>
      </c>
      <c r="D891" s="97" t="inlineStr">
        <is>
          <t>13.5</t>
        </is>
      </c>
      <c r="E891" s="97" t="n">
        <v>87</v>
      </c>
      <c r="F891" s="97" t="inlineStr">
        <is>
          <t>Berat Badan Normal</t>
        </is>
      </c>
      <c r="G891" s="97" t="inlineStr">
        <is>
          <t>Normal</t>
        </is>
      </c>
      <c r="H891" s="97" t="inlineStr">
        <is>
          <t>Risiko Gizi Lebih</t>
        </is>
      </c>
      <c r="I891" s="98" t="inlineStr">
        <is>
          <t>Ya</t>
        </is>
      </c>
      <c r="J891" s="98">
        <f>IF(G891="Normal","Tidak",IF(G891="Pendek","Potensi Stunting",IF(G891="Sangat Pendek","Stunting","")))</f>
        <v/>
      </c>
    </row>
    <row r="892" ht="15.75" customHeight="1" s="95">
      <c r="A892" s="97" t="inlineStr">
        <is>
          <t>anonymus0891</t>
        </is>
      </c>
      <c r="B892" s="97" t="inlineStr">
        <is>
          <t>L</t>
        </is>
      </c>
      <c r="C892" s="97" t="inlineStr">
        <is>
          <t>1-34 Bulan</t>
        </is>
      </c>
      <c r="D892" s="97" t="n">
        <v>9.5</v>
      </c>
      <c r="E892" s="97" t="n">
        <v>85</v>
      </c>
      <c r="F892" s="97" t="inlineStr">
        <is>
          <t>Sangat Kurang</t>
        </is>
      </c>
      <c r="G892" s="97" t="inlineStr">
        <is>
          <t>Pendek</t>
        </is>
      </c>
      <c r="H892" s="97" t="inlineStr">
        <is>
          <t>Gizi Kurang</t>
        </is>
      </c>
      <c r="I892" s="98" t="inlineStr">
        <is>
          <t>Ya</t>
        </is>
      </c>
      <c r="J892" s="98">
        <f>IF(G892="Normal","Tidak",IF(G892="Pendek","Potensi Stunting",IF(G892="Sangat Pendek","Stunting","")))</f>
        <v/>
      </c>
    </row>
    <row r="893" ht="15.75" customHeight="1" s="95">
      <c r="A893" s="97" t="inlineStr">
        <is>
          <t>anonymus0892</t>
        </is>
      </c>
      <c r="B893" s="97" t="inlineStr">
        <is>
          <t xml:space="preserve">L </t>
        </is>
      </c>
      <c r="C893" s="97" t="inlineStr">
        <is>
          <t>35-69 Bulan</t>
        </is>
      </c>
      <c r="D893" s="97" t="inlineStr">
        <is>
          <t>14.5</t>
        </is>
      </c>
      <c r="E893" s="97" t="n">
        <v>105</v>
      </c>
      <c r="F893" s="97" t="inlineStr">
        <is>
          <t>Berat Badan Normal</t>
        </is>
      </c>
      <c r="G893" s="97" t="inlineStr">
        <is>
          <t>Normal</t>
        </is>
      </c>
      <c r="H893" s="97" t="inlineStr">
        <is>
          <t>Gizi Baik</t>
        </is>
      </c>
      <c r="I893" s="98" t="inlineStr">
        <is>
          <t>Ya</t>
        </is>
      </c>
      <c r="J893" s="98">
        <f>IF(G893="Normal","Tidak",IF(G893="Pendek","Potensi Stunting",IF(G893="Sangat Pendek","Stunting","")))</f>
        <v/>
      </c>
    </row>
    <row r="894" ht="15.75" customHeight="1" s="95">
      <c r="A894" s="97" t="inlineStr">
        <is>
          <t>anonymus0893</t>
        </is>
      </c>
      <c r="B894" s="97" t="inlineStr">
        <is>
          <t>L</t>
        </is>
      </c>
      <c r="C894" s="97" t="inlineStr">
        <is>
          <t>35-69 Bulan</t>
        </is>
      </c>
      <c r="D894" s="97" t="n">
        <v>15.2</v>
      </c>
      <c r="E894" s="97" t="n">
        <v>110</v>
      </c>
      <c r="F894" s="97" t="inlineStr">
        <is>
          <t>Berat Badan Normal</t>
        </is>
      </c>
      <c r="G894" s="97" t="inlineStr">
        <is>
          <t>Normal</t>
        </is>
      </c>
      <c r="H894" s="97" t="inlineStr">
        <is>
          <t>Gizi Baik</t>
        </is>
      </c>
      <c r="I894" s="98" t="inlineStr">
        <is>
          <t>Ya</t>
        </is>
      </c>
      <c r="J894" s="98">
        <f>IF(G894="Normal","Tidak",IF(G894="Pendek","Potensi Stunting",IF(G894="Sangat Pendek","Stunting","")))</f>
        <v/>
      </c>
    </row>
    <row r="895" ht="15.75" customHeight="1" s="95">
      <c r="A895" s="97" t="inlineStr">
        <is>
          <t>anonymus0894</t>
        </is>
      </c>
      <c r="B895" s="97" t="inlineStr">
        <is>
          <t>P</t>
        </is>
      </c>
      <c r="C895" s="97" t="inlineStr">
        <is>
          <t>35-69 Bulan</t>
        </is>
      </c>
      <c r="D895" s="97" t="n">
        <v>16.7</v>
      </c>
      <c r="E895" s="97" t="n">
        <v>97</v>
      </c>
      <c r="F895" s="97" t="inlineStr">
        <is>
          <t>Berat Badan Normal</t>
        </is>
      </c>
      <c r="G895" s="97" t="inlineStr">
        <is>
          <t>Normal</t>
        </is>
      </c>
      <c r="H895" s="97" t="inlineStr">
        <is>
          <t>Gizi Baik</t>
        </is>
      </c>
      <c r="I895" s="98" t="inlineStr">
        <is>
          <t>Ya</t>
        </is>
      </c>
      <c r="J895" s="98">
        <f>IF(G895="Normal","Tidak",IF(G895="Pendek","Potensi Stunting",IF(G895="Sangat Pendek","Stunting","")))</f>
        <v/>
      </c>
    </row>
    <row r="896" ht="15.75" customHeight="1" s="95">
      <c r="A896" s="97" t="inlineStr">
        <is>
          <t>anonymus0895</t>
        </is>
      </c>
      <c r="B896" s="97" t="inlineStr">
        <is>
          <t>L</t>
        </is>
      </c>
      <c r="C896" s="97" t="inlineStr">
        <is>
          <t>35-69 Bulan</t>
        </is>
      </c>
      <c r="D896" s="97" t="n">
        <v>14.5</v>
      </c>
      <c r="E896" s="97" t="n">
        <v>109</v>
      </c>
      <c r="F896" s="97" t="inlineStr">
        <is>
          <t>Berat Badan Normal</t>
        </is>
      </c>
      <c r="G896" s="97" t="inlineStr">
        <is>
          <t>Normal</t>
        </is>
      </c>
      <c r="H896" s="97" t="inlineStr">
        <is>
          <t>Gizi Baik</t>
        </is>
      </c>
      <c r="I896" s="98" t="inlineStr">
        <is>
          <t>Ya</t>
        </is>
      </c>
      <c r="J896" s="98">
        <f>IF(G896="Normal","Tidak",IF(G896="Pendek","Potensi Stunting",IF(G896="Sangat Pendek","Stunting","")))</f>
        <v/>
      </c>
    </row>
    <row r="897" ht="15.75" customHeight="1" s="95">
      <c r="A897" s="97" t="inlineStr">
        <is>
          <t>anonymus0896</t>
        </is>
      </c>
      <c r="B897" s="97" t="inlineStr">
        <is>
          <t>L</t>
        </is>
      </c>
      <c r="C897" s="97" t="inlineStr">
        <is>
          <t>35-69 Bulan</t>
        </is>
      </c>
      <c r="D897" s="97" t="n">
        <v>16.2</v>
      </c>
      <c r="E897" s="97" t="n">
        <v>112</v>
      </c>
      <c r="F897" s="97" t="inlineStr">
        <is>
          <t>Berat Badan Normal</t>
        </is>
      </c>
      <c r="G897" s="97" t="inlineStr">
        <is>
          <t>Normal</t>
        </is>
      </c>
      <c r="H897" s="97" t="inlineStr">
        <is>
          <t>Gizi Baik</t>
        </is>
      </c>
      <c r="I897" s="98" t="inlineStr">
        <is>
          <t>Ya</t>
        </is>
      </c>
      <c r="J897" s="98">
        <f>IF(G897="Normal","Tidak",IF(G897="Pendek","Potensi Stunting",IF(G897="Sangat Pendek","Stunting","")))</f>
        <v/>
      </c>
    </row>
    <row r="898" ht="15.75" customHeight="1" s="95">
      <c r="A898" s="97" t="inlineStr">
        <is>
          <t>anonymus0897</t>
        </is>
      </c>
      <c r="B898" s="97" t="inlineStr">
        <is>
          <t xml:space="preserve">L </t>
        </is>
      </c>
      <c r="C898" s="97" t="inlineStr">
        <is>
          <t>35-69 Bulan</t>
        </is>
      </c>
      <c r="D898" s="97" t="n">
        <v>21</v>
      </c>
      <c r="E898" s="97" t="n">
        <v>105</v>
      </c>
      <c r="F898" s="97" t="inlineStr">
        <is>
          <t>Risiko Lebih</t>
        </is>
      </c>
      <c r="G898" s="97" t="inlineStr">
        <is>
          <t>Normal</t>
        </is>
      </c>
      <c r="H898" s="97" t="inlineStr">
        <is>
          <t>Gizi Lebih</t>
        </is>
      </c>
      <c r="I898" s="98" t="inlineStr">
        <is>
          <t>Ya</t>
        </is>
      </c>
      <c r="J898" s="98">
        <f>IF(G898="Normal","Tidak",IF(G898="Pendek","Potensi Stunting",IF(G898="Sangat Pendek","Stunting","")))</f>
        <v/>
      </c>
    </row>
    <row r="899" ht="15.75" customHeight="1" s="95">
      <c r="A899" s="97" t="inlineStr">
        <is>
          <t>anonymus0898</t>
        </is>
      </c>
      <c r="B899" s="97" t="inlineStr">
        <is>
          <t xml:space="preserve">L </t>
        </is>
      </c>
      <c r="C899" s="97" t="inlineStr">
        <is>
          <t>1-34 Bulan</t>
        </is>
      </c>
      <c r="D899" s="97" t="inlineStr">
        <is>
          <t>12.1</t>
        </is>
      </c>
      <c r="E899" s="97" t="n">
        <v>86</v>
      </c>
      <c r="F899" s="97" t="inlineStr">
        <is>
          <t>Berat Badan Normal</t>
        </is>
      </c>
      <c r="G899" s="97" t="inlineStr">
        <is>
          <t>Normal</t>
        </is>
      </c>
      <c r="H899" s="97" t="inlineStr">
        <is>
          <t>Gizi Baik</t>
        </is>
      </c>
      <c r="I899" s="98" t="inlineStr">
        <is>
          <t>Ya</t>
        </is>
      </c>
      <c r="J899" s="98">
        <f>IF(G899="Normal","Tidak",IF(G899="Pendek","Potensi Stunting",IF(G899="Sangat Pendek","Stunting","")))</f>
        <v/>
      </c>
    </row>
    <row r="900" ht="15.75" customHeight="1" s="95">
      <c r="A900" s="97" t="inlineStr">
        <is>
          <t>anonymus0899</t>
        </is>
      </c>
      <c r="B900" s="97" t="inlineStr">
        <is>
          <t xml:space="preserve">L </t>
        </is>
      </c>
      <c r="C900" s="97" t="inlineStr">
        <is>
          <t>1-34 Bulan</t>
        </is>
      </c>
      <c r="D900" s="97" t="inlineStr">
        <is>
          <t>16.5</t>
        </is>
      </c>
      <c r="E900" s="97" t="n">
        <v>105</v>
      </c>
      <c r="F900" s="97" t="inlineStr">
        <is>
          <t>Berat Badan Normal</t>
        </is>
      </c>
      <c r="G900" s="97" t="inlineStr">
        <is>
          <t>Normal</t>
        </is>
      </c>
      <c r="H900" s="97" t="inlineStr">
        <is>
          <t>Gizi Baik</t>
        </is>
      </c>
      <c r="I900" s="98" t="inlineStr">
        <is>
          <t>Ya</t>
        </is>
      </c>
      <c r="J900" s="98">
        <f>IF(G900="Normal","Tidak",IF(G900="Pendek","Potensi Stunting",IF(G900="Sangat Pendek","Stunting","")))</f>
        <v/>
      </c>
    </row>
    <row r="901" ht="15.75" customHeight="1" s="95">
      <c r="A901" s="97" t="inlineStr">
        <is>
          <t>anonymus0900</t>
        </is>
      </c>
      <c r="B901" s="97" t="inlineStr">
        <is>
          <t xml:space="preserve">L </t>
        </is>
      </c>
      <c r="C901" s="97" t="inlineStr">
        <is>
          <t>35-69 Bulan</t>
        </is>
      </c>
      <c r="D901" s="97" t="inlineStr">
        <is>
          <t>18.2</t>
        </is>
      </c>
      <c r="E901" s="97" t="n">
        <v>104</v>
      </c>
      <c r="F901" s="97" t="inlineStr">
        <is>
          <t>Berat Badan Normal</t>
        </is>
      </c>
      <c r="G901" s="97" t="inlineStr">
        <is>
          <t>Normal</t>
        </is>
      </c>
      <c r="H901" s="97" t="inlineStr">
        <is>
          <t>Risiko Gizi Lebih</t>
        </is>
      </c>
      <c r="I901" s="98" t="inlineStr">
        <is>
          <t>Ya</t>
        </is>
      </c>
      <c r="J901" s="98">
        <f>IF(G901="Normal","Tidak",IF(G901="Pendek","Potensi Stunting",IF(G901="Sangat Pendek","Stunting","")))</f>
        <v/>
      </c>
    </row>
    <row r="902" ht="15.75" customHeight="1" s="95">
      <c r="A902" s="97" t="inlineStr">
        <is>
          <t>anonymus0901</t>
        </is>
      </c>
      <c r="B902" s="97" t="inlineStr">
        <is>
          <t>P</t>
        </is>
      </c>
      <c r="C902" s="97" t="inlineStr">
        <is>
          <t>35-69 Bulan</t>
        </is>
      </c>
      <c r="D902" s="97" t="n">
        <v>13.4</v>
      </c>
      <c r="E902" s="97" t="n">
        <v>102</v>
      </c>
      <c r="F902" s="97" t="inlineStr">
        <is>
          <t>Berat Badan Normal</t>
        </is>
      </c>
      <c r="G902" s="97" t="inlineStr">
        <is>
          <t>Normal</t>
        </is>
      </c>
      <c r="H902" s="97" t="inlineStr">
        <is>
          <t>Gizi Baik</t>
        </is>
      </c>
      <c r="I902" s="98" t="inlineStr">
        <is>
          <t>Ya</t>
        </is>
      </c>
      <c r="J902" s="98">
        <f>IF(G902="Normal","Tidak",IF(G902="Pendek","Potensi Stunting",IF(G902="Sangat Pendek","Stunting","")))</f>
        <v/>
      </c>
    </row>
    <row r="903" ht="15.75" customHeight="1" s="95">
      <c r="A903" s="97" t="inlineStr">
        <is>
          <t>anonymus0902</t>
        </is>
      </c>
      <c r="B903" s="97" t="inlineStr">
        <is>
          <t>L</t>
        </is>
      </c>
      <c r="C903" s="97" t="inlineStr">
        <is>
          <t>1-34 Bulan</t>
        </is>
      </c>
      <c r="D903" s="97" t="n">
        <v>6.3</v>
      </c>
      <c r="E903" s="97" t="n">
        <v>89</v>
      </c>
      <c r="F903" s="97" t="inlineStr">
        <is>
          <t>Kurang</t>
        </is>
      </c>
      <c r="G903" s="97" t="inlineStr">
        <is>
          <t>Normal</t>
        </is>
      </c>
      <c r="H903" s="97" t="inlineStr">
        <is>
          <t>Gizi Kurang</t>
        </is>
      </c>
      <c r="I903" s="98" t="inlineStr">
        <is>
          <t>Ya</t>
        </is>
      </c>
      <c r="J903" s="98">
        <f>IF(G903="Normal","Tidak",IF(G903="Pendek","Potensi Stunting",IF(G903="Sangat Pendek","Stunting","")))</f>
        <v/>
      </c>
    </row>
    <row r="904" ht="15.75" customHeight="1" s="95">
      <c r="A904" s="97" t="inlineStr">
        <is>
          <t>anonymus0903</t>
        </is>
      </c>
      <c r="B904" s="97" t="inlineStr">
        <is>
          <t>P</t>
        </is>
      </c>
      <c r="C904" s="97" t="inlineStr">
        <is>
          <t>35-69 Bulan</t>
        </is>
      </c>
      <c r="D904" s="97" t="n">
        <v>8.5</v>
      </c>
      <c r="E904" s="97" t="n">
        <v>73</v>
      </c>
      <c r="F904" s="97" t="inlineStr">
        <is>
          <t>Kurang</t>
        </is>
      </c>
      <c r="G904" s="97" t="inlineStr">
        <is>
          <t>Sangat Pendek</t>
        </is>
      </c>
      <c r="H904" s="97" t="inlineStr">
        <is>
          <t>Gizi Baik</t>
        </is>
      </c>
      <c r="I904" s="98" t="inlineStr">
        <is>
          <t>Ya</t>
        </is>
      </c>
      <c r="J904" s="98">
        <f>IF(G904="Normal","Tidak",IF(G904="Pendek","Potensi Stunting",IF(G904="Sangat Pendek","Stunting","")))</f>
        <v/>
      </c>
    </row>
    <row r="905" ht="15.75" customHeight="1" s="95">
      <c r="A905" s="97" t="inlineStr">
        <is>
          <t>anonymus0904</t>
        </is>
      </c>
      <c r="B905" s="97" t="inlineStr">
        <is>
          <t>L</t>
        </is>
      </c>
      <c r="C905" s="97" t="inlineStr">
        <is>
          <t>35-69 Bulan</t>
        </is>
      </c>
      <c r="D905" s="97" t="n">
        <v>8.9</v>
      </c>
      <c r="E905" s="97" t="n">
        <v>78.40000000000001</v>
      </c>
      <c r="F905" s="97" t="inlineStr">
        <is>
          <t>Sangat Kurang</t>
        </is>
      </c>
      <c r="G905" s="97" t="inlineStr">
        <is>
          <t>Sangat Pendek</t>
        </is>
      </c>
      <c r="H905" s="97" t="inlineStr">
        <is>
          <t>Gizi Baik</t>
        </is>
      </c>
      <c r="I905" s="98" t="inlineStr">
        <is>
          <t>Ya</t>
        </is>
      </c>
      <c r="J905" s="98">
        <f>IF(G905="Normal","Tidak",IF(G905="Pendek","Potensi Stunting",IF(G905="Sangat Pendek","Stunting","")))</f>
        <v/>
      </c>
    </row>
    <row r="906" ht="15.75" customHeight="1" s="95">
      <c r="A906" s="99" t="inlineStr">
        <is>
          <t>anonymus0905</t>
        </is>
      </c>
      <c r="B906" s="97" t="inlineStr">
        <is>
          <t>L</t>
        </is>
      </c>
      <c r="C906" s="97" t="n">
        <v>81</v>
      </c>
      <c r="D906" s="97" t="n">
        <v>10.8</v>
      </c>
      <c r="E906" s="97" t="n">
        <v>92</v>
      </c>
      <c r="F906" s="97" t="inlineStr">
        <is>
          <t>Sangat Kurang</t>
        </is>
      </c>
      <c r="G906" s="97" t="inlineStr">
        <is>
          <t>Pendek</t>
        </is>
      </c>
      <c r="H906" s="97" t="inlineStr">
        <is>
          <t>Gizi Kurang</t>
        </is>
      </c>
      <c r="I906" s="98" t="inlineStr">
        <is>
          <t>Ya</t>
        </is>
      </c>
      <c r="J906" s="98">
        <f>IF(G906="Normal","Tidak",IF(G906="Pendek","Potensi Stunting",IF(G906="Sangat Pendek","Stunting","")))</f>
        <v/>
      </c>
    </row>
    <row r="907" ht="15.75" customHeight="1" s="95">
      <c r="A907" s="97" t="inlineStr">
        <is>
          <t>anonymus0906</t>
        </is>
      </c>
      <c r="B907" s="97" t="inlineStr">
        <is>
          <t>L</t>
        </is>
      </c>
      <c r="C907" s="97" t="inlineStr">
        <is>
          <t>1-34 Bulan</t>
        </is>
      </c>
      <c r="D907" s="97" t="n">
        <v>13.7</v>
      </c>
      <c r="E907" s="97" t="n">
        <v>85</v>
      </c>
      <c r="F907" s="97" t="inlineStr">
        <is>
          <t>Berat Badan Normal</t>
        </is>
      </c>
      <c r="G907" s="97" t="inlineStr">
        <is>
          <t>Normal</t>
        </is>
      </c>
      <c r="H907" s="97" t="inlineStr">
        <is>
          <t>Gizi Baik</t>
        </is>
      </c>
      <c r="I907" s="98" t="inlineStr">
        <is>
          <t>Ya</t>
        </is>
      </c>
      <c r="J907" s="98">
        <f>IF(G907="Normal","Tidak",IF(G907="Pendek","Potensi Stunting",IF(G907="Sangat Pendek","Stunting","")))</f>
        <v/>
      </c>
    </row>
    <row r="908" ht="15.75" customHeight="1" s="95">
      <c r="A908" s="97" t="inlineStr">
        <is>
          <t>anonymus0907</t>
        </is>
      </c>
      <c r="B908" s="97" t="inlineStr">
        <is>
          <t xml:space="preserve">P </t>
        </is>
      </c>
      <c r="C908" s="97" t="inlineStr">
        <is>
          <t>35-69 Bulan</t>
        </is>
      </c>
      <c r="D908" s="97" t="inlineStr">
        <is>
          <t>14.4</t>
        </is>
      </c>
      <c r="E908" s="97" t="n">
        <v>101</v>
      </c>
      <c r="F908" s="97" t="inlineStr">
        <is>
          <t>Berat Badan Normal</t>
        </is>
      </c>
      <c r="G908" s="97" t="inlineStr">
        <is>
          <t>Normal</t>
        </is>
      </c>
      <c r="H908" s="97" t="inlineStr">
        <is>
          <t>Gizi Baik</t>
        </is>
      </c>
      <c r="I908" s="98" t="inlineStr">
        <is>
          <t>Ya</t>
        </is>
      </c>
      <c r="J908" s="98">
        <f>IF(G908="Normal","Tidak",IF(G908="Pendek","Potensi Stunting",IF(G908="Sangat Pendek","Stunting","")))</f>
        <v/>
      </c>
    </row>
    <row r="909" ht="15.75" customHeight="1" s="95">
      <c r="A909" s="97" t="inlineStr">
        <is>
          <t>anonymus0908</t>
        </is>
      </c>
      <c r="B909" s="97" t="inlineStr">
        <is>
          <t>P</t>
        </is>
      </c>
      <c r="C909" s="97" t="inlineStr">
        <is>
          <t>35-69 Bulan</t>
        </is>
      </c>
      <c r="D909" s="97" t="n">
        <v>16.5</v>
      </c>
      <c r="E909" s="97" t="n">
        <v>105</v>
      </c>
      <c r="F909" s="97" t="inlineStr">
        <is>
          <t>Berat Badan Normal</t>
        </is>
      </c>
      <c r="G909" s="97" t="inlineStr">
        <is>
          <t>Normal</t>
        </is>
      </c>
      <c r="H909" s="97" t="inlineStr">
        <is>
          <t>Gizi Baik</t>
        </is>
      </c>
      <c r="I909" s="98" t="inlineStr">
        <is>
          <t>Ya</t>
        </is>
      </c>
      <c r="J909" s="98">
        <f>IF(G909="Normal","Tidak",IF(G909="Pendek","Potensi Stunting",IF(G909="Sangat Pendek","Stunting","")))</f>
        <v/>
      </c>
    </row>
    <row r="910" ht="15.75" customHeight="1" s="95">
      <c r="A910" s="97" t="inlineStr">
        <is>
          <t>anonymus0909</t>
        </is>
      </c>
      <c r="B910" s="97" t="inlineStr">
        <is>
          <t>L</t>
        </is>
      </c>
      <c r="C910" s="97" t="inlineStr">
        <is>
          <t>35-69 Bulan</t>
        </is>
      </c>
      <c r="D910" s="97" t="n">
        <v>12</v>
      </c>
      <c r="E910" s="97" t="n">
        <v>85</v>
      </c>
      <c r="F910" s="97" t="inlineStr">
        <is>
          <t>Normal</t>
        </is>
      </c>
      <c r="G910" s="97" t="inlineStr">
        <is>
          <t>Pendek</t>
        </is>
      </c>
      <c r="H910" s="97" t="inlineStr">
        <is>
          <t>Gizi Baik</t>
        </is>
      </c>
      <c r="I910" s="98" t="inlineStr">
        <is>
          <t>Ya</t>
        </is>
      </c>
      <c r="J910" s="98">
        <f>IF(G910="Normal","Tidak",IF(G910="Pendek","Potensi Stunting",IF(G910="Sangat Pendek","Stunting","")))</f>
        <v/>
      </c>
    </row>
    <row r="911" ht="15.75" customHeight="1" s="95">
      <c r="A911" s="97" t="inlineStr">
        <is>
          <t>anonymus0910</t>
        </is>
      </c>
      <c r="B911" s="97" t="inlineStr">
        <is>
          <t>L</t>
        </is>
      </c>
      <c r="C911" s="97" t="inlineStr">
        <is>
          <t>35-69 Bulan</t>
        </is>
      </c>
      <c r="D911" s="97" t="n">
        <v>11.3</v>
      </c>
      <c r="E911" s="97" t="n">
        <v>81</v>
      </c>
      <c r="F911" s="97" t="inlineStr">
        <is>
          <t>Normal</t>
        </is>
      </c>
      <c r="G911" s="97" t="inlineStr">
        <is>
          <t>Sangat Pendek</t>
        </is>
      </c>
      <c r="H911" s="97" t="inlineStr">
        <is>
          <t>Gizi Baik</t>
        </is>
      </c>
      <c r="I911" s="98" t="inlineStr">
        <is>
          <t>Tidak</t>
        </is>
      </c>
      <c r="J911" s="98">
        <f>IF(G911="Normal","Tidak",IF(G911="Pendek","Potensi Stunting",IF(G911="Sangat Pendek","Stunting","")))</f>
        <v/>
      </c>
    </row>
    <row r="912" ht="15.75" customHeight="1" s="95">
      <c r="A912" s="97" t="inlineStr">
        <is>
          <t>anonymus0911</t>
        </is>
      </c>
      <c r="B912" s="97" t="inlineStr">
        <is>
          <t xml:space="preserve">P </t>
        </is>
      </c>
      <c r="C912" s="97" t="inlineStr">
        <is>
          <t>1-34 Bulan</t>
        </is>
      </c>
      <c r="D912" s="97" t="inlineStr">
        <is>
          <t>9.3</t>
        </is>
      </c>
      <c r="E912" s="97" t="n">
        <v>76</v>
      </c>
      <c r="F912" s="97" t="inlineStr">
        <is>
          <t>Berat Badan Normal</t>
        </is>
      </c>
      <c r="G912" s="97" t="inlineStr">
        <is>
          <t>Pendek</t>
        </is>
      </c>
      <c r="H912" s="97" t="inlineStr">
        <is>
          <t>Gizi Baik</t>
        </is>
      </c>
      <c r="I912" s="98" t="inlineStr">
        <is>
          <t>Ya</t>
        </is>
      </c>
      <c r="J912" s="98">
        <f>IF(G912="Normal","Tidak",IF(G912="Pendek","Potensi Stunting",IF(G912="Sangat Pendek","Stunting","")))</f>
        <v/>
      </c>
    </row>
    <row r="913" ht="15.75" customHeight="1" s="95">
      <c r="A913" s="97" t="inlineStr">
        <is>
          <t>anonymus0912</t>
        </is>
      </c>
      <c r="B913" s="97" t="inlineStr">
        <is>
          <t xml:space="preserve">L </t>
        </is>
      </c>
      <c r="C913" s="97" t="inlineStr">
        <is>
          <t>35-69 Bulan</t>
        </is>
      </c>
      <c r="D913" s="97" t="inlineStr">
        <is>
          <t>15.7</t>
        </is>
      </c>
      <c r="E913" s="97" t="n">
        <v>101</v>
      </c>
      <c r="F913" s="97" t="inlineStr">
        <is>
          <t>Berat Badan Normal</t>
        </is>
      </c>
      <c r="G913" s="97" t="inlineStr">
        <is>
          <t>Normal</t>
        </is>
      </c>
      <c r="H913" s="97" t="inlineStr">
        <is>
          <t>Gizi Baik</t>
        </is>
      </c>
      <c r="I913" s="98" t="inlineStr">
        <is>
          <t>Ya</t>
        </is>
      </c>
      <c r="J913" s="98">
        <f>IF(G913="Normal","Tidak",IF(G913="Pendek","Potensi Stunting",IF(G913="Sangat Pendek","Stunting","")))</f>
        <v/>
      </c>
    </row>
    <row r="914" ht="15.75" customHeight="1" s="95">
      <c r="A914" s="97" t="inlineStr">
        <is>
          <t>anonymus0913</t>
        </is>
      </c>
      <c r="B914" s="97" t="inlineStr">
        <is>
          <t xml:space="preserve">L </t>
        </is>
      </c>
      <c r="C914" s="97" t="inlineStr">
        <is>
          <t>35-69 Bulan</t>
        </is>
      </c>
      <c r="D914" s="97" t="inlineStr">
        <is>
          <t>19.6</t>
        </is>
      </c>
      <c r="E914" s="97" t="n">
        <v>105</v>
      </c>
      <c r="F914" s="97" t="inlineStr">
        <is>
          <t>Risiko Lebih</t>
        </is>
      </c>
      <c r="G914" s="97" t="inlineStr">
        <is>
          <t>Normal</t>
        </is>
      </c>
      <c r="H914" s="97" t="inlineStr">
        <is>
          <t>Risiko Gizi Lebih</t>
        </is>
      </c>
      <c r="I914" s="98" t="inlineStr">
        <is>
          <t>Ya</t>
        </is>
      </c>
      <c r="J914" s="98">
        <f>IF(G914="Normal","Tidak",IF(G914="Pendek","Potensi Stunting",IF(G914="Sangat Pendek","Stunting","")))</f>
        <v/>
      </c>
    </row>
    <row r="915" ht="15.75" customHeight="1" s="95">
      <c r="A915" s="97" t="inlineStr">
        <is>
          <t>anonymus0914</t>
        </is>
      </c>
      <c r="B915" s="97" t="inlineStr">
        <is>
          <t xml:space="preserve">L </t>
        </is>
      </c>
      <c r="C915" s="97" t="inlineStr">
        <is>
          <t>35-69 Bulan</t>
        </is>
      </c>
      <c r="D915" s="97" t="inlineStr">
        <is>
          <t>14.9</t>
        </is>
      </c>
      <c r="E915" s="97" t="n">
        <v>98</v>
      </c>
      <c r="F915" s="97" t="inlineStr">
        <is>
          <t>Berat Badan Normal</t>
        </is>
      </c>
      <c r="G915" s="97" t="inlineStr">
        <is>
          <t>Normal</t>
        </is>
      </c>
      <c r="H915" s="97" t="inlineStr">
        <is>
          <t>Gizi Baik</t>
        </is>
      </c>
      <c r="I915" s="98" t="inlineStr">
        <is>
          <t>Ya</t>
        </is>
      </c>
      <c r="J915" s="98">
        <f>IF(G915="Normal","Tidak",IF(G915="Pendek","Potensi Stunting",IF(G915="Sangat Pendek","Stunting","")))</f>
        <v/>
      </c>
    </row>
    <row r="916" ht="15.75" customHeight="1" s="95">
      <c r="A916" s="97" t="inlineStr">
        <is>
          <t>anonymus0915</t>
        </is>
      </c>
      <c r="B916" s="97" t="inlineStr">
        <is>
          <t xml:space="preserve">L </t>
        </is>
      </c>
      <c r="C916" s="97" t="inlineStr">
        <is>
          <t>35-69 Bulan</t>
        </is>
      </c>
      <c r="D916" s="97" t="inlineStr">
        <is>
          <t>18.3</t>
        </is>
      </c>
      <c r="E916" s="97" t="n">
        <v>105</v>
      </c>
      <c r="F916" s="97" t="inlineStr">
        <is>
          <t>Berat Badan Normal</t>
        </is>
      </c>
      <c r="G916" s="97" t="inlineStr">
        <is>
          <t>Normal</t>
        </is>
      </c>
      <c r="H916" s="97" t="inlineStr">
        <is>
          <t>Gizi Baik</t>
        </is>
      </c>
      <c r="I916" s="98" t="inlineStr">
        <is>
          <t>Ya</t>
        </is>
      </c>
      <c r="J916" s="98">
        <f>IF(G916="Normal","Tidak",IF(G916="Pendek","Potensi Stunting",IF(G916="Sangat Pendek","Stunting","")))</f>
        <v/>
      </c>
    </row>
    <row r="917" ht="15.75" customHeight="1" s="95">
      <c r="A917" s="97" t="inlineStr">
        <is>
          <t>anonymus0916</t>
        </is>
      </c>
      <c r="B917" s="97" t="inlineStr">
        <is>
          <t>L</t>
        </is>
      </c>
      <c r="C917" s="97" t="inlineStr">
        <is>
          <t>35-69 Bulan</t>
        </is>
      </c>
      <c r="D917" s="97" t="n">
        <v>13.3</v>
      </c>
      <c r="E917" s="97" t="n">
        <v>104</v>
      </c>
      <c r="F917" s="97" t="inlineStr">
        <is>
          <t>Normal</t>
        </is>
      </c>
      <c r="G917" s="97" t="inlineStr">
        <is>
          <t>Normal</t>
        </is>
      </c>
      <c r="H917" s="97" t="inlineStr">
        <is>
          <t>Gizi Kurang</t>
        </is>
      </c>
      <c r="I917" s="98" t="inlineStr">
        <is>
          <t>Ya</t>
        </is>
      </c>
      <c r="J917" s="98">
        <f>IF(G917="Normal","Tidak",IF(G917="Pendek","Potensi Stunting",IF(G917="Sangat Pendek","Stunting","")))</f>
        <v/>
      </c>
    </row>
    <row r="918" ht="15.75" customHeight="1" s="95">
      <c r="A918" s="97" t="inlineStr">
        <is>
          <t>anonymus0917</t>
        </is>
      </c>
      <c r="B918" s="97" t="inlineStr">
        <is>
          <t xml:space="preserve">L </t>
        </is>
      </c>
      <c r="C918" s="97" t="inlineStr">
        <is>
          <t>1-34 Bulan</t>
        </is>
      </c>
      <c r="D918" s="97" t="inlineStr">
        <is>
          <t>9.5</t>
        </is>
      </c>
      <c r="E918" s="97" t="n">
        <v>77</v>
      </c>
      <c r="F918" s="97" t="inlineStr">
        <is>
          <t>Berat Badan Normal</t>
        </is>
      </c>
      <c r="G918" s="97" t="inlineStr">
        <is>
          <t>Normal</t>
        </is>
      </c>
      <c r="H918" s="97" t="inlineStr">
        <is>
          <t>Gizi Baik</t>
        </is>
      </c>
      <c r="I918" s="98" t="inlineStr">
        <is>
          <t>Ya</t>
        </is>
      </c>
      <c r="J918" s="98">
        <f>IF(G918="Normal","Tidak",IF(G918="Pendek","Potensi Stunting",IF(G918="Sangat Pendek","Stunting","")))</f>
        <v/>
      </c>
    </row>
    <row r="919" ht="15.75" customHeight="1" s="95">
      <c r="A919" s="97" t="inlineStr">
        <is>
          <t>anonymus0918</t>
        </is>
      </c>
      <c r="B919" s="97" t="inlineStr">
        <is>
          <t>P</t>
        </is>
      </c>
      <c r="C919" s="97" t="inlineStr">
        <is>
          <t>35-69 Bulan</t>
        </is>
      </c>
      <c r="D919" s="97" t="n">
        <v>8.4</v>
      </c>
      <c r="E919" s="97" t="n">
        <v>75</v>
      </c>
      <c r="F919" s="97" t="inlineStr">
        <is>
          <t>Sangat Kurang</t>
        </is>
      </c>
      <c r="G919" s="97" t="inlineStr">
        <is>
          <t>Sangat Pendek</t>
        </is>
      </c>
      <c r="H919" s="97" t="inlineStr">
        <is>
          <t>Gizi Baik</t>
        </is>
      </c>
      <c r="I919" s="98" t="inlineStr">
        <is>
          <t>Ya</t>
        </is>
      </c>
      <c r="J919" s="98">
        <f>IF(G919="Normal","Tidak",IF(G919="Pendek","Potensi Stunting",IF(G919="Sangat Pendek","Stunting","")))</f>
        <v/>
      </c>
    </row>
    <row r="920" ht="15.75" customHeight="1" s="95">
      <c r="A920" s="97" t="inlineStr">
        <is>
          <t>anonymus0919</t>
        </is>
      </c>
      <c r="B920" s="97" t="inlineStr">
        <is>
          <t>L</t>
        </is>
      </c>
      <c r="C920" s="97" t="inlineStr">
        <is>
          <t>35-69 Bulan</t>
        </is>
      </c>
      <c r="D920" s="97" t="n">
        <v>15.2</v>
      </c>
      <c r="E920" s="97" t="n">
        <v>114</v>
      </c>
      <c r="F920" s="97" t="inlineStr">
        <is>
          <t>Berat Badan Normal</t>
        </is>
      </c>
      <c r="G920" s="97" t="inlineStr">
        <is>
          <t>Normal</t>
        </is>
      </c>
      <c r="H920" s="97" t="inlineStr">
        <is>
          <t>Gizi Baik</t>
        </is>
      </c>
      <c r="I920" s="98" t="inlineStr">
        <is>
          <t>Ya</t>
        </is>
      </c>
      <c r="J920" s="98">
        <f>IF(G920="Normal","Tidak",IF(G920="Pendek","Potensi Stunting",IF(G920="Sangat Pendek","Stunting","")))</f>
        <v/>
      </c>
    </row>
    <row r="921" ht="15.75" customHeight="1" s="95">
      <c r="A921" s="97" t="inlineStr">
        <is>
          <t>anonymus0920</t>
        </is>
      </c>
      <c r="B921" s="97" t="inlineStr">
        <is>
          <t>L</t>
        </is>
      </c>
      <c r="C921" s="97" t="inlineStr">
        <is>
          <t>1-34 Bulan</t>
        </is>
      </c>
      <c r="D921" s="97" t="n">
        <v>13</v>
      </c>
      <c r="E921" s="97" t="n">
        <v>88</v>
      </c>
      <c r="F921" s="97" t="inlineStr">
        <is>
          <t>Berat Badan Normal</t>
        </is>
      </c>
      <c r="G921" s="97" t="inlineStr">
        <is>
          <t>Normal</t>
        </is>
      </c>
      <c r="H921" s="97" t="inlineStr">
        <is>
          <t>Gizi Baik</t>
        </is>
      </c>
      <c r="I921" s="98" t="inlineStr">
        <is>
          <t>Ya</t>
        </is>
      </c>
      <c r="J921" s="98">
        <f>IF(G921="Normal","Tidak",IF(G921="Pendek","Potensi Stunting",IF(G921="Sangat Pendek","Stunting","")))</f>
        <v/>
      </c>
    </row>
    <row r="922" ht="15.75" customHeight="1" s="95">
      <c r="A922" s="97" t="inlineStr">
        <is>
          <t>anonymus0921</t>
        </is>
      </c>
      <c r="B922" s="97" t="inlineStr">
        <is>
          <t xml:space="preserve">P </t>
        </is>
      </c>
      <c r="C922" s="97" t="inlineStr">
        <is>
          <t>35-69 Bulan</t>
        </is>
      </c>
      <c r="D922" s="97" t="n">
        <v>11</v>
      </c>
      <c r="E922" s="97" t="n">
        <v>94</v>
      </c>
      <c r="F922" s="97" t="inlineStr">
        <is>
          <t>Kurang</t>
        </is>
      </c>
      <c r="G922" s="97" t="inlineStr">
        <is>
          <t>Normal</t>
        </is>
      </c>
      <c r="H922" s="97" t="inlineStr">
        <is>
          <t>Gizi Kurang</t>
        </is>
      </c>
      <c r="I922" s="98" t="inlineStr">
        <is>
          <t>Ya</t>
        </is>
      </c>
      <c r="J922" s="98">
        <f>IF(G922="Normal","Tidak",IF(G922="Pendek","Potensi Stunting",IF(G922="Sangat Pendek","Stunting","")))</f>
        <v/>
      </c>
    </row>
    <row r="923" ht="15.75" customHeight="1" s="95">
      <c r="A923" s="97" t="inlineStr">
        <is>
          <t>anonymus0922</t>
        </is>
      </c>
      <c r="B923" s="97" t="inlineStr">
        <is>
          <t>L</t>
        </is>
      </c>
      <c r="C923" s="97" t="inlineStr">
        <is>
          <t>35-69 Bulan</t>
        </is>
      </c>
      <c r="D923" s="97" t="n">
        <v>12.2</v>
      </c>
      <c r="E923" s="97" t="n">
        <v>113</v>
      </c>
      <c r="F923" s="97" t="inlineStr">
        <is>
          <t>Berat Badan Normal</t>
        </is>
      </c>
      <c r="G923" s="97" t="inlineStr">
        <is>
          <t>Normal</t>
        </is>
      </c>
      <c r="H923" s="97" t="inlineStr">
        <is>
          <t>Gizi Baik</t>
        </is>
      </c>
      <c r="I923" s="98" t="inlineStr">
        <is>
          <t>Ya</t>
        </is>
      </c>
      <c r="J923" s="98">
        <f>IF(G923="Normal","Tidak",IF(G923="Pendek","Potensi Stunting",IF(G923="Sangat Pendek","Stunting","")))</f>
        <v/>
      </c>
    </row>
    <row r="924" ht="15.75" customHeight="1" s="95">
      <c r="A924" s="97" t="inlineStr">
        <is>
          <t>anonymus0923</t>
        </is>
      </c>
      <c r="B924" s="97" t="inlineStr">
        <is>
          <t>P</t>
        </is>
      </c>
      <c r="C924" s="97" t="inlineStr">
        <is>
          <t>1-34 Bulan</t>
        </is>
      </c>
      <c r="D924" s="97" t="n">
        <v>8.4</v>
      </c>
      <c r="E924" s="97" t="n">
        <v>87</v>
      </c>
      <c r="F924" s="97" t="inlineStr">
        <is>
          <t>Kurang</t>
        </is>
      </c>
      <c r="G924" s="97" t="inlineStr">
        <is>
          <t>Normal</t>
        </is>
      </c>
      <c r="H924" s="97" t="inlineStr">
        <is>
          <t>Gizi Kurang</t>
        </is>
      </c>
      <c r="I924" s="98" t="inlineStr">
        <is>
          <t>Ya</t>
        </is>
      </c>
      <c r="J924" s="98">
        <f>IF(G924="Normal","Tidak",IF(G924="Pendek","Potensi Stunting",IF(G924="Sangat Pendek","Stunting","")))</f>
        <v/>
      </c>
    </row>
    <row r="925" ht="15.75" customHeight="1" s="95">
      <c r="A925" s="97" t="inlineStr">
        <is>
          <t>anonymus0924</t>
        </is>
      </c>
      <c r="B925" s="97" t="inlineStr">
        <is>
          <t>L</t>
        </is>
      </c>
      <c r="C925" s="97" t="inlineStr">
        <is>
          <t>35-69 Bulan</t>
        </is>
      </c>
      <c r="D925" s="97" t="n">
        <v>11.1</v>
      </c>
      <c r="E925" s="97" t="n">
        <v>83</v>
      </c>
      <c r="F925" s="97" t="inlineStr">
        <is>
          <t>Normal</t>
        </is>
      </c>
      <c r="G925" s="97" t="inlineStr">
        <is>
          <t>Pendek</t>
        </is>
      </c>
      <c r="H925" s="97" t="inlineStr">
        <is>
          <t>Gizi Baik</t>
        </is>
      </c>
      <c r="I925" s="98" t="inlineStr">
        <is>
          <t>Ya</t>
        </is>
      </c>
      <c r="J925" s="98">
        <f>IF(G925="Normal","Tidak",IF(G925="Pendek","Potensi Stunting",IF(G925="Sangat Pendek","Stunting","")))</f>
        <v/>
      </c>
    </row>
    <row r="926" ht="15.75" customHeight="1" s="95">
      <c r="A926" s="97" t="inlineStr">
        <is>
          <t>anonymus0925</t>
        </is>
      </c>
      <c r="B926" s="97" t="inlineStr">
        <is>
          <t>L</t>
        </is>
      </c>
      <c r="C926" s="97" t="inlineStr">
        <is>
          <t>35-69 Bulan</t>
        </is>
      </c>
      <c r="D926" s="97" t="n">
        <v>16.9</v>
      </c>
      <c r="E926" s="97" t="n">
        <v>111</v>
      </c>
      <c r="F926" s="97" t="inlineStr">
        <is>
          <t>Berat Badan Normal</t>
        </is>
      </c>
      <c r="G926" s="97" t="inlineStr">
        <is>
          <t>Normal</t>
        </is>
      </c>
      <c r="H926" s="97" t="inlineStr">
        <is>
          <t>Gizi Baik</t>
        </is>
      </c>
      <c r="I926" s="98" t="inlineStr">
        <is>
          <t>Ya</t>
        </is>
      </c>
      <c r="J926" s="98">
        <f>IF(G926="Normal","Tidak",IF(G926="Pendek","Potensi Stunting",IF(G926="Sangat Pendek","Stunting","")))</f>
        <v/>
      </c>
    </row>
    <row r="927" ht="15.75" customHeight="1" s="95">
      <c r="A927" s="97" t="inlineStr">
        <is>
          <t>anonymus0926</t>
        </is>
      </c>
      <c r="B927" s="97" t="inlineStr">
        <is>
          <t>L</t>
        </is>
      </c>
      <c r="C927" s="97" t="inlineStr">
        <is>
          <t>35-69 Bulan</t>
        </is>
      </c>
      <c r="D927" s="97" t="n">
        <v>14.8</v>
      </c>
      <c r="E927" s="97" t="n">
        <v>101</v>
      </c>
      <c r="F927" s="97" t="inlineStr">
        <is>
          <t>Berat Badan Normal</t>
        </is>
      </c>
      <c r="G927" s="97" t="inlineStr">
        <is>
          <t>Normal</t>
        </is>
      </c>
      <c r="H927" s="97" t="inlineStr">
        <is>
          <t>Gizi Baik</t>
        </is>
      </c>
      <c r="I927" s="98" t="inlineStr">
        <is>
          <t>Ya</t>
        </is>
      </c>
      <c r="J927" s="98">
        <f>IF(G927="Normal","Tidak",IF(G927="Pendek","Potensi Stunting",IF(G927="Sangat Pendek","Stunting","")))</f>
        <v/>
      </c>
    </row>
    <row r="928" ht="15.75" customHeight="1" s="95">
      <c r="A928" s="97" t="inlineStr">
        <is>
          <t>anonymus0927</t>
        </is>
      </c>
      <c r="B928" s="97" t="inlineStr">
        <is>
          <t>L</t>
        </is>
      </c>
      <c r="C928" s="97" t="inlineStr">
        <is>
          <t>35-69 Bulan</t>
        </is>
      </c>
      <c r="D928" s="97" t="n">
        <v>13.1</v>
      </c>
      <c r="E928" s="97" t="n">
        <v>103</v>
      </c>
      <c r="F928" s="97" t="inlineStr">
        <is>
          <t>Kurang</t>
        </is>
      </c>
      <c r="G928" s="97" t="inlineStr">
        <is>
          <t>Normal</t>
        </is>
      </c>
      <c r="H928" s="97" t="inlineStr">
        <is>
          <t>Gizi Kurang</t>
        </is>
      </c>
      <c r="I928" s="98" t="inlineStr">
        <is>
          <t>Ya</t>
        </is>
      </c>
      <c r="J928" s="98">
        <f>IF(G928="Normal","Tidak",IF(G928="Pendek","Potensi Stunting",IF(G928="Sangat Pendek","Stunting","")))</f>
        <v/>
      </c>
    </row>
    <row r="929" ht="15.75" customHeight="1" s="95">
      <c r="A929" s="97" t="inlineStr">
        <is>
          <t>anonymus0928</t>
        </is>
      </c>
      <c r="B929" s="97" t="inlineStr">
        <is>
          <t>L</t>
        </is>
      </c>
      <c r="C929" s="97" t="inlineStr">
        <is>
          <t>35-69 Bulan</t>
        </is>
      </c>
      <c r="D929" s="97" t="n">
        <v>17.5</v>
      </c>
      <c r="E929" s="97" t="n">
        <v>105</v>
      </c>
      <c r="F929" s="97" t="inlineStr">
        <is>
          <t>Risiko Lebih</t>
        </is>
      </c>
      <c r="G929" s="97" t="inlineStr">
        <is>
          <t>Normal</t>
        </is>
      </c>
      <c r="H929" s="97" t="inlineStr">
        <is>
          <t>Gizi Lebih</t>
        </is>
      </c>
      <c r="I929" s="98" t="inlineStr">
        <is>
          <t>Ya</t>
        </is>
      </c>
      <c r="J929" s="98">
        <f>IF(G929="Normal","Tidak",IF(G929="Pendek","Potensi Stunting",IF(G929="Sangat Pendek","Stunting","")))</f>
        <v/>
      </c>
    </row>
    <row r="930" ht="15.75" customHeight="1" s="95">
      <c r="A930" s="97" t="inlineStr">
        <is>
          <t>anonymus0929</t>
        </is>
      </c>
      <c r="B930" s="97" t="inlineStr">
        <is>
          <t>P</t>
        </is>
      </c>
      <c r="C930" s="97" t="inlineStr">
        <is>
          <t>1-34 Bulan</t>
        </is>
      </c>
      <c r="D930" s="97" t="n">
        <v>8.6</v>
      </c>
      <c r="E930" s="97" t="n">
        <v>82.5</v>
      </c>
      <c r="F930" s="97" t="inlineStr">
        <is>
          <t>Kurang</t>
        </is>
      </c>
      <c r="G930" s="97" t="inlineStr">
        <is>
          <t>Normal</t>
        </is>
      </c>
      <c r="H930" s="97" t="inlineStr">
        <is>
          <t>Gizi Kurang</t>
        </is>
      </c>
      <c r="I930" s="98" t="inlineStr">
        <is>
          <t>Ya</t>
        </is>
      </c>
      <c r="J930" s="98">
        <f>IF(G930="Normal","Tidak",IF(G930="Pendek","Potensi Stunting",IF(G930="Sangat Pendek","Stunting","")))</f>
        <v/>
      </c>
    </row>
    <row r="931" ht="15.75" customHeight="1" s="95">
      <c r="A931" s="97" t="inlineStr">
        <is>
          <t>anonymus0930</t>
        </is>
      </c>
      <c r="B931" s="97" t="inlineStr">
        <is>
          <t>P</t>
        </is>
      </c>
      <c r="C931" s="97" t="inlineStr">
        <is>
          <t>35-69 Bulan</t>
        </is>
      </c>
      <c r="D931" s="97" t="n">
        <v>12.8</v>
      </c>
      <c r="E931" s="97" t="n">
        <v>93</v>
      </c>
      <c r="F931" s="97" t="inlineStr">
        <is>
          <t>Berat Badan Normal</t>
        </is>
      </c>
      <c r="G931" s="97" t="inlineStr">
        <is>
          <t>Normal</t>
        </is>
      </c>
      <c r="H931" s="97" t="inlineStr">
        <is>
          <t>Gizi Baik</t>
        </is>
      </c>
      <c r="I931" s="98" t="inlineStr">
        <is>
          <t>Ya</t>
        </is>
      </c>
      <c r="J931" s="98">
        <f>IF(G931="Normal","Tidak",IF(G931="Pendek","Potensi Stunting",IF(G931="Sangat Pendek","Stunting","")))</f>
        <v/>
      </c>
    </row>
    <row r="932" ht="15.75" customHeight="1" s="95">
      <c r="A932" s="97" t="inlineStr">
        <is>
          <t>anonymus0931</t>
        </is>
      </c>
      <c r="B932" s="97" t="inlineStr">
        <is>
          <t>L</t>
        </is>
      </c>
      <c r="C932" s="97" t="inlineStr">
        <is>
          <t>35-69 Bulan</t>
        </is>
      </c>
      <c r="D932" s="97" t="n">
        <v>11.3</v>
      </c>
      <c r="E932" s="97" t="n">
        <v>79</v>
      </c>
      <c r="F932" s="97" t="inlineStr">
        <is>
          <t>Normal</t>
        </is>
      </c>
      <c r="G932" s="97" t="inlineStr">
        <is>
          <t>Pendek</t>
        </is>
      </c>
      <c r="H932" s="97" t="inlineStr">
        <is>
          <t>Gizi Baik</t>
        </is>
      </c>
      <c r="I932" s="98" t="inlineStr">
        <is>
          <t>Ya</t>
        </is>
      </c>
      <c r="J932" s="98">
        <f>IF(G932="Normal","Tidak",IF(G932="Pendek","Potensi Stunting",IF(G932="Sangat Pendek","Stunting","")))</f>
        <v/>
      </c>
    </row>
    <row r="933" ht="15.75" customHeight="1" s="95">
      <c r="A933" s="97" t="inlineStr">
        <is>
          <t>anonymus0932</t>
        </is>
      </c>
      <c r="B933" s="97" t="inlineStr">
        <is>
          <t>L</t>
        </is>
      </c>
      <c r="C933" s="97" t="inlineStr">
        <is>
          <t>35-69 Bulan</t>
        </is>
      </c>
      <c r="D933" s="97" t="n">
        <v>10.6</v>
      </c>
      <c r="E933" s="97" t="n">
        <v>115</v>
      </c>
      <c r="F933" s="97" t="inlineStr">
        <is>
          <t>Berat Badan Normal</t>
        </is>
      </c>
      <c r="G933" s="97" t="inlineStr">
        <is>
          <t>Normal</t>
        </is>
      </c>
      <c r="H933" s="97" t="inlineStr">
        <is>
          <t>Gizi Baik</t>
        </is>
      </c>
      <c r="I933" s="98" t="inlineStr">
        <is>
          <t>Ya</t>
        </is>
      </c>
      <c r="J933" s="98">
        <f>IF(G933="Normal","Tidak",IF(G933="Pendek","Potensi Stunting",IF(G933="Sangat Pendek","Stunting","")))</f>
        <v/>
      </c>
    </row>
    <row r="934" ht="15.75" customHeight="1" s="95">
      <c r="A934" s="97" t="inlineStr">
        <is>
          <t>anonymus0933</t>
        </is>
      </c>
      <c r="B934" s="97" t="inlineStr">
        <is>
          <t>L</t>
        </is>
      </c>
      <c r="C934" s="97" t="inlineStr">
        <is>
          <t>35-69 Bulan</t>
        </is>
      </c>
      <c r="D934" s="97" t="n">
        <v>8.800000000000001</v>
      </c>
      <c r="E934" s="97" t="n">
        <v>74</v>
      </c>
      <c r="F934" s="97" t="inlineStr">
        <is>
          <t>Kurang</t>
        </is>
      </c>
      <c r="G934" s="97" t="inlineStr">
        <is>
          <t>Sangat Pendek</t>
        </is>
      </c>
      <c r="H934" s="97" t="inlineStr">
        <is>
          <t>Gizi Baik</t>
        </is>
      </c>
      <c r="I934" s="98" t="inlineStr">
        <is>
          <t>Ya</t>
        </is>
      </c>
      <c r="J934" s="98">
        <f>IF(G934="Normal","Tidak",IF(G934="Pendek","Potensi Stunting",IF(G934="Sangat Pendek","Stunting","")))</f>
        <v/>
      </c>
    </row>
    <row r="935" ht="15.75" customHeight="1" s="95">
      <c r="A935" s="97" t="inlineStr">
        <is>
          <t>anonymus0934</t>
        </is>
      </c>
      <c r="B935" s="97" t="inlineStr">
        <is>
          <t>L</t>
        </is>
      </c>
      <c r="C935" s="97" t="inlineStr">
        <is>
          <t>35-69 Bulan</t>
        </is>
      </c>
      <c r="D935" s="97" t="n">
        <v>11</v>
      </c>
      <c r="E935" s="97" t="n">
        <v>88</v>
      </c>
      <c r="F935" s="97" t="inlineStr">
        <is>
          <t>Kurang</t>
        </is>
      </c>
      <c r="G935" s="97" t="inlineStr">
        <is>
          <t>Pendek</t>
        </is>
      </c>
      <c r="H935" s="97" t="inlineStr">
        <is>
          <t>Gizi Baik</t>
        </is>
      </c>
      <c r="I935" s="98" t="inlineStr">
        <is>
          <t>Ya</t>
        </is>
      </c>
      <c r="J935" s="98">
        <f>IF(G935="Normal","Tidak",IF(G935="Pendek","Potensi Stunting",IF(G935="Sangat Pendek","Stunting","")))</f>
        <v/>
      </c>
    </row>
    <row r="936" ht="15.75" customHeight="1" s="95">
      <c r="A936" s="97" t="inlineStr">
        <is>
          <t>anonymus0935</t>
        </is>
      </c>
      <c r="B936" s="97" t="inlineStr">
        <is>
          <t>L</t>
        </is>
      </c>
      <c r="C936" s="97" t="inlineStr">
        <is>
          <t>35-69 Bulan</t>
        </is>
      </c>
      <c r="D936" s="97" t="n">
        <v>10.8</v>
      </c>
      <c r="E936" s="97" t="n">
        <v>117</v>
      </c>
      <c r="F936" s="97" t="inlineStr">
        <is>
          <t>Berat Badan Normal</t>
        </is>
      </c>
      <c r="G936" s="97" t="inlineStr">
        <is>
          <t>Normal</t>
        </is>
      </c>
      <c r="H936" s="97" t="inlineStr">
        <is>
          <t>Gizi Baik</t>
        </is>
      </c>
      <c r="I936" s="98" t="inlineStr">
        <is>
          <t>Ya</t>
        </is>
      </c>
      <c r="J936" s="98">
        <f>IF(G936="Normal","Tidak",IF(G936="Pendek","Potensi Stunting",IF(G936="Sangat Pendek","Stunting","")))</f>
        <v/>
      </c>
    </row>
    <row r="937" ht="15.75" customHeight="1" s="95">
      <c r="A937" s="97" t="inlineStr">
        <is>
          <t>anonymus0936</t>
        </is>
      </c>
      <c r="B937" s="97" t="inlineStr">
        <is>
          <t>P</t>
        </is>
      </c>
      <c r="C937" s="97" t="inlineStr">
        <is>
          <t>1-34 Bulan</t>
        </is>
      </c>
      <c r="D937" s="97" t="n">
        <v>8.1</v>
      </c>
      <c r="E937" s="97" t="n">
        <v>75</v>
      </c>
      <c r="F937" s="97" t="inlineStr">
        <is>
          <t>Kurang</t>
        </is>
      </c>
      <c r="G937" s="97" t="inlineStr">
        <is>
          <t>Pendek</t>
        </is>
      </c>
      <c r="H937" s="97" t="inlineStr">
        <is>
          <t>Gizi Baik</t>
        </is>
      </c>
      <c r="I937" s="98" t="inlineStr">
        <is>
          <t>Ya</t>
        </is>
      </c>
      <c r="J937" s="98">
        <f>IF(G937="Normal","Tidak",IF(G937="Pendek","Potensi Stunting",IF(G937="Sangat Pendek","Stunting","")))</f>
        <v/>
      </c>
    </row>
    <row r="938" ht="15.75" customHeight="1" s="95">
      <c r="A938" s="97" t="inlineStr">
        <is>
          <t>anonymus0937</t>
        </is>
      </c>
      <c r="B938" s="97" t="inlineStr">
        <is>
          <t>P</t>
        </is>
      </c>
      <c r="C938" s="97" t="inlineStr">
        <is>
          <t>35-69 Bulan</t>
        </is>
      </c>
      <c r="D938" s="97" t="n">
        <v>10.3</v>
      </c>
      <c r="E938" s="97" t="n">
        <v>95</v>
      </c>
      <c r="F938" s="97" t="inlineStr">
        <is>
          <t>Berat Badan Normal</t>
        </is>
      </c>
      <c r="G938" s="97" t="inlineStr">
        <is>
          <t>Normal</t>
        </is>
      </c>
      <c r="H938" s="97" t="inlineStr">
        <is>
          <t>Gizi Baik</t>
        </is>
      </c>
      <c r="I938" s="98" t="inlineStr">
        <is>
          <t>Ya</t>
        </is>
      </c>
      <c r="J938" s="98">
        <f>IF(G938="Normal","Tidak",IF(G938="Pendek","Potensi Stunting",IF(G938="Sangat Pendek","Stunting","")))</f>
        <v/>
      </c>
    </row>
    <row r="939" ht="15.75" customHeight="1" s="95">
      <c r="A939" s="97" t="inlineStr">
        <is>
          <t>anonymus0938</t>
        </is>
      </c>
      <c r="B939" s="97" t="inlineStr">
        <is>
          <t xml:space="preserve">L </t>
        </is>
      </c>
      <c r="C939" s="97" t="inlineStr">
        <is>
          <t>1-34 Bulan</t>
        </is>
      </c>
      <c r="D939" s="97" t="inlineStr">
        <is>
          <t>13.3</t>
        </is>
      </c>
      <c r="E939" s="97" t="n">
        <v>83</v>
      </c>
      <c r="F939" s="97" t="inlineStr">
        <is>
          <t>Risiko Lebih</t>
        </is>
      </c>
      <c r="G939" s="97" t="inlineStr">
        <is>
          <t>Normal</t>
        </is>
      </c>
      <c r="H939" s="97" t="inlineStr">
        <is>
          <t>Gizi Lebih</t>
        </is>
      </c>
      <c r="I939" s="98" t="inlineStr">
        <is>
          <t>Ya</t>
        </is>
      </c>
      <c r="J939" s="98">
        <f>IF(G939="Normal","Tidak",IF(G939="Pendek","Potensi Stunting",IF(G939="Sangat Pendek","Stunting","")))</f>
        <v/>
      </c>
    </row>
    <row r="940" ht="15.75" customHeight="1" s="95">
      <c r="A940" s="97" t="inlineStr">
        <is>
          <t>anonymus0939</t>
        </is>
      </c>
      <c r="B940" s="97" t="inlineStr">
        <is>
          <t>P</t>
        </is>
      </c>
      <c r="C940" s="97" t="inlineStr">
        <is>
          <t>35-69 Bulan</t>
        </is>
      </c>
      <c r="D940" s="97" t="n">
        <v>16.4</v>
      </c>
      <c r="E940" s="97" t="n">
        <v>115</v>
      </c>
      <c r="F940" s="97" t="inlineStr">
        <is>
          <t>Berat Badan Normal</t>
        </is>
      </c>
      <c r="G940" s="97" t="inlineStr">
        <is>
          <t>Normal</t>
        </is>
      </c>
      <c r="H940" s="97" t="inlineStr">
        <is>
          <t>Gizi Baik</t>
        </is>
      </c>
      <c r="I940" s="98" t="inlineStr">
        <is>
          <t>Ya</t>
        </is>
      </c>
      <c r="J940" s="98">
        <f>IF(G940="Normal","Tidak",IF(G940="Pendek","Potensi Stunting",IF(G940="Sangat Pendek","Stunting","")))</f>
        <v/>
      </c>
    </row>
    <row r="941" ht="15.75" customHeight="1" s="95">
      <c r="A941" s="97" t="inlineStr">
        <is>
          <t>anonymus0940</t>
        </is>
      </c>
      <c r="B941" s="97" t="inlineStr">
        <is>
          <t>P</t>
        </is>
      </c>
      <c r="C941" s="97" t="inlineStr">
        <is>
          <t>1-34 Bulan</t>
        </is>
      </c>
      <c r="D941" s="97" t="n">
        <v>10.3</v>
      </c>
      <c r="E941" s="97" t="n">
        <v>88.59999999999999</v>
      </c>
      <c r="F941" s="97" t="inlineStr">
        <is>
          <t>Normal</t>
        </is>
      </c>
      <c r="G941" s="97" t="inlineStr">
        <is>
          <t>Normal</t>
        </is>
      </c>
      <c r="H941" s="97" t="inlineStr">
        <is>
          <t>Gizi Kurang</t>
        </is>
      </c>
      <c r="I941" s="98" t="inlineStr">
        <is>
          <t>Ya</t>
        </is>
      </c>
      <c r="J941" s="98">
        <f>IF(G941="Normal","Tidak",IF(G941="Pendek","Potensi Stunting",IF(G941="Sangat Pendek","Stunting","")))</f>
        <v/>
      </c>
    </row>
    <row r="942" ht="15.75" customHeight="1" s="95">
      <c r="A942" s="97" t="inlineStr">
        <is>
          <t>anonymus0941</t>
        </is>
      </c>
      <c r="B942" s="97" t="inlineStr">
        <is>
          <t>L</t>
        </is>
      </c>
      <c r="C942" s="97" t="inlineStr">
        <is>
          <t>1-34 Bulan</t>
        </is>
      </c>
      <c r="D942" s="97" t="n">
        <v>6.4</v>
      </c>
      <c r="E942" s="97" t="n">
        <v>93</v>
      </c>
      <c r="F942" s="97" t="inlineStr">
        <is>
          <t>Kurang</t>
        </is>
      </c>
      <c r="G942" s="97" t="inlineStr">
        <is>
          <t>Normal</t>
        </is>
      </c>
      <c r="H942" s="97" t="inlineStr">
        <is>
          <t>Gizi Kurang</t>
        </is>
      </c>
      <c r="I942" s="98" t="inlineStr">
        <is>
          <t>Ya</t>
        </is>
      </c>
      <c r="J942" s="98">
        <f>IF(G942="Normal","Tidak",IF(G942="Pendek","Potensi Stunting",IF(G942="Sangat Pendek","Stunting","")))</f>
        <v/>
      </c>
    </row>
    <row r="943" ht="15.75" customHeight="1" s="95">
      <c r="A943" s="97" t="inlineStr">
        <is>
          <t>anonymus0942</t>
        </is>
      </c>
      <c r="B943" s="97" t="inlineStr">
        <is>
          <t xml:space="preserve">P </t>
        </is>
      </c>
      <c r="C943" s="97" t="inlineStr">
        <is>
          <t>35-69 Bulan</t>
        </is>
      </c>
      <c r="D943" s="97" t="inlineStr">
        <is>
          <t>18.6</t>
        </is>
      </c>
      <c r="E943" s="97" t="n">
        <v>108</v>
      </c>
      <c r="F943" s="97" t="inlineStr">
        <is>
          <t>Berat Badan Normal</t>
        </is>
      </c>
      <c r="G943" s="97" t="inlineStr">
        <is>
          <t>Normal</t>
        </is>
      </c>
      <c r="H943" s="97" t="inlineStr">
        <is>
          <t>Gizi Baik</t>
        </is>
      </c>
      <c r="I943" s="98" t="inlineStr">
        <is>
          <t>Ya</t>
        </is>
      </c>
      <c r="J943" s="98">
        <f>IF(G943="Normal","Tidak",IF(G943="Pendek","Potensi Stunting",IF(G943="Sangat Pendek","Stunting","")))</f>
        <v/>
      </c>
    </row>
    <row r="944" ht="15.75" customHeight="1" s="95">
      <c r="A944" s="97" t="inlineStr">
        <is>
          <t>anonymus0943</t>
        </is>
      </c>
      <c r="B944" s="97" t="inlineStr">
        <is>
          <t xml:space="preserve">L </t>
        </is>
      </c>
      <c r="C944" s="97" t="inlineStr">
        <is>
          <t>1-34 Bulan</t>
        </is>
      </c>
      <c r="D944" s="97" t="inlineStr">
        <is>
          <t>10.1</t>
        </is>
      </c>
      <c r="E944" s="97" t="n">
        <v>82</v>
      </c>
      <c r="F944" s="97" t="inlineStr">
        <is>
          <t>Berat Badan Normal</t>
        </is>
      </c>
      <c r="G944" s="97" t="inlineStr">
        <is>
          <t>Normal</t>
        </is>
      </c>
      <c r="H944" s="97" t="inlineStr">
        <is>
          <t>Gizi Baik</t>
        </is>
      </c>
      <c r="I944" s="98" t="inlineStr">
        <is>
          <t>Ya</t>
        </is>
      </c>
      <c r="J944" s="98">
        <f>IF(G944="Normal","Tidak",IF(G944="Pendek","Potensi Stunting",IF(G944="Sangat Pendek","Stunting","")))</f>
        <v/>
      </c>
    </row>
    <row r="945" ht="15.75" customHeight="1" s="95">
      <c r="A945" s="99" t="inlineStr">
        <is>
          <t>anonymus0944</t>
        </is>
      </c>
      <c r="B945" s="97" t="inlineStr">
        <is>
          <t>P</t>
        </is>
      </c>
      <c r="C945" s="97" t="n">
        <v>73</v>
      </c>
      <c r="D945" s="97" t="n">
        <v>14.7</v>
      </c>
      <c r="E945" s="97" t="n">
        <v>99</v>
      </c>
      <c r="F945" s="97" t="inlineStr">
        <is>
          <t>Normal</t>
        </is>
      </c>
      <c r="G945" s="97" t="inlineStr">
        <is>
          <t>Pendek</t>
        </is>
      </c>
      <c r="H945" s="97" t="inlineStr">
        <is>
          <t>Gizi Baik</t>
        </is>
      </c>
      <c r="I945" s="98" t="inlineStr">
        <is>
          <t>Ya</t>
        </is>
      </c>
      <c r="J945" s="98">
        <f>IF(G945="Normal","Tidak",IF(G945="Pendek","Potensi Stunting",IF(G945="Sangat Pendek","Stunting","")))</f>
        <v/>
      </c>
    </row>
    <row r="946" ht="15.75" customHeight="1" s="95">
      <c r="A946" s="97" t="inlineStr">
        <is>
          <t>anonymus0945</t>
        </is>
      </c>
      <c r="B946" s="97" t="inlineStr">
        <is>
          <t>P</t>
        </is>
      </c>
      <c r="C946" s="97" t="inlineStr">
        <is>
          <t>35-69 Bulan</t>
        </is>
      </c>
      <c r="D946" s="97" t="n">
        <v>14</v>
      </c>
      <c r="E946" s="97" t="n">
        <v>105</v>
      </c>
      <c r="F946" s="97" t="inlineStr">
        <is>
          <t>Normal</t>
        </is>
      </c>
      <c r="G946" s="97" t="inlineStr">
        <is>
          <t>Normal</t>
        </is>
      </c>
      <c r="H946" s="97" t="inlineStr">
        <is>
          <t>Gizi Kurang</t>
        </is>
      </c>
      <c r="I946" s="98" t="inlineStr">
        <is>
          <t>Ya</t>
        </is>
      </c>
      <c r="J946" s="98">
        <f>IF(G946="Normal","Tidak",IF(G946="Pendek","Potensi Stunting",IF(G946="Sangat Pendek","Stunting","")))</f>
        <v/>
      </c>
    </row>
    <row r="947" ht="15.75" customHeight="1" s="95">
      <c r="A947" s="97" t="inlineStr">
        <is>
          <t>anonymus0946</t>
        </is>
      </c>
      <c r="B947" s="97" t="inlineStr">
        <is>
          <t>P</t>
        </is>
      </c>
      <c r="C947" s="97" t="inlineStr">
        <is>
          <t>1-34 Bulan</t>
        </is>
      </c>
      <c r="D947" s="97" t="n">
        <v>6.4</v>
      </c>
      <c r="E947" s="97" t="n">
        <v>92</v>
      </c>
      <c r="F947" s="97" t="inlineStr">
        <is>
          <t>Kurang</t>
        </is>
      </c>
      <c r="G947" s="97" t="inlineStr">
        <is>
          <t>Normal</t>
        </is>
      </c>
      <c r="H947" s="97" t="inlineStr">
        <is>
          <t>Gizi Kurang</t>
        </is>
      </c>
      <c r="I947" s="98" t="inlineStr">
        <is>
          <t>Ya</t>
        </is>
      </c>
      <c r="J947" s="98">
        <f>IF(G947="Normal","Tidak",IF(G947="Pendek","Potensi Stunting",IF(G947="Sangat Pendek","Stunting","")))</f>
        <v/>
      </c>
    </row>
    <row r="948" ht="15.75" customHeight="1" s="95">
      <c r="A948" s="97" t="inlineStr">
        <is>
          <t>anonymus0947</t>
        </is>
      </c>
      <c r="B948" s="97" t="inlineStr">
        <is>
          <t xml:space="preserve">L </t>
        </is>
      </c>
      <c r="C948" s="97" t="inlineStr">
        <is>
          <t>35-69 Bulan</t>
        </is>
      </c>
      <c r="D948" s="97" t="inlineStr">
        <is>
          <t>16.4</t>
        </is>
      </c>
      <c r="E948" s="97" t="n">
        <v>100</v>
      </c>
      <c r="F948" s="97" t="inlineStr">
        <is>
          <t>Berat Badan Normal</t>
        </is>
      </c>
      <c r="G948" s="97" t="inlineStr">
        <is>
          <t>Normal</t>
        </is>
      </c>
      <c r="H948" s="97" t="inlineStr">
        <is>
          <t>Gizi Baik</t>
        </is>
      </c>
      <c r="I948" s="98" t="inlineStr">
        <is>
          <t>Ya</t>
        </is>
      </c>
      <c r="J948" s="98">
        <f>IF(G948="Normal","Tidak",IF(G948="Pendek","Potensi Stunting",IF(G948="Sangat Pendek","Stunting","")))</f>
        <v/>
      </c>
    </row>
    <row r="949" ht="15.75" customHeight="1" s="95">
      <c r="A949" s="97" t="inlineStr">
        <is>
          <t>anonymus0948</t>
        </is>
      </c>
      <c r="B949" s="97" t="inlineStr">
        <is>
          <t>P</t>
        </is>
      </c>
      <c r="C949" s="97" t="inlineStr">
        <is>
          <t>35-69 Bulan</t>
        </is>
      </c>
      <c r="D949" s="97" t="n">
        <v>10.4</v>
      </c>
      <c r="E949" s="97" t="n">
        <v>113</v>
      </c>
      <c r="F949" s="97" t="inlineStr">
        <is>
          <t>Berat Badan Normal</t>
        </is>
      </c>
      <c r="G949" s="97" t="inlineStr">
        <is>
          <t>Normal</t>
        </is>
      </c>
      <c r="H949" s="97" t="inlineStr">
        <is>
          <t>Gizi Baik</t>
        </is>
      </c>
      <c r="I949" s="98" t="inlineStr">
        <is>
          <t>Ya</t>
        </is>
      </c>
      <c r="J949" s="98">
        <f>IF(G949="Normal","Tidak",IF(G949="Pendek","Potensi Stunting",IF(G949="Sangat Pendek","Stunting","")))</f>
        <v/>
      </c>
    </row>
    <row r="950" ht="15.75" customHeight="1" s="95">
      <c r="A950" s="97" t="inlineStr">
        <is>
          <t>anonymus0949</t>
        </is>
      </c>
      <c r="B950" s="97" t="inlineStr">
        <is>
          <t xml:space="preserve">L </t>
        </is>
      </c>
      <c r="C950" s="97" t="inlineStr">
        <is>
          <t>1-34 Bulan</t>
        </is>
      </c>
      <c r="D950" s="97" t="inlineStr">
        <is>
          <t>7.4</t>
        </is>
      </c>
      <c r="E950" s="97" t="n">
        <v>61</v>
      </c>
      <c r="F950" s="97" t="inlineStr">
        <is>
          <t>Risiko Lebih</t>
        </is>
      </c>
      <c r="G950" s="97" t="inlineStr">
        <is>
          <t>Normal</t>
        </is>
      </c>
      <c r="H950" s="97" t="inlineStr">
        <is>
          <t>Risiko Gizi Lebih</t>
        </is>
      </c>
      <c r="I950" s="98" t="inlineStr">
        <is>
          <t>Ya</t>
        </is>
      </c>
      <c r="J950" s="98">
        <f>IF(G950="Normal","Tidak",IF(G950="Pendek","Potensi Stunting",IF(G950="Sangat Pendek","Stunting","")))</f>
        <v/>
      </c>
    </row>
    <row r="951" ht="15.75" customHeight="1" s="95">
      <c r="A951" s="97" t="inlineStr">
        <is>
          <t>anonymus0950</t>
        </is>
      </c>
      <c r="B951" s="97" t="inlineStr">
        <is>
          <t>L</t>
        </is>
      </c>
      <c r="C951" s="97" t="inlineStr">
        <is>
          <t>1-34 Bulan</t>
        </is>
      </c>
      <c r="D951" s="97" t="n">
        <v>13.9</v>
      </c>
      <c r="E951" s="97" t="n">
        <v>89</v>
      </c>
      <c r="F951" s="97" t="inlineStr">
        <is>
          <t>Berat Badan Normal</t>
        </is>
      </c>
      <c r="G951" s="97" t="inlineStr">
        <is>
          <t>Normal</t>
        </is>
      </c>
      <c r="H951" s="97" t="inlineStr">
        <is>
          <t>Gizi Baik</t>
        </is>
      </c>
      <c r="I951" s="98" t="inlineStr">
        <is>
          <t>Ya</t>
        </is>
      </c>
      <c r="J951" s="98">
        <f>IF(G951="Normal","Tidak",IF(G951="Pendek","Potensi Stunting",IF(G951="Sangat Pendek","Stunting","")))</f>
        <v/>
      </c>
    </row>
    <row r="952" ht="15.75" customHeight="1" s="95">
      <c r="A952" s="97" t="inlineStr">
        <is>
          <t>anonymus0951</t>
        </is>
      </c>
      <c r="B952" s="97" t="inlineStr">
        <is>
          <t xml:space="preserve">L </t>
        </is>
      </c>
      <c r="C952" s="97" t="inlineStr">
        <is>
          <t>1-34 Bulan</t>
        </is>
      </c>
      <c r="D952" s="97" t="inlineStr">
        <is>
          <t>9.2</t>
        </is>
      </c>
      <c r="E952" s="97" t="n">
        <v>82</v>
      </c>
      <c r="F952" s="97" t="inlineStr">
        <is>
          <t>Kurang</t>
        </is>
      </c>
      <c r="G952" s="97" t="inlineStr">
        <is>
          <t>Pendek</t>
        </is>
      </c>
      <c r="H952" s="97" t="inlineStr">
        <is>
          <t>Gizi Kurang</t>
        </is>
      </c>
      <c r="I952" s="98" t="inlineStr">
        <is>
          <t>Ya</t>
        </is>
      </c>
      <c r="J952" s="98">
        <f>IF(G952="Normal","Tidak",IF(G952="Pendek","Potensi Stunting",IF(G952="Sangat Pendek","Stunting","")))</f>
        <v/>
      </c>
    </row>
    <row r="953" ht="15.75" customHeight="1" s="95">
      <c r="A953" s="97" t="inlineStr">
        <is>
          <t>anonymus0952</t>
        </is>
      </c>
      <c r="B953" s="97" t="inlineStr">
        <is>
          <t>L</t>
        </is>
      </c>
      <c r="C953" s="97" t="inlineStr">
        <is>
          <t>1-34 Bulan</t>
        </is>
      </c>
      <c r="D953" s="97" t="n">
        <v>12</v>
      </c>
      <c r="E953" s="97" t="n">
        <v>100</v>
      </c>
      <c r="F953" s="97" t="inlineStr">
        <is>
          <t>Berat Badan Normal</t>
        </is>
      </c>
      <c r="G953" s="97" t="inlineStr">
        <is>
          <t>Normal</t>
        </is>
      </c>
      <c r="H953" s="97" t="inlineStr">
        <is>
          <t>Gizi Baik</t>
        </is>
      </c>
      <c r="I953" s="98" t="inlineStr">
        <is>
          <t>Ya</t>
        </is>
      </c>
      <c r="J953" s="98">
        <f>IF(G953="Normal","Tidak",IF(G953="Pendek","Potensi Stunting",IF(G953="Sangat Pendek","Stunting","")))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L939"/>
  <sheetViews>
    <sheetView showFormulas="0" showGridLines="1" showRowColHeaders="1" showZeros="1" rightToLeft="0" tabSelected="0" showOutlineSymbols="1" defaultGridColor="1" view="normal" topLeftCell="A923" colorId="64" zoomScale="78" zoomScaleNormal="78" zoomScalePageLayoutView="100" workbookViewId="0">
      <selection pane="topLeft" activeCell="E942" activeCellId="0" sqref="E942"/>
    </sheetView>
  </sheetViews>
  <sheetFormatPr baseColWidth="8" defaultColWidth="8.6796875" defaultRowHeight="15" zeroHeight="0" outlineLevelRow="0"/>
  <cols>
    <col width="18.57" customWidth="1" style="94" min="1" max="1"/>
    <col width="15.71" customWidth="1" style="94" min="3" max="3"/>
    <col width="23.71" customWidth="1" style="94" min="6" max="6"/>
    <col width="19.29" customWidth="1" style="94" min="7" max="7"/>
    <col width="16.71" customWidth="1" style="94" min="8" max="8"/>
    <col width="22" customWidth="1" style="94" min="9" max="9"/>
    <col width="17" customWidth="1" style="94" min="10" max="10"/>
  </cols>
  <sheetData>
    <row r="1" ht="15.75" customHeight="1" s="95">
      <c r="A1" s="100" t="inlineStr">
        <is>
          <t>Nama/Kode balita</t>
        </is>
      </c>
      <c r="B1" s="100" t="inlineStr">
        <is>
          <t>JK</t>
        </is>
      </c>
      <c r="C1" s="100" t="inlineStr">
        <is>
          <t xml:space="preserve">Umur </t>
        </is>
      </c>
      <c r="D1" s="100" t="inlineStr">
        <is>
          <t xml:space="preserve">Berat </t>
        </is>
      </c>
      <c r="E1" s="100" t="inlineStr">
        <is>
          <t>Tinggi</t>
        </is>
      </c>
      <c r="F1" s="100" t="inlineStr">
        <is>
          <t>BB/U</t>
        </is>
      </c>
      <c r="G1" s="100" t="inlineStr">
        <is>
          <t>TB/U</t>
        </is>
      </c>
      <c r="H1" s="100" t="inlineStr">
        <is>
          <t>Status Gizi</t>
        </is>
      </c>
      <c r="I1" s="100" t="inlineStr">
        <is>
          <t>Status ASI Ekslusif</t>
        </is>
      </c>
      <c r="J1" s="100" t="inlineStr">
        <is>
          <t>Status Stunting</t>
        </is>
      </c>
    </row>
    <row r="2" ht="15.75" customHeight="1" s="95">
      <c r="A2" s="97" t="inlineStr">
        <is>
          <t>anonymus0001</t>
        </is>
      </c>
      <c r="B2" s="97" t="inlineStr">
        <is>
          <t>L</t>
        </is>
      </c>
      <c r="C2" s="97" t="inlineStr">
        <is>
          <t>35-69 Bulan</t>
        </is>
      </c>
      <c r="D2" s="97" t="n">
        <v>17.6</v>
      </c>
      <c r="E2" s="97" t="n">
        <v>107</v>
      </c>
      <c r="F2" s="97" t="inlineStr">
        <is>
          <t>Risiko Lebih</t>
        </is>
      </c>
      <c r="G2" s="97" t="inlineStr">
        <is>
          <t>Normal</t>
        </is>
      </c>
      <c r="H2" s="97" t="inlineStr">
        <is>
          <t>Gizi Lebih</t>
        </is>
      </c>
      <c r="I2" s="97" t="inlineStr">
        <is>
          <t>Ya</t>
        </is>
      </c>
      <c r="J2" s="97" t="inlineStr">
        <is>
          <t>Tidak</t>
        </is>
      </c>
    </row>
    <row r="3" ht="15.75" customHeight="1" s="95">
      <c r="A3" s="97" t="inlineStr">
        <is>
          <t>anonymus0002</t>
        </is>
      </c>
      <c r="B3" s="97" t="inlineStr">
        <is>
          <t xml:space="preserve">P </t>
        </is>
      </c>
      <c r="C3" s="97" t="inlineStr">
        <is>
          <t>1-34 Bulan</t>
        </is>
      </c>
      <c r="D3" s="97" t="inlineStr">
        <is>
          <t>11.5</t>
        </is>
      </c>
      <c r="E3" s="97" t="n">
        <v>89</v>
      </c>
      <c r="F3" s="97" t="inlineStr">
        <is>
          <t>Normal</t>
        </is>
      </c>
      <c r="G3" s="97" t="inlineStr">
        <is>
          <t>Normal</t>
        </is>
      </c>
      <c r="H3" s="97" t="inlineStr">
        <is>
          <t>Gizi Baik</t>
        </is>
      </c>
      <c r="I3" s="97" t="inlineStr">
        <is>
          <t>Ya</t>
        </is>
      </c>
      <c r="J3" s="97" t="inlineStr">
        <is>
          <t>Tidak</t>
        </is>
      </c>
    </row>
    <row r="4" ht="15.75" customHeight="1" s="95">
      <c r="A4" s="97" t="inlineStr">
        <is>
          <t>anonymus0003</t>
        </is>
      </c>
      <c r="B4" s="97" t="inlineStr">
        <is>
          <t>L</t>
        </is>
      </c>
      <c r="C4" s="97" t="inlineStr">
        <is>
          <t>35-69 Bulan</t>
        </is>
      </c>
      <c r="D4" s="97" t="n">
        <v>10.1</v>
      </c>
      <c r="E4" s="97" t="n">
        <v>85</v>
      </c>
      <c r="F4" s="97" t="inlineStr">
        <is>
          <t>Kurang</t>
        </is>
      </c>
      <c r="G4" s="97" t="inlineStr">
        <is>
          <t>Sangat Pendek</t>
        </is>
      </c>
      <c r="H4" s="97" t="inlineStr">
        <is>
          <t>Gizi Baik</t>
        </is>
      </c>
      <c r="I4" s="97" t="inlineStr">
        <is>
          <t>Ya</t>
        </is>
      </c>
      <c r="J4" s="97" t="inlineStr">
        <is>
          <t>Stunting</t>
        </is>
      </c>
    </row>
    <row r="5" ht="15.75" customHeight="1" s="95">
      <c r="A5" s="97" t="inlineStr">
        <is>
          <t>anonymus0004</t>
        </is>
      </c>
      <c r="B5" s="97" t="inlineStr">
        <is>
          <t>L</t>
        </is>
      </c>
      <c r="C5" s="97" t="inlineStr">
        <is>
          <t>35-69 Bulan</t>
        </is>
      </c>
      <c r="D5" s="97" t="n">
        <v>11.4</v>
      </c>
      <c r="E5" s="97" t="n">
        <v>87</v>
      </c>
      <c r="F5" s="97" t="inlineStr">
        <is>
          <t>Normal</t>
        </is>
      </c>
      <c r="G5" s="97" t="inlineStr">
        <is>
          <t>Pendek</t>
        </is>
      </c>
      <c r="H5" s="97" t="inlineStr">
        <is>
          <t>Gizi Baik</t>
        </is>
      </c>
      <c r="I5" s="97" t="inlineStr">
        <is>
          <t>Ya</t>
        </is>
      </c>
      <c r="J5" s="97" t="inlineStr">
        <is>
          <t>Potensi Stunting</t>
        </is>
      </c>
    </row>
    <row r="6" ht="15.75" customHeight="1" s="95">
      <c r="A6" s="97" t="inlineStr">
        <is>
          <t>anonymus0005</t>
        </is>
      </c>
      <c r="B6" s="97" t="inlineStr">
        <is>
          <t>L</t>
        </is>
      </c>
      <c r="C6" s="97" t="inlineStr">
        <is>
          <t>35-69 Bulan</t>
        </is>
      </c>
      <c r="D6" s="97" t="n">
        <v>11.3</v>
      </c>
      <c r="E6" s="97" t="n">
        <v>94</v>
      </c>
      <c r="F6" s="97" t="inlineStr">
        <is>
          <t>Kurang</t>
        </is>
      </c>
      <c r="G6" s="97" t="inlineStr">
        <is>
          <t>Normal</t>
        </is>
      </c>
      <c r="H6" s="97" t="inlineStr">
        <is>
          <t>Gizi Kurang</t>
        </is>
      </c>
      <c r="I6" s="97" t="inlineStr">
        <is>
          <t>Ya</t>
        </is>
      </c>
      <c r="J6" s="97" t="inlineStr">
        <is>
          <t>Tidak</t>
        </is>
      </c>
    </row>
    <row r="7" ht="15.75" customHeight="1" s="95">
      <c r="A7" s="97" t="inlineStr">
        <is>
          <t>anonymus0006</t>
        </is>
      </c>
      <c r="B7" s="97" t="inlineStr">
        <is>
          <t xml:space="preserve">L </t>
        </is>
      </c>
      <c r="C7" s="97" t="inlineStr">
        <is>
          <t>35-69 Bulan</t>
        </is>
      </c>
      <c r="D7" s="97" t="inlineStr">
        <is>
          <t>14.3</t>
        </is>
      </c>
      <c r="E7" s="97" t="n">
        <v>100</v>
      </c>
      <c r="F7" s="97" t="inlineStr">
        <is>
          <t>Normal</t>
        </is>
      </c>
      <c r="G7" s="97" t="inlineStr">
        <is>
          <t>Normal</t>
        </is>
      </c>
      <c r="H7" s="97" t="inlineStr">
        <is>
          <t>Gizi Baik</t>
        </is>
      </c>
      <c r="I7" s="97" t="inlineStr">
        <is>
          <t>Ya</t>
        </is>
      </c>
      <c r="J7" s="97" t="inlineStr">
        <is>
          <t>Tidak</t>
        </is>
      </c>
      <c r="L7" s="101" t="inlineStr">
        <is>
          <t xml:space="preserve"> </t>
        </is>
      </c>
    </row>
    <row r="8" ht="15.75" customHeight="1" s="95">
      <c r="A8" s="97" t="inlineStr">
        <is>
          <t>anonymus0007</t>
        </is>
      </c>
      <c r="B8" s="97" t="inlineStr">
        <is>
          <t>P</t>
        </is>
      </c>
      <c r="C8" s="97" t="inlineStr">
        <is>
          <t>1-34 Bulan</t>
        </is>
      </c>
      <c r="D8" s="97" t="n">
        <v>13.8</v>
      </c>
      <c r="E8" s="97" t="n">
        <v>91</v>
      </c>
      <c r="F8" s="97" t="inlineStr">
        <is>
          <t>Normal</t>
        </is>
      </c>
      <c r="G8" s="97" t="inlineStr">
        <is>
          <t>Normal</t>
        </is>
      </c>
      <c r="H8" s="97" t="inlineStr">
        <is>
          <t>Gizi Baik</t>
        </is>
      </c>
      <c r="I8" s="97" t="inlineStr">
        <is>
          <t>Ya</t>
        </is>
      </c>
      <c r="J8" s="97" t="inlineStr">
        <is>
          <t>Tidak</t>
        </is>
      </c>
    </row>
    <row r="9" ht="15.75" customHeight="1" s="95">
      <c r="A9" s="97" t="inlineStr">
        <is>
          <t>anonymus0008</t>
        </is>
      </c>
      <c r="B9" s="97" t="inlineStr">
        <is>
          <t>P</t>
        </is>
      </c>
      <c r="C9" s="97" t="inlineStr">
        <is>
          <t>35-69 Bulan</t>
        </is>
      </c>
      <c r="D9" s="97" t="n">
        <v>11.2</v>
      </c>
      <c r="E9" s="97" t="n">
        <v>97</v>
      </c>
      <c r="F9" s="97" t="inlineStr">
        <is>
          <t>Kurang</t>
        </is>
      </c>
      <c r="G9" s="97" t="inlineStr">
        <is>
          <t>Normal</t>
        </is>
      </c>
      <c r="H9" s="97" t="inlineStr">
        <is>
          <t>Gizi Kurang</t>
        </is>
      </c>
      <c r="I9" s="97" t="inlineStr">
        <is>
          <t>Ya</t>
        </is>
      </c>
      <c r="J9" s="97" t="inlineStr">
        <is>
          <t>Tidak</t>
        </is>
      </c>
    </row>
    <row r="10" ht="15.75" customHeight="1" s="95">
      <c r="A10" s="97" t="inlineStr">
        <is>
          <t>anonymus0009</t>
        </is>
      </c>
      <c r="B10" s="97" t="inlineStr">
        <is>
          <t>L</t>
        </is>
      </c>
      <c r="C10" s="97" t="inlineStr">
        <is>
          <t>35-69 Bulan</t>
        </is>
      </c>
      <c r="D10" s="97" t="n">
        <v>10.6</v>
      </c>
      <c r="E10" s="97" t="n">
        <v>93</v>
      </c>
      <c r="F10" s="97" t="inlineStr">
        <is>
          <t>Normal</t>
        </is>
      </c>
      <c r="G10" s="97" t="inlineStr">
        <is>
          <t>Normal</t>
        </is>
      </c>
      <c r="H10" s="97" t="inlineStr">
        <is>
          <t>Gizi Baik</t>
        </is>
      </c>
      <c r="I10" s="97" t="inlineStr">
        <is>
          <t>Ya</t>
        </is>
      </c>
      <c r="J10" s="97" t="inlineStr">
        <is>
          <t>Tidak</t>
        </is>
      </c>
    </row>
    <row r="11" ht="15.75" customHeight="1" s="95">
      <c r="A11" s="97" t="inlineStr">
        <is>
          <t>anonymus0010</t>
        </is>
      </c>
      <c r="B11" s="97" t="inlineStr">
        <is>
          <t xml:space="preserve">L </t>
        </is>
      </c>
      <c r="C11" s="97" t="inlineStr">
        <is>
          <t>1-34 Bulan</t>
        </is>
      </c>
      <c r="D11" s="97" t="inlineStr">
        <is>
          <t>15.8</t>
        </is>
      </c>
      <c r="E11" s="97" t="n">
        <v>93</v>
      </c>
      <c r="F11" s="97" t="inlineStr">
        <is>
          <t>Risiko Lebih</t>
        </is>
      </c>
      <c r="G11" s="97" t="inlineStr">
        <is>
          <t>Normal</t>
        </is>
      </c>
      <c r="H11" s="97" t="inlineStr">
        <is>
          <t>Risiko Gizi Lebih</t>
        </is>
      </c>
      <c r="I11" s="97" t="inlineStr">
        <is>
          <t>Ya</t>
        </is>
      </c>
      <c r="J11" s="97" t="inlineStr">
        <is>
          <t>Tidak</t>
        </is>
      </c>
    </row>
    <row r="12" ht="15.75" customHeight="1" s="95">
      <c r="A12" s="97" t="inlineStr">
        <is>
          <t>anonymus0011</t>
        </is>
      </c>
      <c r="B12" s="97" t="inlineStr">
        <is>
          <t>L</t>
        </is>
      </c>
      <c r="C12" s="97" t="inlineStr">
        <is>
          <t>1-34 Bulan</t>
        </is>
      </c>
      <c r="D12" s="97" t="n">
        <v>9.699999999999999</v>
      </c>
      <c r="E12" s="97" t="n">
        <v>80</v>
      </c>
      <c r="F12" s="97" t="inlineStr">
        <is>
          <t>Normal</t>
        </is>
      </c>
      <c r="G12" s="97" t="inlineStr">
        <is>
          <t>Normal</t>
        </is>
      </c>
      <c r="H12" s="97" t="inlineStr">
        <is>
          <t>Gizi Baik</t>
        </is>
      </c>
      <c r="I12" s="97" t="inlineStr">
        <is>
          <t>Ya</t>
        </is>
      </c>
      <c r="J12" s="97" t="inlineStr">
        <is>
          <t>Tidak</t>
        </is>
      </c>
    </row>
    <row r="13" ht="15.75" customHeight="1" s="95">
      <c r="A13" s="97" t="inlineStr">
        <is>
          <t>anonymus0012</t>
        </is>
      </c>
      <c r="B13" s="97" t="inlineStr">
        <is>
          <t>L</t>
        </is>
      </c>
      <c r="C13" s="97" t="inlineStr">
        <is>
          <t>35-69 Bulan</t>
        </is>
      </c>
      <c r="D13" s="97" t="n">
        <v>12.7</v>
      </c>
      <c r="E13" s="97" t="n">
        <v>95</v>
      </c>
      <c r="F13" s="97" t="inlineStr">
        <is>
          <t>Kurang</t>
        </is>
      </c>
      <c r="G13" s="97" t="inlineStr">
        <is>
          <t>Pendek</t>
        </is>
      </c>
      <c r="H13" s="97" t="inlineStr">
        <is>
          <t>Gizi Baik</t>
        </is>
      </c>
      <c r="I13" s="97" t="inlineStr">
        <is>
          <t>Ya</t>
        </is>
      </c>
      <c r="J13" s="97" t="inlineStr">
        <is>
          <t>Potensi Stunting</t>
        </is>
      </c>
    </row>
    <row r="14" ht="15.75" customHeight="1" s="95">
      <c r="A14" s="97" t="inlineStr">
        <is>
          <t>anonymus0013</t>
        </is>
      </c>
      <c r="B14" s="97" t="inlineStr">
        <is>
          <t>L</t>
        </is>
      </c>
      <c r="C14" s="97" t="inlineStr">
        <is>
          <t>1-34 Bulan</t>
        </is>
      </c>
      <c r="D14" s="97" t="n">
        <v>12.2</v>
      </c>
      <c r="E14" s="97" t="n">
        <v>86</v>
      </c>
      <c r="F14" s="97" t="inlineStr">
        <is>
          <t>Normal</t>
        </is>
      </c>
      <c r="G14" s="97" t="inlineStr">
        <is>
          <t>Normal</t>
        </is>
      </c>
      <c r="H14" s="97" t="inlineStr">
        <is>
          <t>Gizi Baik</t>
        </is>
      </c>
      <c r="I14" s="97" t="inlineStr">
        <is>
          <t>Ya</t>
        </is>
      </c>
      <c r="J14" s="97" t="inlineStr">
        <is>
          <t>Tidak</t>
        </is>
      </c>
    </row>
    <row r="15" ht="15.75" customHeight="1" s="95">
      <c r="A15" s="97" t="inlineStr">
        <is>
          <t>anonymus0014</t>
        </is>
      </c>
      <c r="B15" s="97" t="inlineStr">
        <is>
          <t xml:space="preserve">L </t>
        </is>
      </c>
      <c r="C15" s="97" t="inlineStr">
        <is>
          <t>1-34 Bulan</t>
        </is>
      </c>
      <c r="D15" s="97" t="inlineStr">
        <is>
          <t>14.5</t>
        </is>
      </c>
      <c r="E15" s="97" t="n">
        <v>97</v>
      </c>
      <c r="F15" s="97" t="inlineStr">
        <is>
          <t>Normal</t>
        </is>
      </c>
      <c r="G15" s="97" t="inlineStr">
        <is>
          <t>Normal</t>
        </is>
      </c>
      <c r="H15" s="97" t="inlineStr">
        <is>
          <t>Gizi Baik</t>
        </is>
      </c>
      <c r="I15" s="97" t="inlineStr">
        <is>
          <t>Ya</t>
        </is>
      </c>
      <c r="J15" s="97" t="inlineStr">
        <is>
          <t>Tidak</t>
        </is>
      </c>
    </row>
    <row r="16" ht="15.75" customHeight="1" s="95">
      <c r="A16" s="97" t="inlineStr">
        <is>
          <t>anonymus0015</t>
        </is>
      </c>
      <c r="B16" s="97" t="inlineStr">
        <is>
          <t>L</t>
        </is>
      </c>
      <c r="C16" s="97" t="inlineStr">
        <is>
          <t>35-69 Bulan</t>
        </is>
      </c>
      <c r="D16" s="97" t="n">
        <v>13.9</v>
      </c>
      <c r="E16" s="97" t="n">
        <v>96</v>
      </c>
      <c r="F16" s="97" t="inlineStr">
        <is>
          <t>Normal</t>
        </is>
      </c>
      <c r="G16" s="97" t="inlineStr">
        <is>
          <t>Normal</t>
        </is>
      </c>
      <c r="H16" s="97" t="inlineStr">
        <is>
          <t>Gizi Baik</t>
        </is>
      </c>
      <c r="I16" s="97" t="inlineStr">
        <is>
          <t>Ya</t>
        </is>
      </c>
      <c r="J16" s="97" t="inlineStr">
        <is>
          <t>Tidak</t>
        </is>
      </c>
    </row>
    <row r="17" ht="15.75" customHeight="1" s="95">
      <c r="A17" s="97" t="inlineStr">
        <is>
          <t>anonymus0016</t>
        </is>
      </c>
      <c r="B17" s="97" t="inlineStr">
        <is>
          <t>L</t>
        </is>
      </c>
      <c r="C17" s="97" t="inlineStr">
        <is>
          <t>35-69 Bulan</t>
        </is>
      </c>
      <c r="D17" s="97" t="n">
        <v>12.6</v>
      </c>
      <c r="E17" s="97" t="n">
        <v>100</v>
      </c>
      <c r="F17" s="97" t="inlineStr">
        <is>
          <t>Normal</t>
        </is>
      </c>
      <c r="G17" s="97" t="inlineStr">
        <is>
          <t>Normal</t>
        </is>
      </c>
      <c r="H17" s="97" t="inlineStr">
        <is>
          <t>Gizi Kurang</t>
        </is>
      </c>
      <c r="I17" s="97" t="inlineStr">
        <is>
          <t>Ya</t>
        </is>
      </c>
      <c r="J17" s="97" t="inlineStr">
        <is>
          <t>Tidak</t>
        </is>
      </c>
    </row>
    <row r="18" ht="15.75" customHeight="1" s="95">
      <c r="A18" s="97" t="inlineStr">
        <is>
          <t>anonymus0017</t>
        </is>
      </c>
      <c r="B18" s="97" t="inlineStr">
        <is>
          <t xml:space="preserve">L </t>
        </is>
      </c>
      <c r="C18" s="97" t="inlineStr">
        <is>
          <t>35-69 Bulan</t>
        </is>
      </c>
      <c r="D18" s="97" t="inlineStr">
        <is>
          <t>14.8</t>
        </is>
      </c>
      <c r="E18" s="97" t="n">
        <v>104</v>
      </c>
      <c r="F18" s="97" t="inlineStr">
        <is>
          <t>Normal</t>
        </is>
      </c>
      <c r="G18" s="97" t="inlineStr">
        <is>
          <t>Normal</t>
        </is>
      </c>
      <c r="H18" s="97" t="inlineStr">
        <is>
          <t>Gizi Baik</t>
        </is>
      </c>
      <c r="I18" s="97" t="inlineStr">
        <is>
          <t>Ya</t>
        </is>
      </c>
      <c r="J18" s="97" t="inlineStr">
        <is>
          <t>Tidak</t>
        </is>
      </c>
    </row>
    <row r="19" ht="15.75" customHeight="1" s="95">
      <c r="A19" s="97" t="inlineStr">
        <is>
          <t>anonymus0018</t>
        </is>
      </c>
      <c r="B19" s="97" t="inlineStr">
        <is>
          <t xml:space="preserve">P </t>
        </is>
      </c>
      <c r="C19" s="97" t="inlineStr">
        <is>
          <t>1-34 Bulan</t>
        </is>
      </c>
      <c r="D19" s="97" t="inlineStr">
        <is>
          <t>10.2</t>
        </is>
      </c>
      <c r="E19" s="97" t="n">
        <v>75</v>
      </c>
      <c r="F19" s="97" t="inlineStr">
        <is>
          <t>Normal</t>
        </is>
      </c>
      <c r="G19" s="97" t="inlineStr">
        <is>
          <t>Normal</t>
        </is>
      </c>
      <c r="H19" s="97" t="inlineStr">
        <is>
          <t>Risiko Gizi Lebih</t>
        </is>
      </c>
      <c r="I19" s="97" t="inlineStr">
        <is>
          <t>Ya</t>
        </is>
      </c>
      <c r="J19" s="97" t="inlineStr">
        <is>
          <t>Tidak</t>
        </is>
      </c>
    </row>
    <row r="20" ht="15.75" customHeight="1" s="95">
      <c r="A20" s="97" t="inlineStr">
        <is>
          <t>anonymus0019</t>
        </is>
      </c>
      <c r="B20" s="97" t="inlineStr">
        <is>
          <t>P</t>
        </is>
      </c>
      <c r="C20" s="97" t="inlineStr">
        <is>
          <t>35-69 Bulan</t>
        </is>
      </c>
      <c r="D20" s="97" t="n">
        <v>12.4</v>
      </c>
      <c r="E20" s="97" t="n">
        <v>91</v>
      </c>
      <c r="F20" s="97" t="inlineStr">
        <is>
          <t>Kurang</t>
        </is>
      </c>
      <c r="G20" s="97" t="inlineStr">
        <is>
          <t>Sangat Pendek</t>
        </is>
      </c>
      <c r="H20" s="97" t="inlineStr">
        <is>
          <t>Gizi Baik</t>
        </is>
      </c>
      <c r="I20" s="97" t="inlineStr">
        <is>
          <t>Ya</t>
        </is>
      </c>
      <c r="J20" s="97" t="inlineStr">
        <is>
          <t>Stunting</t>
        </is>
      </c>
    </row>
    <row r="21" ht="15.75" customHeight="1" s="95">
      <c r="A21" s="97" t="inlineStr">
        <is>
          <t>anonymus0020</t>
        </is>
      </c>
      <c r="B21" s="97" t="inlineStr">
        <is>
          <t>P</t>
        </is>
      </c>
      <c r="C21" s="97" t="inlineStr">
        <is>
          <t>35-69 Bulan</t>
        </is>
      </c>
      <c r="D21" s="97" t="n">
        <v>11.6</v>
      </c>
      <c r="E21" s="97" t="n">
        <v>98</v>
      </c>
      <c r="F21" s="97" t="inlineStr">
        <is>
          <t>Kurang</t>
        </is>
      </c>
      <c r="G21" s="97" t="inlineStr">
        <is>
          <t>Normal</t>
        </is>
      </c>
      <c r="H21" s="97" t="inlineStr">
        <is>
          <t>Gizi Kurang</t>
        </is>
      </c>
      <c r="I21" s="97" t="inlineStr">
        <is>
          <t>Ya</t>
        </is>
      </c>
      <c r="J21" s="97" t="inlineStr">
        <is>
          <t>Tidak</t>
        </is>
      </c>
    </row>
    <row r="22" ht="15.75" customHeight="1" s="95">
      <c r="A22" s="97" t="inlineStr">
        <is>
          <t>anonymus0021</t>
        </is>
      </c>
      <c r="B22" s="97" t="inlineStr">
        <is>
          <t xml:space="preserve">L </t>
        </is>
      </c>
      <c r="C22" s="97" t="inlineStr">
        <is>
          <t>35-69 Bulan</t>
        </is>
      </c>
      <c r="D22" s="97" t="n">
        <v>15</v>
      </c>
      <c r="E22" s="97" t="n">
        <v>107</v>
      </c>
      <c r="F22" s="97" t="inlineStr">
        <is>
          <t>Normal</t>
        </is>
      </c>
      <c r="G22" s="97" t="inlineStr">
        <is>
          <t>Normal</t>
        </is>
      </c>
      <c r="H22" s="97" t="inlineStr">
        <is>
          <t>Gizi Baik</t>
        </is>
      </c>
      <c r="I22" s="97" t="inlineStr">
        <is>
          <t>Ya</t>
        </is>
      </c>
      <c r="J22" s="97" t="inlineStr">
        <is>
          <t>Tidak</t>
        </is>
      </c>
    </row>
    <row r="23" ht="15.75" customHeight="1" s="95">
      <c r="A23" s="97" t="inlineStr">
        <is>
          <t>anonymus0022</t>
        </is>
      </c>
      <c r="B23" s="97" t="inlineStr">
        <is>
          <t>P</t>
        </is>
      </c>
      <c r="C23" s="97" t="inlineStr">
        <is>
          <t>1-34 Bulan</t>
        </is>
      </c>
      <c r="D23" s="97" t="n">
        <v>8.1</v>
      </c>
      <c r="E23" s="97" t="n">
        <v>90</v>
      </c>
      <c r="F23" s="97" t="inlineStr">
        <is>
          <t>Kurang</t>
        </is>
      </c>
      <c r="G23" s="97" t="inlineStr">
        <is>
          <t>Normal</t>
        </is>
      </c>
      <c r="H23" s="97" t="inlineStr">
        <is>
          <t>Gizi Kurang</t>
        </is>
      </c>
      <c r="I23" s="97" t="inlineStr">
        <is>
          <t>Ya</t>
        </is>
      </c>
      <c r="J23" s="97" t="inlineStr">
        <is>
          <t>Tidak</t>
        </is>
      </c>
    </row>
    <row r="24" ht="15.75" customHeight="1" s="95">
      <c r="A24" s="97" t="inlineStr">
        <is>
          <t>anonymus0023</t>
        </is>
      </c>
      <c r="B24" s="97" t="inlineStr">
        <is>
          <t>P</t>
        </is>
      </c>
      <c r="C24" s="97" t="inlineStr">
        <is>
          <t>35-69 Bulan</t>
        </is>
      </c>
      <c r="D24" s="97" t="n">
        <v>17.8</v>
      </c>
      <c r="E24" s="97" t="n">
        <v>101</v>
      </c>
      <c r="F24" s="97" t="inlineStr">
        <is>
          <t>Risiko Lebih</t>
        </is>
      </c>
      <c r="G24" s="97" t="inlineStr">
        <is>
          <t>Normal</t>
        </is>
      </c>
      <c r="H24" s="97" t="inlineStr">
        <is>
          <t>Gizi Lebih</t>
        </is>
      </c>
      <c r="I24" s="97" t="inlineStr">
        <is>
          <t>Ya</t>
        </is>
      </c>
      <c r="J24" s="97" t="inlineStr">
        <is>
          <t>Tidak</t>
        </is>
      </c>
    </row>
    <row r="25" ht="15.75" customHeight="1" s="95">
      <c r="A25" s="97" t="inlineStr">
        <is>
          <t>anonymus0024</t>
        </is>
      </c>
      <c r="B25" s="97" t="inlineStr">
        <is>
          <t>L</t>
        </is>
      </c>
      <c r="C25" s="97" t="inlineStr">
        <is>
          <t>35-69 Bulan</t>
        </is>
      </c>
      <c r="D25" s="97" t="n">
        <v>19.9</v>
      </c>
      <c r="E25" s="97" t="n">
        <v>95</v>
      </c>
      <c r="F25" s="97" t="inlineStr">
        <is>
          <t>Risiko Lebih</t>
        </is>
      </c>
      <c r="G25" s="97" t="inlineStr">
        <is>
          <t>Normal</t>
        </is>
      </c>
      <c r="H25" s="97" t="inlineStr">
        <is>
          <t>Gizi Lebih</t>
        </is>
      </c>
      <c r="I25" s="97" t="inlineStr">
        <is>
          <t>Ya</t>
        </is>
      </c>
      <c r="J25" s="97" t="inlineStr">
        <is>
          <t>Tidak</t>
        </is>
      </c>
    </row>
    <row r="26" ht="15.75" customHeight="1" s="95">
      <c r="A26" s="97" t="inlineStr">
        <is>
          <t>anonymus0025</t>
        </is>
      </c>
      <c r="B26" s="97" t="inlineStr">
        <is>
          <t>P</t>
        </is>
      </c>
      <c r="C26" s="97" t="inlineStr">
        <is>
          <t>35-69 Bulan</t>
        </is>
      </c>
      <c r="D26" s="97" t="n">
        <v>13.5</v>
      </c>
      <c r="E26" s="97" t="n">
        <v>103</v>
      </c>
      <c r="F26" s="97" t="inlineStr">
        <is>
          <t>Normal</t>
        </is>
      </c>
      <c r="G26" s="97" t="inlineStr">
        <is>
          <t>Normal</t>
        </is>
      </c>
      <c r="H26" s="97" t="inlineStr">
        <is>
          <t>Gizi Kurang</t>
        </is>
      </c>
      <c r="I26" s="97" t="inlineStr">
        <is>
          <t>Ya</t>
        </is>
      </c>
      <c r="J26" s="97" t="inlineStr">
        <is>
          <t>Tidak</t>
        </is>
      </c>
    </row>
    <row r="27" ht="15.75" customHeight="1" s="95">
      <c r="A27" s="97" t="inlineStr">
        <is>
          <t>anonymus0026</t>
        </is>
      </c>
      <c r="B27" s="97" t="inlineStr">
        <is>
          <t xml:space="preserve">L </t>
        </is>
      </c>
      <c r="C27" s="97" t="inlineStr">
        <is>
          <t>35-69 Bulan</t>
        </is>
      </c>
      <c r="D27" s="97" t="inlineStr">
        <is>
          <t>12.8</t>
        </is>
      </c>
      <c r="E27" s="97" t="n">
        <v>92</v>
      </c>
      <c r="F27" s="97" t="inlineStr">
        <is>
          <t>Normal</t>
        </is>
      </c>
      <c r="G27" s="97" t="inlineStr">
        <is>
          <t>Normal</t>
        </is>
      </c>
      <c r="H27" s="97" t="inlineStr">
        <is>
          <t>Gizi Baik</t>
        </is>
      </c>
      <c r="I27" s="97" t="inlineStr">
        <is>
          <t>Ya</t>
        </is>
      </c>
      <c r="J27" s="97" t="inlineStr">
        <is>
          <t>Tidak</t>
        </is>
      </c>
    </row>
    <row r="28" ht="15.75" customHeight="1" s="95">
      <c r="A28" s="97" t="inlineStr">
        <is>
          <t>anonymus0027</t>
        </is>
      </c>
      <c r="B28" s="97" t="inlineStr">
        <is>
          <t>L</t>
        </is>
      </c>
      <c r="C28" s="97" t="inlineStr">
        <is>
          <t>35-69 Bulan</t>
        </is>
      </c>
      <c r="D28" s="97" t="n">
        <v>11.6</v>
      </c>
      <c r="E28" s="97" t="n">
        <v>94</v>
      </c>
      <c r="F28" s="97" t="inlineStr">
        <is>
          <t>Kurang</t>
        </is>
      </c>
      <c r="G28" s="97" t="inlineStr">
        <is>
          <t>Normal</t>
        </is>
      </c>
      <c r="H28" s="97" t="inlineStr">
        <is>
          <t>Gizi Kurang</t>
        </is>
      </c>
      <c r="I28" s="97" t="inlineStr">
        <is>
          <t>Ya</t>
        </is>
      </c>
      <c r="J28" s="97" t="inlineStr">
        <is>
          <t>Tidak</t>
        </is>
      </c>
    </row>
    <row r="29" ht="15.75" customHeight="1" s="95">
      <c r="A29" s="97" t="inlineStr">
        <is>
          <t>anonymus0028</t>
        </is>
      </c>
      <c r="B29" s="97" t="inlineStr">
        <is>
          <t>P</t>
        </is>
      </c>
      <c r="C29" s="97" t="inlineStr">
        <is>
          <t>1-34 Bulan</t>
        </is>
      </c>
      <c r="D29" s="97" t="n">
        <v>10.5</v>
      </c>
      <c r="E29" s="97" t="n">
        <v>97</v>
      </c>
      <c r="F29" s="97" t="inlineStr">
        <is>
          <t>Normal</t>
        </is>
      </c>
      <c r="G29" s="97" t="inlineStr">
        <is>
          <t>Normal</t>
        </is>
      </c>
      <c r="H29" s="97" t="inlineStr">
        <is>
          <t>Gizi Baik</t>
        </is>
      </c>
      <c r="I29" s="97" t="inlineStr">
        <is>
          <t>Ya</t>
        </is>
      </c>
      <c r="J29" s="97" t="inlineStr">
        <is>
          <t>Tidak</t>
        </is>
      </c>
    </row>
    <row r="30" ht="15.75" customHeight="1" s="95">
      <c r="A30" s="97" t="inlineStr">
        <is>
          <t>anonymus0029</t>
        </is>
      </c>
      <c r="B30" s="97" t="inlineStr">
        <is>
          <t xml:space="preserve">L </t>
        </is>
      </c>
      <c r="C30" s="97" t="inlineStr">
        <is>
          <t>35-69 Bulan</t>
        </is>
      </c>
      <c r="D30" s="97" t="inlineStr">
        <is>
          <t>15.2</t>
        </is>
      </c>
      <c r="E30" s="97" t="n">
        <v>104</v>
      </c>
      <c r="F30" s="97" t="inlineStr">
        <is>
          <t>Normal</t>
        </is>
      </c>
      <c r="G30" s="97" t="inlineStr">
        <is>
          <t>Normal</t>
        </is>
      </c>
      <c r="H30" s="97" t="inlineStr">
        <is>
          <t>Gizi Baik</t>
        </is>
      </c>
      <c r="I30" s="97" t="inlineStr">
        <is>
          <t>Ya</t>
        </is>
      </c>
      <c r="J30" s="97" t="inlineStr">
        <is>
          <t>Tidak</t>
        </is>
      </c>
    </row>
    <row r="31" ht="15.75" customHeight="1" s="95">
      <c r="A31" s="97" t="inlineStr">
        <is>
          <t>anonymus0030</t>
        </is>
      </c>
      <c r="B31" s="97" t="inlineStr">
        <is>
          <t>L</t>
        </is>
      </c>
      <c r="C31" s="97" t="inlineStr">
        <is>
          <t>1-34 Bulan</t>
        </is>
      </c>
      <c r="D31" s="97" t="n">
        <v>10.8</v>
      </c>
      <c r="E31" s="97" t="n">
        <v>89.5</v>
      </c>
      <c r="F31" s="97" t="inlineStr">
        <is>
          <t>Kurang</t>
        </is>
      </c>
      <c r="G31" s="97" t="inlineStr">
        <is>
          <t>Normal</t>
        </is>
      </c>
      <c r="H31" s="97" t="inlineStr">
        <is>
          <t>Gizi Kurang</t>
        </is>
      </c>
      <c r="I31" s="97" t="inlineStr">
        <is>
          <t>Ya</t>
        </is>
      </c>
      <c r="J31" s="97" t="inlineStr">
        <is>
          <t>Tidak</t>
        </is>
      </c>
    </row>
    <row r="32" ht="15.75" customHeight="1" s="95">
      <c r="A32" s="97" t="inlineStr">
        <is>
          <t>anonymus0031</t>
        </is>
      </c>
      <c r="B32" s="97" t="inlineStr">
        <is>
          <t>P</t>
        </is>
      </c>
      <c r="C32" s="97" t="inlineStr">
        <is>
          <t>35-69 Bulan</t>
        </is>
      </c>
      <c r="D32" s="97" t="n">
        <v>9.1</v>
      </c>
      <c r="E32" s="97" t="n">
        <v>79</v>
      </c>
      <c r="F32" s="97" t="inlineStr">
        <is>
          <t>Kurang</t>
        </is>
      </c>
      <c r="G32" s="97" t="inlineStr">
        <is>
          <t>Pendek</t>
        </is>
      </c>
      <c r="H32" s="97" t="inlineStr">
        <is>
          <t>Gizi Baik</t>
        </is>
      </c>
      <c r="I32" s="97" t="inlineStr">
        <is>
          <t>Ya</t>
        </is>
      </c>
      <c r="J32" s="97" t="inlineStr">
        <is>
          <t>Potensi Stunting</t>
        </is>
      </c>
    </row>
    <row r="33" ht="15.75" customHeight="1" s="95">
      <c r="A33" s="97" t="inlineStr">
        <is>
          <t>anonymus0032</t>
        </is>
      </c>
      <c r="B33" s="97" t="inlineStr">
        <is>
          <t>P</t>
        </is>
      </c>
      <c r="C33" s="97" t="inlineStr">
        <is>
          <t>35-69 Bulan</t>
        </is>
      </c>
      <c r="D33" s="97" t="n">
        <v>16.9</v>
      </c>
      <c r="E33" s="97" t="n">
        <v>110</v>
      </c>
      <c r="F33" s="97" t="inlineStr">
        <is>
          <t>Normal</t>
        </is>
      </c>
      <c r="G33" s="97" t="inlineStr">
        <is>
          <t>Normal</t>
        </is>
      </c>
      <c r="H33" s="97" t="inlineStr">
        <is>
          <t>Gizi Baik</t>
        </is>
      </c>
      <c r="I33" s="97" t="inlineStr">
        <is>
          <t>Ya</t>
        </is>
      </c>
      <c r="J33" s="97" t="inlineStr">
        <is>
          <t>Tidak</t>
        </is>
      </c>
    </row>
    <row r="34" ht="15.75" customHeight="1" s="95">
      <c r="A34" s="97" t="inlineStr">
        <is>
          <t>anonymus0033</t>
        </is>
      </c>
      <c r="B34" s="97" t="inlineStr">
        <is>
          <t>P</t>
        </is>
      </c>
      <c r="C34" s="97" t="inlineStr">
        <is>
          <t>35-69 Bulan</t>
        </is>
      </c>
      <c r="D34" s="97" t="n">
        <v>13.4</v>
      </c>
      <c r="E34" s="97" t="n">
        <v>76</v>
      </c>
      <c r="F34" s="97" t="inlineStr">
        <is>
          <t>Risiko Lebih</t>
        </is>
      </c>
      <c r="G34" s="97" t="inlineStr">
        <is>
          <t>Sangat Pendek</t>
        </is>
      </c>
      <c r="H34" s="97" t="inlineStr">
        <is>
          <t>Obesitas</t>
        </is>
      </c>
      <c r="I34" s="97" t="inlineStr">
        <is>
          <t>Ya</t>
        </is>
      </c>
      <c r="J34" s="97" t="inlineStr">
        <is>
          <t>Stunting</t>
        </is>
      </c>
    </row>
    <row r="35" ht="15.75" customHeight="1" s="95">
      <c r="A35" s="97" t="inlineStr">
        <is>
          <t>anonymus0034</t>
        </is>
      </c>
      <c r="B35" s="97" t="inlineStr">
        <is>
          <t xml:space="preserve">L </t>
        </is>
      </c>
      <c r="C35" s="97" t="inlineStr">
        <is>
          <t>1-34 Bulan</t>
        </is>
      </c>
      <c r="D35" s="97" t="inlineStr">
        <is>
          <t>12.5</t>
        </is>
      </c>
      <c r="E35" s="97" t="n">
        <v>89</v>
      </c>
      <c r="F35" s="97" t="inlineStr">
        <is>
          <t>Normal</t>
        </is>
      </c>
      <c r="G35" s="97" t="inlineStr">
        <is>
          <t>Normal</t>
        </is>
      </c>
      <c r="H35" s="97" t="inlineStr">
        <is>
          <t>Gizi Baik</t>
        </is>
      </c>
      <c r="I35" s="97" t="inlineStr">
        <is>
          <t>Ya</t>
        </is>
      </c>
      <c r="J35" s="97" t="inlineStr">
        <is>
          <t>Tidak</t>
        </is>
      </c>
    </row>
    <row r="36" ht="15.75" customHeight="1" s="95">
      <c r="A36" s="97" t="inlineStr">
        <is>
          <t>anonymus0035</t>
        </is>
      </c>
      <c r="B36" s="97" t="inlineStr">
        <is>
          <t xml:space="preserve">L </t>
        </is>
      </c>
      <c r="C36" s="97" t="inlineStr">
        <is>
          <t>1-34 Bulan</t>
        </is>
      </c>
      <c r="D36" s="97" t="inlineStr">
        <is>
          <t>13.3</t>
        </is>
      </c>
      <c r="E36" s="97" t="n">
        <v>95</v>
      </c>
      <c r="F36" s="97" t="inlineStr">
        <is>
          <t>Normal</t>
        </is>
      </c>
      <c r="G36" s="97" t="inlineStr">
        <is>
          <t>Normal</t>
        </is>
      </c>
      <c r="H36" s="97" t="inlineStr">
        <is>
          <t>Gizi Baik</t>
        </is>
      </c>
      <c r="I36" s="97" t="inlineStr">
        <is>
          <t>Ya</t>
        </is>
      </c>
      <c r="J36" s="97" t="inlineStr">
        <is>
          <t>Tidak</t>
        </is>
      </c>
    </row>
    <row r="37" ht="15.75" customHeight="1" s="95">
      <c r="A37" s="97" t="inlineStr">
        <is>
          <t>anonymus0036</t>
        </is>
      </c>
      <c r="B37" s="97" t="inlineStr">
        <is>
          <t xml:space="preserve">P </t>
        </is>
      </c>
      <c r="C37" s="97" t="inlineStr">
        <is>
          <t>35-69 Bulan</t>
        </is>
      </c>
      <c r="D37" s="97" t="inlineStr">
        <is>
          <t>23.8</t>
        </is>
      </c>
      <c r="E37" s="97" t="n">
        <v>105</v>
      </c>
      <c r="F37" s="97" t="inlineStr">
        <is>
          <t>Risiko Lebih</t>
        </is>
      </c>
      <c r="G37" s="97" t="inlineStr">
        <is>
          <t>Normal</t>
        </is>
      </c>
      <c r="H37" s="97" t="inlineStr">
        <is>
          <t>Obesitas</t>
        </is>
      </c>
      <c r="I37" s="97" t="inlineStr">
        <is>
          <t>Ya</t>
        </is>
      </c>
      <c r="J37" s="97" t="inlineStr">
        <is>
          <t>Tidak</t>
        </is>
      </c>
    </row>
    <row r="38" ht="15.75" customHeight="1" s="95">
      <c r="A38" s="97" t="inlineStr">
        <is>
          <t>anonymus0037</t>
        </is>
      </c>
      <c r="B38" s="97" t="inlineStr">
        <is>
          <t xml:space="preserve">P </t>
        </is>
      </c>
      <c r="C38" s="97" t="inlineStr">
        <is>
          <t>1-34 Bulan</t>
        </is>
      </c>
      <c r="D38" s="97" t="inlineStr">
        <is>
          <t>12.5</t>
        </is>
      </c>
      <c r="E38" s="97" t="n">
        <v>91</v>
      </c>
      <c r="F38" s="97" t="inlineStr">
        <is>
          <t>Normal</t>
        </is>
      </c>
      <c r="G38" s="97" t="inlineStr">
        <is>
          <t>Normal</t>
        </is>
      </c>
      <c r="H38" s="97" t="inlineStr">
        <is>
          <t>Gizi Baik</t>
        </is>
      </c>
      <c r="I38" s="97" t="inlineStr">
        <is>
          <t>Ya</t>
        </is>
      </c>
      <c r="J38" s="97" t="inlineStr">
        <is>
          <t>Tidak</t>
        </is>
      </c>
    </row>
    <row r="39" ht="15.75" customHeight="1" s="95">
      <c r="A39" s="97" t="inlineStr">
        <is>
          <t>anonymus0038</t>
        </is>
      </c>
      <c r="B39" s="97" t="inlineStr">
        <is>
          <t>P</t>
        </is>
      </c>
      <c r="C39" s="97" t="inlineStr">
        <is>
          <t>1-34 Bulan</t>
        </is>
      </c>
      <c r="D39" s="97" t="n">
        <v>6.6</v>
      </c>
      <c r="E39" s="97" t="n">
        <v>71</v>
      </c>
      <c r="F39" s="97" t="inlineStr">
        <is>
          <t>Kurang</t>
        </is>
      </c>
      <c r="G39" s="97" t="inlineStr">
        <is>
          <t>Normal</t>
        </is>
      </c>
      <c r="H39" s="97" t="inlineStr">
        <is>
          <t>Gizi Kurang</t>
        </is>
      </c>
      <c r="I39" s="97" t="inlineStr">
        <is>
          <t>Ya</t>
        </is>
      </c>
      <c r="J39" s="97" t="inlineStr">
        <is>
          <t>Tidak</t>
        </is>
      </c>
    </row>
    <row r="40" ht="15.75" customHeight="1" s="95">
      <c r="A40" s="97" t="inlineStr">
        <is>
          <t>anonymus0039</t>
        </is>
      </c>
      <c r="B40" s="97" t="inlineStr">
        <is>
          <t>P</t>
        </is>
      </c>
      <c r="C40" s="97" t="inlineStr">
        <is>
          <t>35-69 Bulan</t>
        </is>
      </c>
      <c r="D40" s="97" t="n">
        <v>12.8</v>
      </c>
      <c r="E40" s="97" t="n">
        <v>111</v>
      </c>
      <c r="F40" s="97" t="inlineStr">
        <is>
          <t>Normal</t>
        </is>
      </c>
      <c r="G40" s="97" t="inlineStr">
        <is>
          <t>Normal</t>
        </is>
      </c>
      <c r="H40" s="97" t="inlineStr">
        <is>
          <t>Gizi Baik</t>
        </is>
      </c>
      <c r="I40" s="97" t="inlineStr">
        <is>
          <t>Ya</t>
        </is>
      </c>
      <c r="J40" s="97" t="inlineStr">
        <is>
          <t>Tidak</t>
        </is>
      </c>
    </row>
    <row r="41" ht="15.75" customHeight="1" s="95">
      <c r="A41" s="97" t="inlineStr">
        <is>
          <t>anonymus0040</t>
        </is>
      </c>
      <c r="B41" s="97" t="inlineStr">
        <is>
          <t xml:space="preserve">L </t>
        </is>
      </c>
      <c r="C41" s="97" t="inlineStr">
        <is>
          <t>35-69 Bulan</t>
        </is>
      </c>
      <c r="D41" s="97" t="inlineStr">
        <is>
          <t>18.3</t>
        </is>
      </c>
      <c r="E41" s="97" t="n">
        <v>110</v>
      </c>
      <c r="F41" s="97" t="inlineStr">
        <is>
          <t>Normal</t>
        </is>
      </c>
      <c r="G41" s="97" t="inlineStr">
        <is>
          <t>Normal</t>
        </is>
      </c>
      <c r="H41" s="97" t="inlineStr">
        <is>
          <t>Gizi Baik</t>
        </is>
      </c>
      <c r="I41" s="97" t="inlineStr">
        <is>
          <t>Ya</t>
        </is>
      </c>
      <c r="J41" s="97" t="inlineStr">
        <is>
          <t>Tidak</t>
        </is>
      </c>
    </row>
    <row r="42" ht="15.75" customHeight="1" s="95">
      <c r="A42" s="97" t="inlineStr">
        <is>
          <t>anonymus0041</t>
        </is>
      </c>
      <c r="B42" s="97" t="inlineStr">
        <is>
          <t xml:space="preserve">L </t>
        </is>
      </c>
      <c r="C42" s="97" t="inlineStr">
        <is>
          <t>35-69 Bulan</t>
        </is>
      </c>
      <c r="D42" s="97" t="inlineStr">
        <is>
          <t>16.5</t>
        </is>
      </c>
      <c r="E42" s="97" t="n">
        <v>100</v>
      </c>
      <c r="F42" s="97" t="inlineStr">
        <is>
          <t>Normal</t>
        </is>
      </c>
      <c r="G42" s="97" t="inlineStr">
        <is>
          <t>Normal</t>
        </is>
      </c>
      <c r="H42" s="97" t="inlineStr">
        <is>
          <t>Gizi Baik</t>
        </is>
      </c>
      <c r="I42" s="97" t="inlineStr">
        <is>
          <t>Ya</t>
        </is>
      </c>
      <c r="J42" s="97" t="inlineStr">
        <is>
          <t>Tidak</t>
        </is>
      </c>
    </row>
    <row r="43" ht="15.75" customHeight="1" s="95">
      <c r="A43" s="97" t="inlineStr">
        <is>
          <t>anonymus0042</t>
        </is>
      </c>
      <c r="B43" s="97" t="inlineStr">
        <is>
          <t>L</t>
        </is>
      </c>
      <c r="C43" s="97" t="inlineStr">
        <is>
          <t>1-34 Bulan</t>
        </is>
      </c>
      <c r="D43" s="97" t="n">
        <v>10.2</v>
      </c>
      <c r="E43" s="97" t="n">
        <v>87</v>
      </c>
      <c r="F43" s="97" t="inlineStr">
        <is>
          <t>Normal</t>
        </is>
      </c>
      <c r="G43" s="97" t="inlineStr">
        <is>
          <t>Normal</t>
        </is>
      </c>
      <c r="H43" s="97" t="inlineStr">
        <is>
          <t>Gizi Kurang</t>
        </is>
      </c>
      <c r="I43" s="97" t="inlineStr">
        <is>
          <t>Ya</t>
        </is>
      </c>
      <c r="J43" s="97" t="inlineStr">
        <is>
          <t>Tidak</t>
        </is>
      </c>
    </row>
    <row r="44" ht="15.75" customHeight="1" s="95">
      <c r="A44" s="97" t="inlineStr">
        <is>
          <t>anonymus0043</t>
        </is>
      </c>
      <c r="B44" s="97" t="inlineStr">
        <is>
          <t xml:space="preserve">L </t>
        </is>
      </c>
      <c r="C44" s="97" t="inlineStr">
        <is>
          <t>35-69 Bulan</t>
        </is>
      </c>
      <c r="D44" s="97" t="n">
        <v>13</v>
      </c>
      <c r="E44" s="97" t="n">
        <v>96</v>
      </c>
      <c r="F44" s="97" t="inlineStr">
        <is>
          <t>Normal</t>
        </is>
      </c>
      <c r="G44" s="97" t="inlineStr">
        <is>
          <t>Normal</t>
        </is>
      </c>
      <c r="H44" s="97" t="inlineStr">
        <is>
          <t>Gizi Baik</t>
        </is>
      </c>
      <c r="I44" s="97" t="inlineStr">
        <is>
          <t>Ya</t>
        </is>
      </c>
      <c r="J44" s="97" t="inlineStr">
        <is>
          <t>Tidak</t>
        </is>
      </c>
    </row>
    <row r="45" ht="15.75" customHeight="1" s="95">
      <c r="A45" s="97" t="inlineStr">
        <is>
          <t>anonymus0044</t>
        </is>
      </c>
      <c r="B45" s="97" t="inlineStr">
        <is>
          <t>P</t>
        </is>
      </c>
      <c r="C45" s="97" t="inlineStr">
        <is>
          <t>1-34 Bulan</t>
        </is>
      </c>
      <c r="D45" s="97" t="n">
        <v>11.5</v>
      </c>
      <c r="E45" s="97" t="n">
        <v>100</v>
      </c>
      <c r="F45" s="97" t="inlineStr">
        <is>
          <t>Normal</t>
        </is>
      </c>
      <c r="G45" s="97" t="inlineStr">
        <is>
          <t>Normal</t>
        </is>
      </c>
      <c r="H45" s="97" t="inlineStr">
        <is>
          <t>Gizi Baik</t>
        </is>
      </c>
      <c r="I45" s="97" t="inlineStr">
        <is>
          <t>Ya</t>
        </is>
      </c>
      <c r="J45" s="97" t="inlineStr">
        <is>
          <t>Tidak</t>
        </is>
      </c>
    </row>
    <row r="46" ht="15.75" customHeight="1" s="95">
      <c r="A46" s="97" t="inlineStr">
        <is>
          <t>anonymus0045</t>
        </is>
      </c>
      <c r="B46" s="97" t="inlineStr">
        <is>
          <t>P</t>
        </is>
      </c>
      <c r="C46" s="97" t="inlineStr">
        <is>
          <t>1-34 Bulan</t>
        </is>
      </c>
      <c r="D46" s="97" t="n">
        <v>8.199999999999999</v>
      </c>
      <c r="E46" s="97" t="n">
        <v>70</v>
      </c>
      <c r="F46" s="97" t="inlineStr">
        <is>
          <t>Kurang</t>
        </is>
      </c>
      <c r="G46" s="97" t="inlineStr">
        <is>
          <t>Normal</t>
        </is>
      </c>
      <c r="H46" s="97" t="inlineStr">
        <is>
          <t>Gizi Kurang</t>
        </is>
      </c>
      <c r="I46" s="97" t="inlineStr">
        <is>
          <t>Ya</t>
        </is>
      </c>
      <c r="J46" s="97" t="inlineStr">
        <is>
          <t>Tidak</t>
        </is>
      </c>
    </row>
    <row r="47" ht="15.75" customHeight="1" s="95">
      <c r="A47" s="97" t="inlineStr">
        <is>
          <t>anonymus0046</t>
        </is>
      </c>
      <c r="B47" s="97" t="inlineStr">
        <is>
          <t>P</t>
        </is>
      </c>
      <c r="C47" s="97" t="inlineStr">
        <is>
          <t>35-69 Bulan</t>
        </is>
      </c>
      <c r="D47" s="97" t="n">
        <v>18.1</v>
      </c>
      <c r="E47" s="97" t="n">
        <v>91</v>
      </c>
      <c r="F47" s="97" t="inlineStr">
        <is>
          <t>Risiko Lebih</t>
        </is>
      </c>
      <c r="G47" s="97" t="inlineStr">
        <is>
          <t>Normal</t>
        </is>
      </c>
      <c r="H47" s="97" t="inlineStr">
        <is>
          <t>Gizi Lebih</t>
        </is>
      </c>
      <c r="I47" s="97" t="inlineStr">
        <is>
          <t>Ya</t>
        </is>
      </c>
      <c r="J47" s="97" t="inlineStr">
        <is>
          <t>Tidak</t>
        </is>
      </c>
    </row>
    <row r="48" ht="15.75" customHeight="1" s="95">
      <c r="A48" s="97" t="inlineStr">
        <is>
          <t>anonymus0047</t>
        </is>
      </c>
      <c r="B48" s="97" t="inlineStr">
        <is>
          <t xml:space="preserve">P </t>
        </is>
      </c>
      <c r="C48" s="97" t="inlineStr">
        <is>
          <t>35-69 Bulan</t>
        </is>
      </c>
      <c r="D48" s="97" t="n">
        <v>10</v>
      </c>
      <c r="E48" s="97" t="n">
        <v>87</v>
      </c>
      <c r="F48" s="97" t="inlineStr">
        <is>
          <t>Sangat Kurang</t>
        </is>
      </c>
      <c r="G48" s="97" t="inlineStr">
        <is>
          <t>Pendek</t>
        </is>
      </c>
      <c r="H48" s="97" t="inlineStr">
        <is>
          <t>Gizi Kurang</t>
        </is>
      </c>
      <c r="I48" s="97" t="inlineStr">
        <is>
          <t>Ya</t>
        </is>
      </c>
      <c r="J48" s="97" t="inlineStr">
        <is>
          <t>Potensi Stunting</t>
        </is>
      </c>
    </row>
    <row r="49" ht="15.75" customHeight="1" s="95">
      <c r="A49" s="97" t="inlineStr">
        <is>
          <t>anonymus0048</t>
        </is>
      </c>
      <c r="B49" s="97" t="inlineStr">
        <is>
          <t>P</t>
        </is>
      </c>
      <c r="C49" s="97" t="inlineStr">
        <is>
          <t>1-34 Bulan</t>
        </is>
      </c>
      <c r="D49" s="97" t="n">
        <v>7</v>
      </c>
      <c r="E49" s="97" t="n">
        <v>78</v>
      </c>
      <c r="F49" s="97" t="inlineStr">
        <is>
          <t>Kurang</t>
        </is>
      </c>
      <c r="G49" s="97" t="inlineStr">
        <is>
          <t>Normal</t>
        </is>
      </c>
      <c r="H49" s="97" t="inlineStr">
        <is>
          <t>Gizi Kurang</t>
        </is>
      </c>
      <c r="I49" s="97" t="inlineStr">
        <is>
          <t>Ya</t>
        </is>
      </c>
      <c r="J49" s="97" t="inlineStr">
        <is>
          <t>Tidak</t>
        </is>
      </c>
    </row>
    <row r="50" ht="15.75" customHeight="1" s="95">
      <c r="A50" s="97" t="inlineStr">
        <is>
          <t>anonymus0049</t>
        </is>
      </c>
      <c r="B50" s="97" t="inlineStr">
        <is>
          <t>L</t>
        </is>
      </c>
      <c r="C50" s="97" t="inlineStr">
        <is>
          <t>1-34 Bulan</t>
        </is>
      </c>
      <c r="D50" s="97" t="n">
        <v>8.300000000000001</v>
      </c>
      <c r="E50" s="97" t="n">
        <v>77</v>
      </c>
      <c r="F50" s="97" t="inlineStr">
        <is>
          <t>Kurang</t>
        </is>
      </c>
      <c r="G50" s="97" t="inlineStr">
        <is>
          <t>Pendek</t>
        </is>
      </c>
      <c r="H50" s="97" t="inlineStr">
        <is>
          <t>Gizi Kurang</t>
        </is>
      </c>
      <c r="I50" s="97" t="inlineStr">
        <is>
          <t>Ya</t>
        </is>
      </c>
      <c r="J50" s="97" t="inlineStr">
        <is>
          <t>Potensi Stunting</t>
        </is>
      </c>
    </row>
    <row r="51" ht="15.75" customHeight="1" s="95">
      <c r="A51" s="97" t="inlineStr">
        <is>
          <t>anonymus0050</t>
        </is>
      </c>
      <c r="B51" s="97" t="inlineStr">
        <is>
          <t>L</t>
        </is>
      </c>
      <c r="C51" s="97" t="inlineStr">
        <is>
          <t>1-34 Bulan</t>
        </is>
      </c>
      <c r="D51" s="97" t="n">
        <v>6.1</v>
      </c>
      <c r="E51" s="97" t="n">
        <v>96</v>
      </c>
      <c r="F51" s="97" t="inlineStr">
        <is>
          <t>Kurang</t>
        </is>
      </c>
      <c r="G51" s="97" t="inlineStr">
        <is>
          <t>Normal</t>
        </is>
      </c>
      <c r="H51" s="97" t="inlineStr">
        <is>
          <t>Gizi Kurang</t>
        </is>
      </c>
      <c r="I51" s="97" t="inlineStr">
        <is>
          <t>Ya</t>
        </is>
      </c>
      <c r="J51" s="97" t="inlineStr">
        <is>
          <t>Tidak</t>
        </is>
      </c>
    </row>
    <row r="52" ht="15.75" customHeight="1" s="95">
      <c r="A52" s="97" t="inlineStr">
        <is>
          <t>anonymus0051</t>
        </is>
      </c>
      <c r="B52" s="97" t="inlineStr">
        <is>
          <t>L</t>
        </is>
      </c>
      <c r="C52" s="97" t="inlineStr">
        <is>
          <t>35-69 Bulan</t>
        </is>
      </c>
      <c r="D52" s="97" t="n">
        <v>6.7</v>
      </c>
      <c r="E52" s="97" t="n">
        <v>65</v>
      </c>
      <c r="F52" s="97" t="inlineStr">
        <is>
          <t>Sangat Kurang</t>
        </is>
      </c>
      <c r="G52" s="97" t="inlineStr">
        <is>
          <t>Sangat Pendek</t>
        </is>
      </c>
      <c r="H52" s="97" t="inlineStr">
        <is>
          <t>Gizi Baik</t>
        </is>
      </c>
      <c r="I52" s="97" t="inlineStr">
        <is>
          <t>Ya</t>
        </is>
      </c>
      <c r="J52" s="97" t="inlineStr">
        <is>
          <t>Stunting</t>
        </is>
      </c>
    </row>
    <row r="53" ht="15.75" customHeight="1" s="95">
      <c r="A53" s="97" t="inlineStr">
        <is>
          <t>anonymus0052</t>
        </is>
      </c>
      <c r="B53" s="97" t="inlineStr">
        <is>
          <t xml:space="preserve">P </t>
        </is>
      </c>
      <c r="C53" s="97" t="inlineStr">
        <is>
          <t>1-34 Bulan</t>
        </is>
      </c>
      <c r="D53" s="97" t="inlineStr">
        <is>
          <t>7.6</t>
        </is>
      </c>
      <c r="E53" s="97" t="n">
        <v>72</v>
      </c>
      <c r="F53" s="97" t="inlineStr">
        <is>
          <t>Kurang</t>
        </is>
      </c>
      <c r="G53" s="97" t="inlineStr">
        <is>
          <t>Pendek</t>
        </is>
      </c>
      <c r="H53" s="97" t="inlineStr">
        <is>
          <t>Gizi Baik</t>
        </is>
      </c>
      <c r="I53" s="97" t="inlineStr">
        <is>
          <t>Ya</t>
        </is>
      </c>
      <c r="J53" s="97" t="inlineStr">
        <is>
          <t>Potensi Stunting</t>
        </is>
      </c>
    </row>
    <row r="54" ht="15.75" customHeight="1" s="95">
      <c r="A54" s="97" t="inlineStr">
        <is>
          <t>anonymus0053</t>
        </is>
      </c>
      <c r="B54" s="97" t="inlineStr">
        <is>
          <t xml:space="preserve">P </t>
        </is>
      </c>
      <c r="C54" s="97" t="inlineStr">
        <is>
          <t>1-34 Bulan</t>
        </is>
      </c>
      <c r="D54" s="97" t="inlineStr">
        <is>
          <t>8.6</t>
        </is>
      </c>
      <c r="E54" s="97" t="n">
        <v>73</v>
      </c>
      <c r="F54" s="97" t="inlineStr">
        <is>
          <t>Normal</t>
        </is>
      </c>
      <c r="G54" s="97" t="inlineStr">
        <is>
          <t>Normal</t>
        </is>
      </c>
      <c r="H54" s="97" t="inlineStr">
        <is>
          <t>Gizi Baik</t>
        </is>
      </c>
      <c r="I54" s="97" t="inlineStr">
        <is>
          <t>Ya</t>
        </is>
      </c>
      <c r="J54" s="97" t="inlineStr">
        <is>
          <t>Tidak</t>
        </is>
      </c>
    </row>
    <row r="55" ht="15.75" customHeight="1" s="95">
      <c r="A55" s="97" t="inlineStr">
        <is>
          <t>anonymus0054</t>
        </is>
      </c>
      <c r="B55" s="97" t="inlineStr">
        <is>
          <t>P</t>
        </is>
      </c>
      <c r="C55" s="97" t="inlineStr">
        <is>
          <t>35-69 Bulan</t>
        </is>
      </c>
      <c r="D55" s="97" t="n">
        <v>7.7</v>
      </c>
      <c r="E55" s="97" t="n">
        <v>76</v>
      </c>
      <c r="F55" s="97" t="inlineStr">
        <is>
          <t>Sangat Kurang</t>
        </is>
      </c>
      <c r="G55" s="97" t="inlineStr">
        <is>
          <t>Sangat Pendek</t>
        </is>
      </c>
      <c r="H55" s="97" t="inlineStr">
        <is>
          <t>Gizi Kurang</t>
        </is>
      </c>
      <c r="I55" s="97" t="inlineStr">
        <is>
          <t>Ya</t>
        </is>
      </c>
      <c r="J55" s="97" t="inlineStr">
        <is>
          <t>Stunting</t>
        </is>
      </c>
    </row>
    <row r="56" ht="15.75" customHeight="1" s="95">
      <c r="A56" s="97" t="inlineStr">
        <is>
          <t>anonymus0055</t>
        </is>
      </c>
      <c r="B56" s="97" t="inlineStr">
        <is>
          <t>L</t>
        </is>
      </c>
      <c r="C56" s="97" t="inlineStr">
        <is>
          <t>1-34 Bulan</t>
        </is>
      </c>
      <c r="D56" s="97" t="n">
        <v>7.6</v>
      </c>
      <c r="E56" s="97" t="n">
        <v>76</v>
      </c>
      <c r="F56" s="97" t="inlineStr">
        <is>
          <t>Kurang</t>
        </is>
      </c>
      <c r="G56" s="97" t="inlineStr">
        <is>
          <t>Normal</t>
        </is>
      </c>
      <c r="H56" s="97" t="inlineStr">
        <is>
          <t>Gizi Kurang</t>
        </is>
      </c>
      <c r="I56" s="97" t="inlineStr">
        <is>
          <t>Ya</t>
        </is>
      </c>
      <c r="J56" s="97" t="inlineStr">
        <is>
          <t>Tidak</t>
        </is>
      </c>
    </row>
    <row r="57" ht="15.75" customHeight="1" s="95">
      <c r="A57" s="97" t="inlineStr">
        <is>
          <t>anonymus0056</t>
        </is>
      </c>
      <c r="B57" s="97" t="inlineStr">
        <is>
          <t>L</t>
        </is>
      </c>
      <c r="C57" s="97" t="inlineStr">
        <is>
          <t>1-34 Bulan</t>
        </is>
      </c>
      <c r="D57" s="97" t="n">
        <v>11.1</v>
      </c>
      <c r="E57" s="97" t="n">
        <v>91</v>
      </c>
      <c r="F57" s="97" t="inlineStr">
        <is>
          <t>Normal</t>
        </is>
      </c>
      <c r="G57" s="97" t="inlineStr">
        <is>
          <t>Normal</t>
        </is>
      </c>
      <c r="H57" s="97" t="inlineStr">
        <is>
          <t>Gizi Kurang</t>
        </is>
      </c>
      <c r="I57" s="97" t="inlineStr">
        <is>
          <t>Ya</t>
        </is>
      </c>
      <c r="J57" s="97" t="inlineStr">
        <is>
          <t>Tidak</t>
        </is>
      </c>
    </row>
    <row r="58" ht="15.75" customHeight="1" s="95">
      <c r="A58" s="97" t="inlineStr">
        <is>
          <t>anonymus0057</t>
        </is>
      </c>
      <c r="B58" s="97" t="inlineStr">
        <is>
          <t>P</t>
        </is>
      </c>
      <c r="C58" s="97" t="inlineStr">
        <is>
          <t>35-69 Bulan</t>
        </is>
      </c>
      <c r="D58" s="97" t="n">
        <v>16.3</v>
      </c>
      <c r="E58" s="97" t="n">
        <v>105</v>
      </c>
      <c r="F58" s="97" t="inlineStr">
        <is>
          <t>Normal</t>
        </is>
      </c>
      <c r="G58" s="97" t="inlineStr">
        <is>
          <t>Normal</t>
        </is>
      </c>
      <c r="H58" s="97" t="inlineStr">
        <is>
          <t>Gizi Baik</t>
        </is>
      </c>
      <c r="I58" s="97" t="inlineStr">
        <is>
          <t>Ya</t>
        </is>
      </c>
      <c r="J58" s="97" t="inlineStr">
        <is>
          <t>Tidak</t>
        </is>
      </c>
    </row>
    <row r="59" ht="15.75" customHeight="1" s="95">
      <c r="A59" s="97" t="inlineStr">
        <is>
          <t>anonymus0058</t>
        </is>
      </c>
      <c r="B59" s="97" t="inlineStr">
        <is>
          <t xml:space="preserve">L </t>
        </is>
      </c>
      <c r="C59" s="97" t="inlineStr">
        <is>
          <t>1-34 Bulan</t>
        </is>
      </c>
      <c r="D59" s="97" t="inlineStr">
        <is>
          <t>9.6</t>
        </is>
      </c>
      <c r="E59" s="97" t="n">
        <v>75</v>
      </c>
      <c r="F59" s="97" t="inlineStr">
        <is>
          <t>Kurang</t>
        </is>
      </c>
      <c r="G59" s="97" t="inlineStr">
        <is>
          <t>Sangat Pendek</t>
        </is>
      </c>
      <c r="H59" s="97" t="inlineStr">
        <is>
          <t>Gizi Baik</t>
        </is>
      </c>
      <c r="I59" s="97" t="inlineStr">
        <is>
          <t>Ya</t>
        </is>
      </c>
      <c r="J59" s="97" t="inlineStr">
        <is>
          <t>Stunting</t>
        </is>
      </c>
    </row>
    <row r="60" ht="15.75" customHeight="1" s="95">
      <c r="A60" s="97" t="inlineStr">
        <is>
          <t>anonymus0059</t>
        </is>
      </c>
      <c r="B60" s="97" t="inlineStr">
        <is>
          <t>L</t>
        </is>
      </c>
      <c r="C60" s="97" t="inlineStr">
        <is>
          <t>1-34 Bulan</t>
        </is>
      </c>
      <c r="D60" s="97" t="n">
        <v>9.5</v>
      </c>
      <c r="E60" s="97" t="n">
        <v>72</v>
      </c>
      <c r="F60" s="97" t="inlineStr">
        <is>
          <t>Normal</t>
        </is>
      </c>
      <c r="G60" s="97" t="inlineStr">
        <is>
          <t>Normal</t>
        </is>
      </c>
      <c r="H60" s="97" t="inlineStr">
        <is>
          <t>Gizi Baik</t>
        </is>
      </c>
      <c r="I60" s="97" t="inlineStr">
        <is>
          <t>Ya</t>
        </is>
      </c>
      <c r="J60" s="97" t="inlineStr">
        <is>
          <t>Tidak</t>
        </is>
      </c>
    </row>
    <row r="61" ht="15.75" customHeight="1" s="95">
      <c r="A61" s="97" t="inlineStr">
        <is>
          <t>anonymus0060</t>
        </is>
      </c>
      <c r="B61" s="97" t="inlineStr">
        <is>
          <t>L</t>
        </is>
      </c>
      <c r="C61" s="97" t="inlineStr">
        <is>
          <t>1-34 Bulan</t>
        </is>
      </c>
      <c r="D61" s="97" t="n">
        <v>6.2</v>
      </c>
      <c r="E61" s="97" t="n">
        <v>97</v>
      </c>
      <c r="F61" s="97" t="inlineStr">
        <is>
          <t>Kurang</t>
        </is>
      </c>
      <c r="G61" s="97" t="inlineStr">
        <is>
          <t>Normal</t>
        </is>
      </c>
      <c r="H61" s="97" t="inlineStr">
        <is>
          <t>Gizi Kurang</t>
        </is>
      </c>
      <c r="I61" s="97" t="inlineStr">
        <is>
          <t>Ya</t>
        </is>
      </c>
      <c r="J61" s="97" t="inlineStr">
        <is>
          <t>Tidak</t>
        </is>
      </c>
    </row>
    <row r="62" ht="15.75" customHeight="1" s="95">
      <c r="A62" s="97" t="inlineStr">
        <is>
          <t>anonymus0061</t>
        </is>
      </c>
      <c r="B62" s="97" t="inlineStr">
        <is>
          <t>L</t>
        </is>
      </c>
      <c r="C62" s="97" t="inlineStr">
        <is>
          <t>35-69 Bulan</t>
        </is>
      </c>
      <c r="D62" s="97" t="n">
        <v>14.4</v>
      </c>
      <c r="E62" s="97" t="n">
        <v>100</v>
      </c>
      <c r="F62" s="97" t="inlineStr">
        <is>
          <t>Normal</t>
        </is>
      </c>
      <c r="G62" s="97" t="inlineStr">
        <is>
          <t>Normal</t>
        </is>
      </c>
      <c r="H62" s="97" t="inlineStr">
        <is>
          <t>Gizi Baik</t>
        </is>
      </c>
      <c r="I62" s="97" t="inlineStr">
        <is>
          <t>Ya</t>
        </is>
      </c>
      <c r="J62" s="97" t="inlineStr">
        <is>
          <t>Tidak</t>
        </is>
      </c>
    </row>
    <row r="63" ht="15.75" customHeight="1" s="95">
      <c r="A63" s="97" t="inlineStr">
        <is>
          <t>anonymus0062</t>
        </is>
      </c>
      <c r="B63" s="97" t="inlineStr">
        <is>
          <t xml:space="preserve">P </t>
        </is>
      </c>
      <c r="C63" s="97" t="inlineStr">
        <is>
          <t>1-34 Bulan</t>
        </is>
      </c>
      <c r="D63" s="97" t="inlineStr">
        <is>
          <t>7.1</t>
        </is>
      </c>
      <c r="E63" s="97" t="n">
        <v>76</v>
      </c>
      <c r="F63" s="97" t="inlineStr">
        <is>
          <t>Sangat Kurang</t>
        </is>
      </c>
      <c r="G63" s="97" t="inlineStr">
        <is>
          <t>Pendek</t>
        </is>
      </c>
      <c r="H63" s="97" t="inlineStr">
        <is>
          <t>Gizi Kurang</t>
        </is>
      </c>
      <c r="I63" s="97" t="inlineStr">
        <is>
          <t>Ya</t>
        </is>
      </c>
      <c r="J63" s="97" t="inlineStr">
        <is>
          <t>Potensi Stunting</t>
        </is>
      </c>
    </row>
    <row r="64" ht="15.75" customHeight="1" s="95">
      <c r="A64" s="97" t="inlineStr">
        <is>
          <t>anonymus0063</t>
        </is>
      </c>
      <c r="B64" s="97" t="inlineStr">
        <is>
          <t>L</t>
        </is>
      </c>
      <c r="C64" s="97" t="inlineStr">
        <is>
          <t>1-34 Bulan</t>
        </is>
      </c>
      <c r="D64" s="97" t="n">
        <v>14.7</v>
      </c>
      <c r="E64" s="97" t="n">
        <v>90</v>
      </c>
      <c r="F64" s="97" t="inlineStr">
        <is>
          <t>Normal</t>
        </is>
      </c>
      <c r="G64" s="97" t="inlineStr">
        <is>
          <t>Normal</t>
        </is>
      </c>
      <c r="H64" s="97" t="inlineStr">
        <is>
          <t>Gizi Baik</t>
        </is>
      </c>
      <c r="I64" s="97" t="inlineStr">
        <is>
          <t>Ya</t>
        </is>
      </c>
      <c r="J64" s="97" t="inlineStr">
        <is>
          <t>Tidak</t>
        </is>
      </c>
    </row>
    <row r="65" ht="15.75" customHeight="1" s="95">
      <c r="A65" s="97" t="inlineStr">
        <is>
          <t>anonymus0064</t>
        </is>
      </c>
      <c r="B65" s="97" t="inlineStr">
        <is>
          <t xml:space="preserve">L </t>
        </is>
      </c>
      <c r="C65" s="97" t="inlineStr">
        <is>
          <t>35-69 Bulan</t>
        </is>
      </c>
      <c r="D65" s="97" t="inlineStr">
        <is>
          <t>14.5</t>
        </is>
      </c>
      <c r="E65" s="97" t="n">
        <v>96</v>
      </c>
      <c r="F65" s="97" t="inlineStr">
        <is>
          <t>Normal</t>
        </is>
      </c>
      <c r="G65" s="97" t="inlineStr">
        <is>
          <t>Normal</t>
        </is>
      </c>
      <c r="H65" s="97" t="inlineStr">
        <is>
          <t>Gizi Baik</t>
        </is>
      </c>
      <c r="I65" s="97" t="inlineStr">
        <is>
          <t>Ya</t>
        </is>
      </c>
      <c r="J65" s="97" t="inlineStr">
        <is>
          <t>Tidak</t>
        </is>
      </c>
    </row>
    <row r="66" ht="15.75" customHeight="1" s="95">
      <c r="A66" s="97" t="inlineStr">
        <is>
          <t>anonymus0065</t>
        </is>
      </c>
      <c r="B66" s="97" t="inlineStr">
        <is>
          <t xml:space="preserve">P </t>
        </is>
      </c>
      <c r="C66" s="97" t="inlineStr">
        <is>
          <t>35-69 Bulan</t>
        </is>
      </c>
      <c r="D66" s="97" t="inlineStr">
        <is>
          <t>15.3</t>
        </is>
      </c>
      <c r="E66" s="97" t="n">
        <v>98</v>
      </c>
      <c r="F66" s="97" t="inlineStr">
        <is>
          <t>Normal</t>
        </is>
      </c>
      <c r="G66" s="97" t="inlineStr">
        <is>
          <t>Normal</t>
        </is>
      </c>
      <c r="H66" s="97" t="inlineStr">
        <is>
          <t>Gizi Baik</t>
        </is>
      </c>
      <c r="I66" s="97" t="inlineStr">
        <is>
          <t>Ya</t>
        </is>
      </c>
      <c r="J66" s="97" t="inlineStr">
        <is>
          <t>Tidak</t>
        </is>
      </c>
    </row>
    <row r="67" ht="15.75" customHeight="1" s="95">
      <c r="A67" s="97" t="inlineStr">
        <is>
          <t>anonymus0066</t>
        </is>
      </c>
      <c r="B67" s="97" t="inlineStr">
        <is>
          <t>L</t>
        </is>
      </c>
      <c r="C67" s="97" t="inlineStr">
        <is>
          <t>35-69 Bulan</t>
        </is>
      </c>
      <c r="D67" s="97" t="n">
        <v>8.6</v>
      </c>
      <c r="E67" s="97" t="n">
        <v>76.09999999999999</v>
      </c>
      <c r="F67" s="97" t="inlineStr">
        <is>
          <t>Kurang</t>
        </is>
      </c>
      <c r="G67" s="97" t="inlineStr">
        <is>
          <t>Sangat Pendek</t>
        </is>
      </c>
      <c r="H67" s="97" t="inlineStr">
        <is>
          <t>Gizi Baik</t>
        </is>
      </c>
      <c r="I67" s="97" t="inlineStr">
        <is>
          <t>Ya</t>
        </is>
      </c>
      <c r="J67" s="97" t="inlineStr">
        <is>
          <t>Stunting</t>
        </is>
      </c>
    </row>
    <row r="68" ht="15.75" customHeight="1" s="95">
      <c r="A68" s="97" t="inlineStr">
        <is>
          <t>anonymus0067</t>
        </is>
      </c>
      <c r="B68" s="97" t="inlineStr">
        <is>
          <t xml:space="preserve">P </t>
        </is>
      </c>
      <c r="C68" s="97" t="inlineStr">
        <is>
          <t>35-69 Bulan</t>
        </is>
      </c>
      <c r="D68" s="97" t="inlineStr">
        <is>
          <t>15.6</t>
        </is>
      </c>
      <c r="E68" s="97" t="n">
        <v>99</v>
      </c>
      <c r="F68" s="97" t="inlineStr">
        <is>
          <t>Normal</t>
        </is>
      </c>
      <c r="G68" s="97" t="inlineStr">
        <is>
          <t>Normal</t>
        </is>
      </c>
      <c r="H68" s="97" t="inlineStr">
        <is>
          <t>Gizi Baik</t>
        </is>
      </c>
      <c r="I68" s="97" t="inlineStr">
        <is>
          <t>Ya</t>
        </is>
      </c>
      <c r="J68" s="97" t="inlineStr">
        <is>
          <t>Tidak</t>
        </is>
      </c>
    </row>
    <row r="69" ht="15.75" customHeight="1" s="95">
      <c r="A69" s="97" t="inlineStr">
        <is>
          <t>anonymus0068</t>
        </is>
      </c>
      <c r="B69" s="97" t="inlineStr">
        <is>
          <t>L</t>
        </is>
      </c>
      <c r="C69" s="97" t="inlineStr">
        <is>
          <t>1-34 Bulan</t>
        </is>
      </c>
      <c r="D69" s="97" t="n">
        <v>11.3</v>
      </c>
      <c r="E69" s="97" t="n">
        <v>82</v>
      </c>
      <c r="F69" s="97" t="inlineStr">
        <is>
          <t>Normal</t>
        </is>
      </c>
      <c r="G69" s="97" t="inlineStr">
        <is>
          <t>Normal</t>
        </is>
      </c>
      <c r="H69" s="97" t="inlineStr">
        <is>
          <t>Gizi Baik</t>
        </is>
      </c>
      <c r="I69" s="97" t="inlineStr">
        <is>
          <t>Ya</t>
        </is>
      </c>
      <c r="J69" s="97" t="inlineStr">
        <is>
          <t>Tidak</t>
        </is>
      </c>
    </row>
    <row r="70" ht="15.75" customHeight="1" s="95">
      <c r="A70" s="97" t="inlineStr">
        <is>
          <t>anonymus0069</t>
        </is>
      </c>
      <c r="B70" s="97" t="inlineStr">
        <is>
          <t>L</t>
        </is>
      </c>
      <c r="C70" s="97" t="inlineStr">
        <is>
          <t>1-34 Bulan</t>
        </is>
      </c>
      <c r="D70" s="97" t="n">
        <v>14.3</v>
      </c>
      <c r="E70" s="97" t="n">
        <v>89</v>
      </c>
      <c r="F70" s="97" t="inlineStr">
        <is>
          <t>Normal</t>
        </is>
      </c>
      <c r="G70" s="97" t="inlineStr">
        <is>
          <t>Normal</t>
        </is>
      </c>
      <c r="H70" s="97" t="inlineStr">
        <is>
          <t>Gizi Baik</t>
        </is>
      </c>
      <c r="I70" s="97" t="inlineStr">
        <is>
          <t>Ya</t>
        </is>
      </c>
      <c r="J70" s="97" t="inlineStr">
        <is>
          <t>Tidak</t>
        </is>
      </c>
    </row>
    <row r="71" ht="15.75" customHeight="1" s="95">
      <c r="A71" s="97" t="inlineStr">
        <is>
          <t>anonymus0070</t>
        </is>
      </c>
      <c r="B71" s="97" t="inlineStr">
        <is>
          <t>L</t>
        </is>
      </c>
      <c r="C71" s="97" t="inlineStr">
        <is>
          <t>35-69 Bulan</t>
        </is>
      </c>
      <c r="D71" s="97" t="n">
        <v>11.8</v>
      </c>
      <c r="E71" s="97" t="n">
        <v>92.5</v>
      </c>
      <c r="F71" s="97" t="inlineStr">
        <is>
          <t>Kurang</t>
        </is>
      </c>
      <c r="G71" s="97" t="inlineStr">
        <is>
          <t>Pendek</t>
        </is>
      </c>
      <c r="H71" s="97" t="inlineStr">
        <is>
          <t>Gizi Baik</t>
        </is>
      </c>
      <c r="I71" s="97" t="inlineStr">
        <is>
          <t>Ya</t>
        </is>
      </c>
      <c r="J71" s="97" t="inlineStr">
        <is>
          <t>Potensi Stunting</t>
        </is>
      </c>
    </row>
    <row r="72" ht="15.75" customHeight="1" s="95">
      <c r="A72" s="97" t="inlineStr">
        <is>
          <t>anonymus0071</t>
        </is>
      </c>
      <c r="B72" s="97" t="inlineStr">
        <is>
          <t xml:space="preserve">L </t>
        </is>
      </c>
      <c r="C72" s="97" t="inlineStr">
        <is>
          <t>35-69 Bulan</t>
        </is>
      </c>
      <c r="D72" s="97" t="inlineStr">
        <is>
          <t>16.1</t>
        </is>
      </c>
      <c r="E72" s="97" t="n">
        <v>100</v>
      </c>
      <c r="F72" s="97" t="inlineStr">
        <is>
          <t>Normal</t>
        </is>
      </c>
      <c r="G72" s="97" t="inlineStr">
        <is>
          <t>Normal</t>
        </is>
      </c>
      <c r="H72" s="97" t="inlineStr">
        <is>
          <t>Gizi Baik</t>
        </is>
      </c>
      <c r="I72" s="97" t="inlineStr">
        <is>
          <t>Ya</t>
        </is>
      </c>
      <c r="J72" s="97" t="inlineStr">
        <is>
          <t>Tidak</t>
        </is>
      </c>
    </row>
    <row r="73" ht="15.75" customHeight="1" s="95">
      <c r="A73" s="97" t="inlineStr">
        <is>
          <t>anonymus0072</t>
        </is>
      </c>
      <c r="B73" s="97" t="inlineStr">
        <is>
          <t>L</t>
        </is>
      </c>
      <c r="C73" s="97" t="inlineStr">
        <is>
          <t>1-34 Bulan</t>
        </is>
      </c>
      <c r="D73" s="97" t="n">
        <v>12.4</v>
      </c>
      <c r="E73" s="97" t="n">
        <v>88</v>
      </c>
      <c r="F73" s="97" t="inlineStr">
        <is>
          <t>Normal</t>
        </is>
      </c>
      <c r="G73" s="97" t="inlineStr">
        <is>
          <t>Normal</t>
        </is>
      </c>
      <c r="H73" s="97" t="inlineStr">
        <is>
          <t>Gizi Baik</t>
        </is>
      </c>
      <c r="I73" s="97" t="inlineStr">
        <is>
          <t>Ya</t>
        </is>
      </c>
      <c r="J73" s="97" t="inlineStr">
        <is>
          <t>Tidak</t>
        </is>
      </c>
    </row>
    <row r="74" ht="15.75" customHeight="1" s="95">
      <c r="A74" s="97" t="inlineStr">
        <is>
          <t>anonymus0073</t>
        </is>
      </c>
      <c r="B74" s="97" t="inlineStr">
        <is>
          <t>P</t>
        </is>
      </c>
      <c r="C74" s="97" t="inlineStr">
        <is>
          <t>35-69 Bulan</t>
        </is>
      </c>
      <c r="D74" s="97" t="n">
        <v>13.5</v>
      </c>
      <c r="E74" s="97" t="n">
        <v>120</v>
      </c>
      <c r="F74" s="97" t="inlineStr">
        <is>
          <t>Normal</t>
        </is>
      </c>
      <c r="G74" s="97" t="inlineStr">
        <is>
          <t>Normal</t>
        </is>
      </c>
      <c r="H74" s="97" t="inlineStr">
        <is>
          <t>Gizi Baik</t>
        </is>
      </c>
      <c r="I74" s="97" t="inlineStr">
        <is>
          <t>Ya</t>
        </is>
      </c>
      <c r="J74" s="97" t="inlineStr">
        <is>
          <t>Tidak</t>
        </is>
      </c>
    </row>
    <row r="75" ht="15.75" customHeight="1" s="95">
      <c r="A75" s="97" t="inlineStr">
        <is>
          <t>anonymus0074</t>
        </is>
      </c>
      <c r="B75" s="97" t="inlineStr">
        <is>
          <t>P</t>
        </is>
      </c>
      <c r="C75" s="97" t="inlineStr">
        <is>
          <t>35-69 Bulan</t>
        </is>
      </c>
      <c r="D75" s="97" t="n">
        <v>9.300000000000001</v>
      </c>
      <c r="E75" s="97" t="n">
        <v>69.2</v>
      </c>
      <c r="F75" s="97" t="inlineStr">
        <is>
          <t>Normal</t>
        </is>
      </c>
      <c r="G75" s="97" t="inlineStr">
        <is>
          <t>Pendek</t>
        </is>
      </c>
      <c r="H75" s="97" t="inlineStr">
        <is>
          <t>Risiko Gizi Lebih</t>
        </is>
      </c>
      <c r="I75" s="97" t="inlineStr">
        <is>
          <t>Ya</t>
        </is>
      </c>
      <c r="J75" s="97" t="inlineStr">
        <is>
          <t>Potensi Stunting</t>
        </is>
      </c>
    </row>
    <row r="76" ht="15.75" customHeight="1" s="95">
      <c r="A76" s="97" t="inlineStr">
        <is>
          <t>anonymus0075</t>
        </is>
      </c>
      <c r="B76" s="97" t="inlineStr">
        <is>
          <t>P</t>
        </is>
      </c>
      <c r="C76" s="97" t="inlineStr">
        <is>
          <t>35-69 Bulan</t>
        </is>
      </c>
      <c r="D76" s="97" t="n">
        <v>9.199999999999999</v>
      </c>
      <c r="E76" s="97" t="n">
        <v>79</v>
      </c>
      <c r="F76" s="97" t="inlineStr">
        <is>
          <t>Sangat Kurang</t>
        </is>
      </c>
      <c r="G76" s="97" t="inlineStr">
        <is>
          <t>Sangat Pendek</t>
        </is>
      </c>
      <c r="H76" s="97" t="inlineStr">
        <is>
          <t>Gizi Baik</t>
        </is>
      </c>
      <c r="I76" s="97" t="inlineStr">
        <is>
          <t>Ya</t>
        </is>
      </c>
      <c r="J76" s="97" t="inlineStr">
        <is>
          <t>Stunting</t>
        </is>
      </c>
    </row>
    <row r="77" ht="15.75" customHeight="1" s="95">
      <c r="A77" s="97" t="inlineStr">
        <is>
          <t>anonymus0076</t>
        </is>
      </c>
      <c r="B77" s="97" t="inlineStr">
        <is>
          <t>P</t>
        </is>
      </c>
      <c r="C77" s="97" t="inlineStr">
        <is>
          <t>1-34 Bulan</t>
        </is>
      </c>
      <c r="D77" s="97" t="n">
        <v>13.7</v>
      </c>
      <c r="E77" s="97" t="n">
        <v>89</v>
      </c>
      <c r="F77" s="97" t="inlineStr">
        <is>
          <t>Normal</t>
        </is>
      </c>
      <c r="G77" s="97" t="inlineStr">
        <is>
          <t>Normal</t>
        </is>
      </c>
      <c r="H77" s="97" t="inlineStr">
        <is>
          <t>Gizi Baik</t>
        </is>
      </c>
      <c r="I77" s="97" t="inlineStr">
        <is>
          <t>Ya</t>
        </is>
      </c>
      <c r="J77" s="97" t="inlineStr">
        <is>
          <t>Tidak</t>
        </is>
      </c>
    </row>
    <row r="78" ht="15.75" customHeight="1" s="95">
      <c r="A78" s="97" t="inlineStr">
        <is>
          <t>anonymus0077</t>
        </is>
      </c>
      <c r="B78" s="97" t="inlineStr">
        <is>
          <t>L</t>
        </is>
      </c>
      <c r="C78" s="97" t="inlineStr">
        <is>
          <t>1-34 Bulan</t>
        </is>
      </c>
      <c r="D78" s="97" t="n">
        <v>9.6</v>
      </c>
      <c r="E78" s="97" t="n">
        <v>75</v>
      </c>
      <c r="F78" s="97" t="inlineStr">
        <is>
          <t>Normal</t>
        </is>
      </c>
      <c r="G78" s="97" t="inlineStr">
        <is>
          <t>Pendek</t>
        </is>
      </c>
      <c r="H78" s="97" t="inlineStr">
        <is>
          <t>Gizi Baik</t>
        </is>
      </c>
      <c r="I78" s="97" t="inlineStr">
        <is>
          <t>Ya</t>
        </is>
      </c>
      <c r="J78" s="97" t="inlineStr">
        <is>
          <t>Potensi Stunting</t>
        </is>
      </c>
    </row>
    <row r="79" ht="15.75" customHeight="1" s="95">
      <c r="A79" s="97" t="inlineStr">
        <is>
          <t>anonymus0078</t>
        </is>
      </c>
      <c r="B79" s="97" t="inlineStr">
        <is>
          <t xml:space="preserve">P </t>
        </is>
      </c>
      <c r="C79" s="97" t="inlineStr">
        <is>
          <t>35-69 Bulan</t>
        </is>
      </c>
      <c r="D79" s="97" t="inlineStr">
        <is>
          <t>15.6</t>
        </is>
      </c>
      <c r="E79" s="97" t="n">
        <v>99</v>
      </c>
      <c r="F79" s="97" t="inlineStr">
        <is>
          <t>Normal</t>
        </is>
      </c>
      <c r="G79" s="97" t="inlineStr">
        <is>
          <t>Normal</t>
        </is>
      </c>
      <c r="H79" s="97" t="inlineStr">
        <is>
          <t>Gizi Baik</t>
        </is>
      </c>
      <c r="I79" s="97" t="inlineStr">
        <is>
          <t>Ya</t>
        </is>
      </c>
      <c r="J79" s="97" t="inlineStr">
        <is>
          <t>Tidak</t>
        </is>
      </c>
    </row>
    <row r="80" ht="15.75" customHeight="1" s="95">
      <c r="A80" s="97" t="inlineStr">
        <is>
          <t>anonymus0079</t>
        </is>
      </c>
      <c r="B80" s="97" t="inlineStr">
        <is>
          <t xml:space="preserve">L </t>
        </is>
      </c>
      <c r="C80" s="97" t="inlineStr">
        <is>
          <t>1-34 Bulan</t>
        </is>
      </c>
      <c r="D80" s="97" t="inlineStr">
        <is>
          <t>12.9</t>
        </is>
      </c>
      <c r="E80" s="97" t="n">
        <v>91</v>
      </c>
      <c r="F80" s="97" t="inlineStr">
        <is>
          <t>Normal</t>
        </is>
      </c>
      <c r="G80" s="97" t="inlineStr">
        <is>
          <t>Normal</t>
        </is>
      </c>
      <c r="H80" s="97" t="inlineStr">
        <is>
          <t>Gizi Baik</t>
        </is>
      </c>
      <c r="I80" s="97" t="inlineStr">
        <is>
          <t>Ya</t>
        </is>
      </c>
      <c r="J80" s="97" t="inlineStr">
        <is>
          <t>Tidak</t>
        </is>
      </c>
    </row>
    <row r="81" ht="15.75" customHeight="1" s="95">
      <c r="A81" s="97" t="inlineStr">
        <is>
          <t>anonymus0080</t>
        </is>
      </c>
      <c r="B81" s="97" t="inlineStr">
        <is>
          <t xml:space="preserve">P </t>
        </is>
      </c>
      <c r="C81" s="97" t="inlineStr">
        <is>
          <t>1-34 Bulan</t>
        </is>
      </c>
      <c r="D81" s="97" t="inlineStr">
        <is>
          <t>7.8</t>
        </is>
      </c>
      <c r="E81" s="97" t="n">
        <v>71</v>
      </c>
      <c r="F81" s="97" t="inlineStr">
        <is>
          <t>Normal</t>
        </is>
      </c>
      <c r="G81" s="97" t="inlineStr">
        <is>
          <t>Normal</t>
        </is>
      </c>
      <c r="H81" s="97" t="inlineStr">
        <is>
          <t>Gizi Baik</t>
        </is>
      </c>
      <c r="I81" s="97" t="inlineStr">
        <is>
          <t>Ya</t>
        </is>
      </c>
      <c r="J81" s="97" t="inlineStr">
        <is>
          <t>Tidak</t>
        </is>
      </c>
    </row>
    <row r="82" ht="15.75" customHeight="1" s="95">
      <c r="A82" s="97" t="inlineStr">
        <is>
          <t>anonymus0081</t>
        </is>
      </c>
      <c r="B82" s="97" t="inlineStr">
        <is>
          <t>P</t>
        </is>
      </c>
      <c r="C82" s="97" t="inlineStr">
        <is>
          <t>35-69 Bulan</t>
        </is>
      </c>
      <c r="D82" s="97" t="n">
        <v>15.5</v>
      </c>
      <c r="E82" s="97" t="n">
        <v>93</v>
      </c>
      <c r="F82" s="97" t="inlineStr">
        <is>
          <t>Normal</t>
        </is>
      </c>
      <c r="G82" s="97" t="inlineStr">
        <is>
          <t>Normal</t>
        </is>
      </c>
      <c r="H82" s="97" t="inlineStr">
        <is>
          <t>Gizi Baik</t>
        </is>
      </c>
      <c r="I82" s="97" t="inlineStr">
        <is>
          <t>Ya</t>
        </is>
      </c>
      <c r="J82" s="97" t="inlineStr">
        <is>
          <t>Tidak</t>
        </is>
      </c>
    </row>
    <row r="83" ht="15.75" customHeight="1" s="95">
      <c r="A83" s="97" t="inlineStr">
        <is>
          <t>anonymus0082</t>
        </is>
      </c>
      <c r="B83" s="97" t="inlineStr">
        <is>
          <t>P</t>
        </is>
      </c>
      <c r="C83" s="97" t="inlineStr">
        <is>
          <t>35-69 Bulan</t>
        </is>
      </c>
      <c r="D83" s="97" t="n">
        <v>15.9</v>
      </c>
      <c r="E83" s="97" t="n">
        <v>114</v>
      </c>
      <c r="F83" s="97" t="inlineStr">
        <is>
          <t>Normal</t>
        </is>
      </c>
      <c r="G83" s="97" t="inlineStr">
        <is>
          <t>Normal</t>
        </is>
      </c>
      <c r="H83" s="97" t="inlineStr">
        <is>
          <t>Gizi Baik</t>
        </is>
      </c>
      <c r="I83" s="97" t="inlineStr">
        <is>
          <t>Ya</t>
        </is>
      </c>
      <c r="J83" s="97" t="inlineStr">
        <is>
          <t>Tidak</t>
        </is>
      </c>
    </row>
    <row r="84" ht="15.75" customHeight="1" s="95">
      <c r="A84" s="97" t="inlineStr">
        <is>
          <t>anonymus0083</t>
        </is>
      </c>
      <c r="B84" s="97" t="inlineStr">
        <is>
          <t xml:space="preserve">L </t>
        </is>
      </c>
      <c r="C84" s="97" t="inlineStr">
        <is>
          <t>1-34 Bulan</t>
        </is>
      </c>
      <c r="D84" s="97" t="inlineStr">
        <is>
          <t>9.3</t>
        </is>
      </c>
      <c r="E84" s="97" t="n">
        <v>76</v>
      </c>
      <c r="F84" s="97" t="inlineStr">
        <is>
          <t>Normal</t>
        </is>
      </c>
      <c r="G84" s="97" t="inlineStr">
        <is>
          <t>Normal</t>
        </is>
      </c>
      <c r="H84" s="97" t="inlineStr">
        <is>
          <t>Gizi Baik</t>
        </is>
      </c>
      <c r="I84" s="97" t="inlineStr">
        <is>
          <t>Ya</t>
        </is>
      </c>
      <c r="J84" s="97" t="inlineStr">
        <is>
          <t>Tidak</t>
        </is>
      </c>
    </row>
    <row r="85" ht="15.75" customHeight="1" s="95">
      <c r="A85" s="97" t="inlineStr">
        <is>
          <t>anonymus0084</t>
        </is>
      </c>
      <c r="B85" s="97" t="inlineStr">
        <is>
          <t>L</t>
        </is>
      </c>
      <c r="C85" s="97" t="inlineStr">
        <is>
          <t>35-69 Bulan</t>
        </is>
      </c>
      <c r="D85" s="97" t="n">
        <v>12.8</v>
      </c>
      <c r="E85" s="97" t="n">
        <v>99</v>
      </c>
      <c r="F85" s="97" t="inlineStr">
        <is>
          <t>Kurang</t>
        </is>
      </c>
      <c r="G85" s="97" t="inlineStr">
        <is>
          <t>Normal</t>
        </is>
      </c>
      <c r="H85" s="97" t="inlineStr">
        <is>
          <t>Gizi Kurang</t>
        </is>
      </c>
      <c r="I85" s="97" t="inlineStr">
        <is>
          <t>Ya</t>
        </is>
      </c>
      <c r="J85" s="97" t="inlineStr">
        <is>
          <t>Tidak</t>
        </is>
      </c>
    </row>
    <row r="86" ht="15.75" customHeight="1" s="95">
      <c r="A86" s="97" t="inlineStr">
        <is>
          <t>anonymus0085</t>
        </is>
      </c>
      <c r="B86" s="97" t="inlineStr">
        <is>
          <t>P</t>
        </is>
      </c>
      <c r="C86" s="97" t="inlineStr">
        <is>
          <t>1-34 Bulan</t>
        </is>
      </c>
      <c r="D86" s="97" t="n">
        <v>9.5</v>
      </c>
      <c r="E86" s="97" t="n">
        <v>76</v>
      </c>
      <c r="F86" s="97" t="inlineStr">
        <is>
          <t>Normal</t>
        </is>
      </c>
      <c r="G86" s="97" t="inlineStr">
        <is>
          <t>Pendek</t>
        </is>
      </c>
      <c r="H86" s="97" t="inlineStr">
        <is>
          <t>Gizi Baik</t>
        </is>
      </c>
      <c r="I86" s="97" t="inlineStr">
        <is>
          <t>Ya</t>
        </is>
      </c>
      <c r="J86" s="97" t="inlineStr">
        <is>
          <t>Potensi Stunting</t>
        </is>
      </c>
    </row>
    <row r="87" ht="15.75" customHeight="1" s="95">
      <c r="A87" s="97" t="inlineStr">
        <is>
          <t>anonymus0086</t>
        </is>
      </c>
      <c r="B87" s="97" t="inlineStr">
        <is>
          <t>L</t>
        </is>
      </c>
      <c r="C87" s="97" t="inlineStr">
        <is>
          <t>35-69 Bulan</t>
        </is>
      </c>
      <c r="D87" s="97" t="n">
        <v>12</v>
      </c>
      <c r="E87" s="97" t="n">
        <v>95</v>
      </c>
      <c r="F87" s="97" t="inlineStr">
        <is>
          <t>Kurang</t>
        </is>
      </c>
      <c r="G87" s="97" t="inlineStr">
        <is>
          <t>Pendek</t>
        </is>
      </c>
      <c r="H87" s="97" t="inlineStr">
        <is>
          <t>Gizi Kurang</t>
        </is>
      </c>
      <c r="I87" s="97" t="inlineStr">
        <is>
          <t>Ya</t>
        </is>
      </c>
      <c r="J87" s="97" t="inlineStr">
        <is>
          <t>Potensi Stunting</t>
        </is>
      </c>
    </row>
    <row r="88" ht="15.75" customHeight="1" s="95">
      <c r="A88" s="97" t="inlineStr">
        <is>
          <t>anonymus0087</t>
        </is>
      </c>
      <c r="B88" s="97" t="inlineStr">
        <is>
          <t xml:space="preserve">L </t>
        </is>
      </c>
      <c r="C88" s="97" t="inlineStr">
        <is>
          <t>35-69 Bulan</t>
        </is>
      </c>
      <c r="D88" s="97" t="inlineStr">
        <is>
          <t>17.5</t>
        </is>
      </c>
      <c r="E88" s="97" t="n">
        <v>110</v>
      </c>
      <c r="F88" s="97" t="inlineStr">
        <is>
          <t>Normal</t>
        </is>
      </c>
      <c r="G88" s="97" t="inlineStr">
        <is>
          <t>Normal</t>
        </is>
      </c>
      <c r="H88" s="97" t="inlineStr">
        <is>
          <t>Gizi Baik</t>
        </is>
      </c>
      <c r="I88" s="97" t="inlineStr">
        <is>
          <t>Ya</t>
        </is>
      </c>
      <c r="J88" s="97" t="inlineStr">
        <is>
          <t>Tidak</t>
        </is>
      </c>
    </row>
    <row r="89" ht="15.75" customHeight="1" s="95">
      <c r="A89" s="97" t="inlineStr">
        <is>
          <t>anonymus0088</t>
        </is>
      </c>
      <c r="B89" s="97" t="inlineStr">
        <is>
          <t>P</t>
        </is>
      </c>
      <c r="C89" s="97" t="inlineStr">
        <is>
          <t>1-34 Bulan</t>
        </is>
      </c>
      <c r="D89" s="97" t="n">
        <v>10.6</v>
      </c>
      <c r="E89" s="97" t="n">
        <v>84</v>
      </c>
      <c r="F89" s="97" t="inlineStr">
        <is>
          <t>Normal</t>
        </is>
      </c>
      <c r="G89" s="97" t="inlineStr">
        <is>
          <t>Normal</t>
        </is>
      </c>
      <c r="H89" s="97" t="inlineStr">
        <is>
          <t>Gizi Baik</t>
        </is>
      </c>
      <c r="I89" s="97" t="inlineStr">
        <is>
          <t>Ya</t>
        </is>
      </c>
      <c r="J89" s="97" t="inlineStr">
        <is>
          <t>Tidak</t>
        </is>
      </c>
    </row>
    <row r="90" ht="15.75" customHeight="1" s="95">
      <c r="A90" s="97" t="inlineStr">
        <is>
          <t>anonymus0089</t>
        </is>
      </c>
      <c r="B90" s="97" t="inlineStr">
        <is>
          <t>L</t>
        </is>
      </c>
      <c r="C90" s="97" t="inlineStr">
        <is>
          <t>35-69 Bulan</t>
        </is>
      </c>
      <c r="D90" s="97" t="n">
        <v>10.4</v>
      </c>
      <c r="E90" s="97" t="n">
        <v>102</v>
      </c>
      <c r="F90" s="97" t="inlineStr">
        <is>
          <t>Normal</t>
        </is>
      </c>
      <c r="G90" s="97" t="inlineStr">
        <is>
          <t>Normal</t>
        </is>
      </c>
      <c r="H90" s="97" t="inlineStr">
        <is>
          <t>Gizi Baik</t>
        </is>
      </c>
      <c r="I90" s="97" t="inlineStr">
        <is>
          <t>Ya</t>
        </is>
      </c>
      <c r="J90" s="97" t="inlineStr">
        <is>
          <t>Tidak</t>
        </is>
      </c>
    </row>
    <row r="91" ht="15.75" customHeight="1" s="95">
      <c r="A91" s="97" t="inlineStr">
        <is>
          <t>anonymus0090</t>
        </is>
      </c>
      <c r="B91" s="97" t="inlineStr">
        <is>
          <t>L</t>
        </is>
      </c>
      <c r="C91" s="97" t="inlineStr">
        <is>
          <t>1-34 Bulan</t>
        </is>
      </c>
      <c r="D91" s="97" t="n">
        <v>8.1</v>
      </c>
      <c r="E91" s="97" t="n">
        <v>77</v>
      </c>
      <c r="F91" s="97" t="inlineStr">
        <is>
          <t>Normal</t>
        </is>
      </c>
      <c r="G91" s="97" t="inlineStr">
        <is>
          <t>Normal</t>
        </is>
      </c>
      <c r="H91" s="97" t="inlineStr">
        <is>
          <t>Gizi Kurang</t>
        </is>
      </c>
      <c r="I91" s="97" t="inlineStr">
        <is>
          <t>Ya</t>
        </is>
      </c>
      <c r="J91" s="97" t="inlineStr">
        <is>
          <t>Tidak</t>
        </is>
      </c>
    </row>
    <row r="92" ht="15.75" customHeight="1" s="95">
      <c r="A92" s="97" t="inlineStr">
        <is>
          <t>anonymus0091</t>
        </is>
      </c>
      <c r="B92" s="97" t="inlineStr">
        <is>
          <t>P</t>
        </is>
      </c>
      <c r="C92" s="97" t="inlineStr">
        <is>
          <t>1-34 Bulan</t>
        </is>
      </c>
      <c r="D92" s="97" t="n">
        <v>6.9</v>
      </c>
      <c r="E92" s="97" t="n">
        <v>70</v>
      </c>
      <c r="F92" s="97" t="inlineStr">
        <is>
          <t>Sangat Kurang</t>
        </is>
      </c>
      <c r="G92" s="97" t="inlineStr">
        <is>
          <t>Sangat Pendek</t>
        </is>
      </c>
      <c r="H92" s="97" t="inlineStr">
        <is>
          <t>Gizi Baik</t>
        </is>
      </c>
      <c r="I92" s="97" t="inlineStr">
        <is>
          <t>Ya</t>
        </is>
      </c>
      <c r="J92" s="97" t="inlineStr">
        <is>
          <t>Stunting</t>
        </is>
      </c>
    </row>
    <row r="93" ht="15.75" customHeight="1" s="95">
      <c r="A93" s="97" t="inlineStr">
        <is>
          <t>anonymus0092</t>
        </is>
      </c>
      <c r="B93" s="97" t="inlineStr">
        <is>
          <t>L</t>
        </is>
      </c>
      <c r="C93" s="97" t="inlineStr">
        <is>
          <t>1-34 Bulan</t>
        </is>
      </c>
      <c r="D93" s="97" t="n">
        <v>7.4</v>
      </c>
      <c r="E93" s="97" t="n">
        <v>95</v>
      </c>
      <c r="F93" s="97" t="inlineStr">
        <is>
          <t>Kurang</t>
        </is>
      </c>
      <c r="G93" s="97" t="inlineStr">
        <is>
          <t>Normal</t>
        </is>
      </c>
      <c r="H93" s="97" t="inlineStr">
        <is>
          <t>Gizi Kurang</t>
        </is>
      </c>
      <c r="I93" s="97" t="inlineStr">
        <is>
          <t>Ya</t>
        </is>
      </c>
      <c r="J93" s="97" t="inlineStr">
        <is>
          <t>Tidak</t>
        </is>
      </c>
    </row>
    <row r="94" ht="15.75" customHeight="1" s="95">
      <c r="A94" s="97" t="inlineStr">
        <is>
          <t>anonymus0093</t>
        </is>
      </c>
      <c r="B94" s="97" t="inlineStr">
        <is>
          <t>P</t>
        </is>
      </c>
      <c r="C94" s="97" t="inlineStr">
        <is>
          <t>1-34 Bulan</t>
        </is>
      </c>
      <c r="D94" s="97" t="n">
        <v>11.35</v>
      </c>
      <c r="E94" s="97" t="n">
        <v>94</v>
      </c>
      <c r="F94" s="97" t="inlineStr">
        <is>
          <t>Normal</t>
        </is>
      </c>
      <c r="G94" s="97" t="inlineStr">
        <is>
          <t>Normal</t>
        </is>
      </c>
      <c r="H94" s="97" t="inlineStr">
        <is>
          <t>Gizi Kurang</t>
        </is>
      </c>
      <c r="I94" s="97" t="inlineStr">
        <is>
          <t>Ya</t>
        </is>
      </c>
      <c r="J94" s="97" t="inlineStr">
        <is>
          <t>Tidak</t>
        </is>
      </c>
    </row>
    <row r="95" ht="15.75" customHeight="1" s="95">
      <c r="A95" s="97" t="inlineStr">
        <is>
          <t>anonymus0094</t>
        </is>
      </c>
      <c r="B95" s="97" t="inlineStr">
        <is>
          <t xml:space="preserve">L </t>
        </is>
      </c>
      <c r="C95" s="97" t="inlineStr">
        <is>
          <t>1-34 Bulan</t>
        </is>
      </c>
      <c r="D95" s="97" t="n">
        <v>8</v>
      </c>
      <c r="E95" s="97" t="n">
        <v>69</v>
      </c>
      <c r="F95" s="97" t="inlineStr">
        <is>
          <t>Normal</t>
        </is>
      </c>
      <c r="G95" s="97" t="inlineStr">
        <is>
          <t>Pendek</t>
        </is>
      </c>
      <c r="H95" s="97" t="inlineStr">
        <is>
          <t>Gizi Baik</t>
        </is>
      </c>
      <c r="I95" s="97" t="inlineStr">
        <is>
          <t>Ya</t>
        </is>
      </c>
      <c r="J95" s="97" t="inlineStr">
        <is>
          <t>Potensi Stunting</t>
        </is>
      </c>
    </row>
    <row r="96" ht="15.75" customHeight="1" s="95">
      <c r="A96" s="97" t="inlineStr">
        <is>
          <t>anonymus0095</t>
        </is>
      </c>
      <c r="B96" s="97" t="inlineStr">
        <is>
          <t xml:space="preserve">L </t>
        </is>
      </c>
      <c r="C96" s="97" t="inlineStr">
        <is>
          <t>1-34 Bulan</t>
        </is>
      </c>
      <c r="D96" s="97" t="inlineStr">
        <is>
          <t>11.6</t>
        </is>
      </c>
      <c r="E96" s="97" t="n">
        <v>86</v>
      </c>
      <c r="F96" s="97" t="inlineStr">
        <is>
          <t>Normal</t>
        </is>
      </c>
      <c r="G96" s="97" t="inlineStr">
        <is>
          <t>Normal</t>
        </is>
      </c>
      <c r="H96" s="97" t="inlineStr">
        <is>
          <t>Gizi Baik</t>
        </is>
      </c>
      <c r="I96" s="97" t="inlineStr">
        <is>
          <t>Ya</t>
        </is>
      </c>
      <c r="J96" s="97" t="inlineStr">
        <is>
          <t>Tidak</t>
        </is>
      </c>
    </row>
    <row r="97" ht="15.75" customHeight="1" s="95">
      <c r="A97" s="97" t="inlineStr">
        <is>
          <t>anonymus0096</t>
        </is>
      </c>
      <c r="B97" s="97" t="inlineStr">
        <is>
          <t xml:space="preserve">L </t>
        </is>
      </c>
      <c r="C97" s="97" t="inlineStr">
        <is>
          <t>35-69 Bulan</t>
        </is>
      </c>
      <c r="D97" s="97" t="n">
        <v>12</v>
      </c>
      <c r="E97" s="97" t="n">
        <v>88</v>
      </c>
      <c r="F97" s="97" t="inlineStr">
        <is>
          <t>Normal</t>
        </is>
      </c>
      <c r="G97" s="97" t="inlineStr">
        <is>
          <t>Normal</t>
        </is>
      </c>
      <c r="H97" s="97" t="inlineStr">
        <is>
          <t>Gizi Baik</t>
        </is>
      </c>
      <c r="I97" s="97" t="inlineStr">
        <is>
          <t>Ya</t>
        </is>
      </c>
      <c r="J97" s="97" t="inlineStr">
        <is>
          <t>Tidak</t>
        </is>
      </c>
    </row>
    <row r="98" ht="15.75" customHeight="1" s="95">
      <c r="A98" s="97" t="inlineStr">
        <is>
          <t>anonymus0097</t>
        </is>
      </c>
      <c r="B98" s="97" t="inlineStr">
        <is>
          <t>L</t>
        </is>
      </c>
      <c r="C98" s="97" t="inlineStr">
        <is>
          <t>35-69 Bulan</t>
        </is>
      </c>
      <c r="D98" s="97" t="n">
        <v>10.5</v>
      </c>
      <c r="E98" s="97" t="n">
        <v>88.8</v>
      </c>
      <c r="F98" s="97" t="inlineStr">
        <is>
          <t>Sangat Kurang</t>
        </is>
      </c>
      <c r="G98" s="97" t="inlineStr">
        <is>
          <t>Sangat Pendek</t>
        </is>
      </c>
      <c r="H98" s="97" t="inlineStr">
        <is>
          <t>Gizi Kurang</t>
        </is>
      </c>
      <c r="I98" s="97" t="inlineStr">
        <is>
          <t>Ya</t>
        </is>
      </c>
      <c r="J98" s="97" t="inlineStr">
        <is>
          <t>Stunting</t>
        </is>
      </c>
    </row>
    <row r="99" ht="15.75" customHeight="1" s="95">
      <c r="A99" s="97" t="inlineStr">
        <is>
          <t>anonymus0098</t>
        </is>
      </c>
      <c r="B99" s="97" t="inlineStr">
        <is>
          <t>P</t>
        </is>
      </c>
      <c r="C99" s="97" t="inlineStr">
        <is>
          <t>1-34 Bulan</t>
        </is>
      </c>
      <c r="D99" s="97" t="n">
        <v>9.300000000000001</v>
      </c>
      <c r="E99" s="97" t="n">
        <v>76</v>
      </c>
      <c r="F99" s="97" t="inlineStr">
        <is>
          <t>Normal</t>
        </is>
      </c>
      <c r="G99" s="97" t="inlineStr">
        <is>
          <t>Normal</t>
        </is>
      </c>
      <c r="H99" s="97" t="inlineStr">
        <is>
          <t>Gizi Baik</t>
        </is>
      </c>
      <c r="I99" s="97" t="inlineStr">
        <is>
          <t>Ya</t>
        </is>
      </c>
      <c r="J99" s="97" t="inlineStr">
        <is>
          <t>Tidak</t>
        </is>
      </c>
    </row>
    <row r="100" ht="15.75" customHeight="1" s="95">
      <c r="A100" s="97" t="inlineStr">
        <is>
          <t>anonymus0099</t>
        </is>
      </c>
      <c r="B100" s="97" t="inlineStr">
        <is>
          <t>L</t>
        </is>
      </c>
      <c r="C100" s="97" t="inlineStr">
        <is>
          <t>35-69 Bulan</t>
        </is>
      </c>
      <c r="D100" s="97" t="n">
        <v>18.7</v>
      </c>
      <c r="E100" s="97" t="n">
        <v>100</v>
      </c>
      <c r="F100" s="97" t="inlineStr">
        <is>
          <t>Risiko Lebih</t>
        </is>
      </c>
      <c r="G100" s="97" t="inlineStr">
        <is>
          <t>Normal</t>
        </is>
      </c>
      <c r="H100" s="97" t="inlineStr">
        <is>
          <t>Gizi Lebih</t>
        </is>
      </c>
      <c r="I100" s="97" t="inlineStr">
        <is>
          <t>Ya</t>
        </is>
      </c>
      <c r="J100" s="97" t="inlineStr">
        <is>
          <t>Tidak</t>
        </is>
      </c>
    </row>
    <row r="101" ht="15.75" customHeight="1" s="95">
      <c r="A101" s="97" t="inlineStr">
        <is>
          <t>anonymus0100</t>
        </is>
      </c>
      <c r="B101" s="97" t="inlineStr">
        <is>
          <t xml:space="preserve">P </t>
        </is>
      </c>
      <c r="C101" s="97" t="inlineStr">
        <is>
          <t>35-69 Bulan</t>
        </is>
      </c>
      <c r="D101" s="97" t="inlineStr">
        <is>
          <t>14.6</t>
        </is>
      </c>
      <c r="E101" s="97" t="n">
        <v>100</v>
      </c>
      <c r="F101" s="97" t="inlineStr">
        <is>
          <t>Normal</t>
        </is>
      </c>
      <c r="G101" s="97" t="inlineStr">
        <is>
          <t>Normal</t>
        </is>
      </c>
      <c r="H101" s="97" t="inlineStr">
        <is>
          <t>Gizi Baik</t>
        </is>
      </c>
      <c r="I101" s="97" t="inlineStr">
        <is>
          <t>Ya</t>
        </is>
      </c>
      <c r="J101" s="97" t="inlineStr">
        <is>
          <t>Tidak</t>
        </is>
      </c>
    </row>
    <row r="102" ht="15.75" customHeight="1" s="95">
      <c r="A102" s="97" t="inlineStr">
        <is>
          <t>anonymus0101</t>
        </is>
      </c>
      <c r="B102" s="97" t="inlineStr">
        <is>
          <t>L</t>
        </is>
      </c>
      <c r="C102" s="97" t="inlineStr">
        <is>
          <t>1-34 Bulan</t>
        </is>
      </c>
      <c r="D102" s="97" t="n">
        <v>8.9</v>
      </c>
      <c r="E102" s="97" t="n">
        <v>94</v>
      </c>
      <c r="F102" s="97" t="inlineStr">
        <is>
          <t>Kurang</t>
        </is>
      </c>
      <c r="G102" s="97" t="inlineStr">
        <is>
          <t>Normal</t>
        </is>
      </c>
      <c r="H102" s="97" t="inlineStr">
        <is>
          <t>Gizi Kurang</t>
        </is>
      </c>
      <c r="I102" s="97" t="inlineStr">
        <is>
          <t>Ya</t>
        </is>
      </c>
      <c r="J102" s="97" t="inlineStr">
        <is>
          <t>Tidak</t>
        </is>
      </c>
    </row>
    <row r="103" ht="15.75" customHeight="1" s="95">
      <c r="A103" s="97" t="inlineStr">
        <is>
          <t>anonymus0102</t>
        </is>
      </c>
      <c r="B103" s="97" t="inlineStr">
        <is>
          <t>L</t>
        </is>
      </c>
      <c r="C103" s="97" t="inlineStr">
        <is>
          <t>35-69 Bulan</t>
        </is>
      </c>
      <c r="D103" s="97" t="n">
        <v>11.7</v>
      </c>
      <c r="E103" s="97" t="n">
        <v>103</v>
      </c>
      <c r="F103" s="97" t="inlineStr">
        <is>
          <t>Normal</t>
        </is>
      </c>
      <c r="G103" s="97" t="inlineStr">
        <is>
          <t>Normal</t>
        </is>
      </c>
      <c r="H103" s="97" t="inlineStr">
        <is>
          <t>Gizi Baik</t>
        </is>
      </c>
      <c r="I103" s="97" t="inlineStr">
        <is>
          <t>Ya</t>
        </is>
      </c>
      <c r="J103" s="97" t="inlineStr">
        <is>
          <t>Tidak</t>
        </is>
      </c>
    </row>
    <row r="104" ht="15.75" customHeight="1" s="95">
      <c r="A104" s="97" t="inlineStr">
        <is>
          <t>anonymus0103</t>
        </is>
      </c>
      <c r="B104" s="97" t="inlineStr">
        <is>
          <t xml:space="preserve">P </t>
        </is>
      </c>
      <c r="C104" s="97" t="inlineStr">
        <is>
          <t>35-69 Bulan</t>
        </is>
      </c>
      <c r="D104" s="97" t="inlineStr">
        <is>
          <t>14.3</t>
        </is>
      </c>
      <c r="E104" s="97" t="n">
        <v>95</v>
      </c>
      <c r="F104" s="97" t="inlineStr">
        <is>
          <t>Normal</t>
        </is>
      </c>
      <c r="G104" s="97" t="inlineStr">
        <is>
          <t>Normal</t>
        </is>
      </c>
      <c r="H104" s="97" t="inlineStr">
        <is>
          <t>Gizi Baik</t>
        </is>
      </c>
      <c r="I104" s="97" t="inlineStr">
        <is>
          <t>Ya</t>
        </is>
      </c>
      <c r="J104" s="97" t="inlineStr">
        <is>
          <t>Tidak</t>
        </is>
      </c>
    </row>
    <row r="105" ht="15.75" customHeight="1" s="95">
      <c r="A105" s="97" t="inlineStr">
        <is>
          <t>anonymus0104</t>
        </is>
      </c>
      <c r="B105" s="97" t="inlineStr">
        <is>
          <t xml:space="preserve">P </t>
        </is>
      </c>
      <c r="C105" s="97" t="inlineStr">
        <is>
          <t>1-34 Bulan</t>
        </is>
      </c>
      <c r="D105" s="97" t="inlineStr">
        <is>
          <t>5.5</t>
        </is>
      </c>
      <c r="E105" s="97" t="n">
        <v>55</v>
      </c>
      <c r="F105" s="97" t="inlineStr">
        <is>
          <t>Risiko Lebih</t>
        </is>
      </c>
      <c r="G105" s="97" t="inlineStr">
        <is>
          <t>Normal</t>
        </is>
      </c>
      <c r="H105" s="97" t="inlineStr">
        <is>
          <t>Gizi Lebih</t>
        </is>
      </c>
      <c r="I105" s="97" t="inlineStr">
        <is>
          <t>Ya</t>
        </is>
      </c>
      <c r="J105" s="97" t="inlineStr">
        <is>
          <t>Tidak</t>
        </is>
      </c>
    </row>
    <row r="106" ht="15.75" customHeight="1" s="95">
      <c r="A106" s="97" t="inlineStr">
        <is>
          <t>anonymus0105</t>
        </is>
      </c>
      <c r="B106" s="97" t="inlineStr">
        <is>
          <t xml:space="preserve">P </t>
        </is>
      </c>
      <c r="C106" s="97" t="inlineStr">
        <is>
          <t>35-69 Bulan</t>
        </is>
      </c>
      <c r="D106" s="97" t="inlineStr">
        <is>
          <t>13.6</t>
        </is>
      </c>
      <c r="E106" s="97" t="n">
        <v>94</v>
      </c>
      <c r="F106" s="97" t="inlineStr">
        <is>
          <t>Risiko Lebih</t>
        </is>
      </c>
      <c r="G106" s="97" t="inlineStr">
        <is>
          <t>Normal</t>
        </is>
      </c>
      <c r="H106" s="97" t="inlineStr">
        <is>
          <t>Gizi Baik</t>
        </is>
      </c>
      <c r="I106" s="97" t="inlineStr">
        <is>
          <t>Ya</t>
        </is>
      </c>
      <c r="J106" s="97" t="inlineStr">
        <is>
          <t>Tidak</t>
        </is>
      </c>
    </row>
    <row r="107" ht="15.75" customHeight="1" s="95">
      <c r="A107" s="97" t="inlineStr">
        <is>
          <t>anonymus0106</t>
        </is>
      </c>
      <c r="B107" s="97" t="inlineStr">
        <is>
          <t>L</t>
        </is>
      </c>
      <c r="C107" s="97" t="inlineStr">
        <is>
          <t>1-34 Bulan</t>
        </is>
      </c>
      <c r="D107" s="97" t="n">
        <v>7.9</v>
      </c>
      <c r="E107" s="97" t="n">
        <v>76.40000000000001</v>
      </c>
      <c r="F107" s="97" t="inlineStr">
        <is>
          <t>Kurang</t>
        </is>
      </c>
      <c r="G107" s="97" t="inlineStr">
        <is>
          <t>Normal</t>
        </is>
      </c>
      <c r="H107" s="97" t="inlineStr">
        <is>
          <t>Gizi Kurang</t>
        </is>
      </c>
      <c r="I107" s="97" t="inlineStr">
        <is>
          <t>Ya</t>
        </is>
      </c>
      <c r="J107" s="97" t="inlineStr">
        <is>
          <t>Tidak</t>
        </is>
      </c>
    </row>
    <row r="108" ht="15.75" customHeight="1" s="95">
      <c r="A108" s="97" t="inlineStr">
        <is>
          <t>anonymus0107</t>
        </is>
      </c>
      <c r="B108" s="97" t="inlineStr">
        <is>
          <t xml:space="preserve">P </t>
        </is>
      </c>
      <c r="C108" s="97" t="inlineStr">
        <is>
          <t>1-34 Bulan</t>
        </is>
      </c>
      <c r="D108" s="97" t="inlineStr">
        <is>
          <t>10.3</t>
        </is>
      </c>
      <c r="E108" s="97" t="n">
        <v>84</v>
      </c>
      <c r="F108" s="97" t="inlineStr">
        <is>
          <t>Normal</t>
        </is>
      </c>
      <c r="G108" s="97" t="inlineStr">
        <is>
          <t>Pendek</t>
        </is>
      </c>
      <c r="H108" s="97" t="inlineStr">
        <is>
          <t>Gizi Baik</t>
        </is>
      </c>
      <c r="I108" s="97" t="inlineStr">
        <is>
          <t>Ya</t>
        </is>
      </c>
      <c r="J108" s="97" t="inlineStr">
        <is>
          <t>Potensi Stunting</t>
        </is>
      </c>
    </row>
    <row r="109" ht="15.75" customHeight="1" s="95">
      <c r="A109" s="97" t="inlineStr">
        <is>
          <t>anonymus0108</t>
        </is>
      </c>
      <c r="B109" s="97" t="inlineStr">
        <is>
          <t>P</t>
        </is>
      </c>
      <c r="C109" s="97" t="inlineStr">
        <is>
          <t>1-34 Bulan</t>
        </is>
      </c>
      <c r="D109" s="97" t="n">
        <v>7.8</v>
      </c>
      <c r="E109" s="97" t="n">
        <v>72</v>
      </c>
      <c r="F109" s="97" t="inlineStr">
        <is>
          <t>Normal</t>
        </is>
      </c>
      <c r="G109" s="97" t="inlineStr">
        <is>
          <t>Pendek</t>
        </is>
      </c>
      <c r="H109" s="97" t="inlineStr">
        <is>
          <t>Gizi Baik</t>
        </is>
      </c>
      <c r="I109" s="97" t="inlineStr">
        <is>
          <t>Ya</t>
        </is>
      </c>
      <c r="J109" s="97" t="inlineStr">
        <is>
          <t>Potensi Stunting</t>
        </is>
      </c>
    </row>
    <row r="110" ht="15.75" customHeight="1" s="95">
      <c r="A110" s="97" t="inlineStr">
        <is>
          <t>anonymus0109</t>
        </is>
      </c>
      <c r="B110" s="97" t="inlineStr">
        <is>
          <t xml:space="preserve">P </t>
        </is>
      </c>
      <c r="C110" s="97" t="inlineStr">
        <is>
          <t>1-34 Bulan</t>
        </is>
      </c>
      <c r="D110" s="97" t="inlineStr">
        <is>
          <t>12.9</t>
        </is>
      </c>
      <c r="E110" s="97" t="n">
        <v>91</v>
      </c>
      <c r="F110" s="97" t="inlineStr">
        <is>
          <t>Normal</t>
        </is>
      </c>
      <c r="G110" s="97" t="inlineStr">
        <is>
          <t>Normal</t>
        </is>
      </c>
      <c r="H110" s="97" t="inlineStr">
        <is>
          <t>Gizi Baik</t>
        </is>
      </c>
      <c r="I110" s="97" t="inlineStr">
        <is>
          <t>Ya</t>
        </is>
      </c>
      <c r="J110" s="97" t="inlineStr">
        <is>
          <t>Tidak</t>
        </is>
      </c>
    </row>
    <row r="111" ht="15.75" customHeight="1" s="95">
      <c r="A111" s="97" t="inlineStr">
        <is>
          <t>anonymus0110</t>
        </is>
      </c>
      <c r="B111" s="97" t="inlineStr">
        <is>
          <t>L</t>
        </is>
      </c>
      <c r="C111" s="97" t="inlineStr">
        <is>
          <t>1-34 Bulan</t>
        </is>
      </c>
      <c r="D111" s="97" t="n">
        <v>10.3</v>
      </c>
      <c r="E111" s="97" t="n">
        <v>88</v>
      </c>
      <c r="F111" s="97" t="inlineStr">
        <is>
          <t>Kurang</t>
        </is>
      </c>
      <c r="G111" s="97" t="inlineStr">
        <is>
          <t>Normal</t>
        </is>
      </c>
      <c r="H111" s="97" t="inlineStr">
        <is>
          <t>Gizi Kurang</t>
        </is>
      </c>
      <c r="I111" s="97" t="inlineStr">
        <is>
          <t>Ya</t>
        </is>
      </c>
      <c r="J111" s="97" t="inlineStr">
        <is>
          <t>Tidak</t>
        </is>
      </c>
    </row>
    <row r="112" ht="15.75" customHeight="1" s="95">
      <c r="A112" s="97" t="inlineStr">
        <is>
          <t>anonymus0111</t>
        </is>
      </c>
      <c r="B112" s="97" t="inlineStr">
        <is>
          <t>P</t>
        </is>
      </c>
      <c r="C112" s="97" t="inlineStr">
        <is>
          <t>35-69 Bulan</t>
        </is>
      </c>
      <c r="D112" s="97" t="n">
        <v>8</v>
      </c>
      <c r="E112" s="97" t="n">
        <v>78.2</v>
      </c>
      <c r="F112" s="97" t="inlineStr">
        <is>
          <t>Sangat Kurang</t>
        </is>
      </c>
      <c r="G112" s="97" t="inlineStr">
        <is>
          <t>Sangat Pendek</t>
        </is>
      </c>
      <c r="H112" s="97" t="inlineStr">
        <is>
          <t>Gizi Kurang</t>
        </is>
      </c>
      <c r="I112" s="97" t="inlineStr">
        <is>
          <t>Ya</t>
        </is>
      </c>
      <c r="J112" s="97" t="inlineStr">
        <is>
          <t>Stunting</t>
        </is>
      </c>
    </row>
    <row r="113" ht="15.75" customHeight="1" s="95">
      <c r="A113" s="97" t="inlineStr">
        <is>
          <t>anonymus0112</t>
        </is>
      </c>
      <c r="B113" s="97" t="inlineStr">
        <is>
          <t xml:space="preserve">P </t>
        </is>
      </c>
      <c r="C113" s="97" t="inlineStr">
        <is>
          <t>1-34 Bulan</t>
        </is>
      </c>
      <c r="D113" s="97" t="n">
        <v>8</v>
      </c>
      <c r="E113" s="97" t="n">
        <v>69</v>
      </c>
      <c r="F113" s="97" t="inlineStr">
        <is>
          <t>Normal</t>
        </is>
      </c>
      <c r="G113" s="97" t="inlineStr">
        <is>
          <t>Normal</t>
        </is>
      </c>
      <c r="H113" s="97" t="inlineStr">
        <is>
          <t>Gizi Baik</t>
        </is>
      </c>
      <c r="I113" s="97" t="inlineStr">
        <is>
          <t>Ya</t>
        </is>
      </c>
      <c r="J113" s="97" t="inlineStr">
        <is>
          <t>Tidak</t>
        </is>
      </c>
    </row>
    <row r="114" ht="15.75" customHeight="1" s="95">
      <c r="A114" s="97" t="inlineStr">
        <is>
          <t>anonymus0113</t>
        </is>
      </c>
      <c r="B114" s="97" t="inlineStr">
        <is>
          <t>L</t>
        </is>
      </c>
      <c r="C114" s="97" t="inlineStr">
        <is>
          <t>35-69 Bulan</t>
        </is>
      </c>
      <c r="D114" s="97" t="n">
        <v>13.1</v>
      </c>
      <c r="E114" s="97" t="n">
        <v>110</v>
      </c>
      <c r="F114" s="97" t="inlineStr">
        <is>
          <t>Normal</t>
        </is>
      </c>
      <c r="G114" s="97" t="inlineStr">
        <is>
          <t>Normal</t>
        </is>
      </c>
      <c r="H114" s="97" t="inlineStr">
        <is>
          <t>Gizi Baik</t>
        </is>
      </c>
      <c r="I114" s="97" t="inlineStr">
        <is>
          <t>Ya</t>
        </is>
      </c>
      <c r="J114" s="97" t="inlineStr">
        <is>
          <t>Tidak</t>
        </is>
      </c>
    </row>
    <row r="115" ht="15.75" customHeight="1" s="95">
      <c r="A115" s="97" t="inlineStr">
        <is>
          <t>anonymus0114</t>
        </is>
      </c>
      <c r="B115" s="97" t="inlineStr">
        <is>
          <t xml:space="preserve">P </t>
        </is>
      </c>
      <c r="C115" s="97" t="inlineStr">
        <is>
          <t>35-69 Bulan</t>
        </is>
      </c>
      <c r="D115" s="97" t="inlineStr">
        <is>
          <t>13.7</t>
        </is>
      </c>
      <c r="E115" s="97" t="n">
        <v>101</v>
      </c>
      <c r="F115" s="97" t="inlineStr">
        <is>
          <t>Normal</t>
        </is>
      </c>
      <c r="G115" s="97" t="inlineStr">
        <is>
          <t>Normal</t>
        </is>
      </c>
      <c r="H115" s="97" t="inlineStr">
        <is>
          <t>Gizi Baik</t>
        </is>
      </c>
      <c r="I115" s="97" t="inlineStr">
        <is>
          <t>Ya</t>
        </is>
      </c>
      <c r="J115" s="97" t="inlineStr">
        <is>
          <t>Tidak</t>
        </is>
      </c>
    </row>
    <row r="116" ht="15.75" customHeight="1" s="95">
      <c r="A116" s="97" t="inlineStr">
        <is>
          <t>anonymus0115</t>
        </is>
      </c>
      <c r="B116" s="97" t="inlineStr">
        <is>
          <t>L</t>
        </is>
      </c>
      <c r="C116" s="97" t="inlineStr">
        <is>
          <t>35-69 Bulan</t>
        </is>
      </c>
      <c r="D116" s="97" t="n">
        <v>12.5</v>
      </c>
      <c r="E116" s="97" t="n">
        <v>85</v>
      </c>
      <c r="F116" s="97" t="inlineStr">
        <is>
          <t>Normal</t>
        </is>
      </c>
      <c r="G116" s="97" t="inlineStr">
        <is>
          <t>Pendek</t>
        </is>
      </c>
      <c r="H116" s="97" t="inlineStr">
        <is>
          <t>Gizi Baik</t>
        </is>
      </c>
      <c r="I116" s="97" t="inlineStr">
        <is>
          <t>Ya</t>
        </is>
      </c>
      <c r="J116" s="97" t="inlineStr">
        <is>
          <t>Potensi Stunting</t>
        </is>
      </c>
    </row>
    <row r="117" ht="15.75" customHeight="1" s="95">
      <c r="A117" s="97" t="inlineStr">
        <is>
          <t>anonymus0116</t>
        </is>
      </c>
      <c r="B117" s="97" t="inlineStr">
        <is>
          <t xml:space="preserve">L </t>
        </is>
      </c>
      <c r="C117" s="97" t="inlineStr">
        <is>
          <t>1-34 Bulan</t>
        </is>
      </c>
      <c r="D117" s="97" t="inlineStr">
        <is>
          <t>6.9</t>
        </is>
      </c>
      <c r="E117" s="97" t="n">
        <v>69</v>
      </c>
      <c r="F117" s="97" t="inlineStr">
        <is>
          <t>Kurang</t>
        </is>
      </c>
      <c r="G117" s="97" t="inlineStr">
        <is>
          <t>Pendek</t>
        </is>
      </c>
      <c r="H117" s="97" t="inlineStr">
        <is>
          <t>Gizi Kurang</t>
        </is>
      </c>
      <c r="I117" s="97" t="inlineStr">
        <is>
          <t>Ya</t>
        </is>
      </c>
      <c r="J117" s="97" t="inlineStr">
        <is>
          <t>Potensi Stunting</t>
        </is>
      </c>
    </row>
    <row r="118" ht="15.75" customHeight="1" s="95">
      <c r="A118" s="97" t="inlineStr">
        <is>
          <t>anonymus0117</t>
        </is>
      </c>
      <c r="B118" s="97" t="inlineStr">
        <is>
          <t>L</t>
        </is>
      </c>
      <c r="C118" s="97" t="inlineStr">
        <is>
          <t>1-34 Bulan</t>
        </is>
      </c>
      <c r="D118" s="97" t="n">
        <v>7.1</v>
      </c>
      <c r="E118" s="97" t="n">
        <v>70</v>
      </c>
      <c r="F118" s="97" t="inlineStr">
        <is>
          <t>Sangat Kurang</t>
        </is>
      </c>
      <c r="G118" s="97" t="inlineStr">
        <is>
          <t>Pendek</t>
        </is>
      </c>
      <c r="H118" s="97" t="inlineStr">
        <is>
          <t>Gizi Kurang</t>
        </is>
      </c>
      <c r="I118" s="97" t="inlineStr">
        <is>
          <t>Ya</t>
        </is>
      </c>
      <c r="J118" s="97" t="inlineStr">
        <is>
          <t>Potensi Stunting</t>
        </is>
      </c>
    </row>
    <row r="119" ht="15.75" customHeight="1" s="95">
      <c r="A119" s="97" t="inlineStr">
        <is>
          <t>anonymus0118</t>
        </is>
      </c>
      <c r="B119" s="97" t="inlineStr">
        <is>
          <t xml:space="preserve">L </t>
        </is>
      </c>
      <c r="C119" s="97" t="inlineStr">
        <is>
          <t>1-34 Bulan</t>
        </is>
      </c>
      <c r="D119" s="97" t="inlineStr">
        <is>
          <t>9.7</t>
        </is>
      </c>
      <c r="E119" s="97" t="n">
        <v>83</v>
      </c>
      <c r="F119" s="97" t="inlineStr">
        <is>
          <t>Kurang</t>
        </is>
      </c>
      <c r="G119" s="97" t="inlineStr">
        <is>
          <t>Pendek</t>
        </is>
      </c>
      <c r="H119" s="97" t="inlineStr">
        <is>
          <t>Gizi Baik</t>
        </is>
      </c>
      <c r="I119" s="97" t="inlineStr">
        <is>
          <t>Ya</t>
        </is>
      </c>
      <c r="J119" s="97" t="inlineStr">
        <is>
          <t>Potensi Stunting</t>
        </is>
      </c>
    </row>
    <row r="120" ht="15.75" customHeight="1" s="95">
      <c r="A120" s="97" t="inlineStr">
        <is>
          <t>anonymus0119</t>
        </is>
      </c>
      <c r="B120" s="97" t="inlineStr">
        <is>
          <t>P</t>
        </is>
      </c>
      <c r="C120" s="97" t="inlineStr">
        <is>
          <t>1-34 Bulan</t>
        </is>
      </c>
      <c r="D120" s="97" t="n">
        <v>8.199999999999999</v>
      </c>
      <c r="E120" s="97" t="n">
        <v>75</v>
      </c>
      <c r="F120" s="97" t="inlineStr">
        <is>
          <t>Normal</t>
        </is>
      </c>
      <c r="G120" s="97" t="inlineStr">
        <is>
          <t>Pendek</t>
        </is>
      </c>
      <c r="H120" s="97" t="inlineStr">
        <is>
          <t>Gizi Baik</t>
        </is>
      </c>
      <c r="I120" s="97" t="inlineStr">
        <is>
          <t>Ya</t>
        </is>
      </c>
      <c r="J120" s="97" t="inlineStr">
        <is>
          <t>Potensi Stunting</t>
        </is>
      </c>
    </row>
    <row r="121" ht="15.75" customHeight="1" s="95">
      <c r="A121" s="97" t="inlineStr">
        <is>
          <t>anonymus0120</t>
        </is>
      </c>
      <c r="B121" s="97" t="inlineStr">
        <is>
          <t>L</t>
        </is>
      </c>
      <c r="C121" s="97" t="inlineStr">
        <is>
          <t>35-69 Bulan</t>
        </is>
      </c>
      <c r="D121" s="97" t="n">
        <v>12</v>
      </c>
      <c r="E121" s="97" t="n">
        <v>92</v>
      </c>
      <c r="F121" s="97" t="inlineStr">
        <is>
          <t>Normal</t>
        </is>
      </c>
      <c r="G121" s="97" t="inlineStr">
        <is>
          <t>Pendek</t>
        </is>
      </c>
      <c r="H121" s="97" t="inlineStr">
        <is>
          <t>Gizi Baik</t>
        </is>
      </c>
      <c r="I121" s="97" t="inlineStr">
        <is>
          <t>Ya</t>
        </is>
      </c>
      <c r="J121" s="97" t="inlineStr">
        <is>
          <t>Potensi Stunting</t>
        </is>
      </c>
    </row>
    <row r="122" ht="15.75" customHeight="1" s="95">
      <c r="A122" s="97" t="inlineStr">
        <is>
          <t>anonymus0121</t>
        </is>
      </c>
      <c r="B122" s="97" t="inlineStr">
        <is>
          <t>L</t>
        </is>
      </c>
      <c r="C122" s="97" t="inlineStr">
        <is>
          <t>35-69 Bulan</t>
        </is>
      </c>
      <c r="D122" s="97" t="n">
        <v>13.6</v>
      </c>
      <c r="E122" s="97" t="n">
        <v>102</v>
      </c>
      <c r="F122" s="97" t="inlineStr">
        <is>
          <t>Normal</t>
        </is>
      </c>
      <c r="G122" s="97" t="inlineStr">
        <is>
          <t>Normal</t>
        </is>
      </c>
      <c r="H122" s="97" t="inlineStr">
        <is>
          <t>Gizi Baik</t>
        </is>
      </c>
      <c r="I122" s="97" t="inlineStr">
        <is>
          <t>Ya</t>
        </is>
      </c>
      <c r="J122" s="97" t="inlineStr">
        <is>
          <t>Tidak</t>
        </is>
      </c>
    </row>
    <row r="123" ht="15.75" customHeight="1" s="95">
      <c r="A123" s="97" t="inlineStr">
        <is>
          <t>anonymus0122</t>
        </is>
      </c>
      <c r="B123" s="97" t="inlineStr">
        <is>
          <t>L</t>
        </is>
      </c>
      <c r="C123" s="97" t="inlineStr">
        <is>
          <t>1-34 Bulan</t>
        </is>
      </c>
      <c r="D123" s="97" t="n">
        <v>8.5</v>
      </c>
      <c r="E123" s="97" t="n">
        <v>73</v>
      </c>
      <c r="F123" s="97" t="inlineStr">
        <is>
          <t>Normal</t>
        </is>
      </c>
      <c r="G123" s="97" t="inlineStr">
        <is>
          <t>Pendek</t>
        </is>
      </c>
      <c r="H123" s="97" t="inlineStr">
        <is>
          <t>Gizi Baik</t>
        </is>
      </c>
      <c r="I123" s="97" t="inlineStr">
        <is>
          <t>Ya</t>
        </is>
      </c>
      <c r="J123" s="97" t="inlineStr">
        <is>
          <t>Potensi Stunting</t>
        </is>
      </c>
    </row>
    <row r="124" ht="15.75" customHeight="1" s="95">
      <c r="A124" s="97" t="inlineStr">
        <is>
          <t>anonymus0123</t>
        </is>
      </c>
      <c r="B124" s="97" t="inlineStr">
        <is>
          <t xml:space="preserve">L </t>
        </is>
      </c>
      <c r="C124" s="97" t="inlineStr">
        <is>
          <t>1-34 Bulan</t>
        </is>
      </c>
      <c r="D124" s="97" t="inlineStr">
        <is>
          <t>8.8</t>
        </is>
      </c>
      <c r="E124" s="97" t="n">
        <v>72</v>
      </c>
      <c r="F124" s="97" t="inlineStr">
        <is>
          <t>Normal</t>
        </is>
      </c>
      <c r="G124" s="97" t="inlineStr">
        <is>
          <t>Pendek</t>
        </is>
      </c>
      <c r="H124" s="97" t="inlineStr">
        <is>
          <t>Gizi Baik</t>
        </is>
      </c>
      <c r="I124" s="97" t="inlineStr">
        <is>
          <t>Ya</t>
        </is>
      </c>
      <c r="J124" s="97" t="inlineStr">
        <is>
          <t>Potensi Stunting</t>
        </is>
      </c>
    </row>
    <row r="125" ht="15.75" customHeight="1" s="95">
      <c r="A125" s="97" t="inlineStr">
        <is>
          <t>anonymus0124</t>
        </is>
      </c>
      <c r="B125" s="97" t="inlineStr">
        <is>
          <t>P</t>
        </is>
      </c>
      <c r="C125" s="97" t="inlineStr">
        <is>
          <t>35-69 Bulan</t>
        </is>
      </c>
      <c r="D125" s="97" t="n">
        <v>11.7</v>
      </c>
      <c r="E125" s="97" t="n">
        <v>95</v>
      </c>
      <c r="F125" s="97" t="inlineStr">
        <is>
          <t>Normal</t>
        </is>
      </c>
      <c r="G125" s="97" t="inlineStr">
        <is>
          <t>Normal</t>
        </is>
      </c>
      <c r="H125" s="97" t="inlineStr">
        <is>
          <t>Gizi Baik</t>
        </is>
      </c>
      <c r="I125" s="97" t="inlineStr">
        <is>
          <t>Ya</t>
        </is>
      </c>
      <c r="J125" s="97" t="inlineStr">
        <is>
          <t>Tidak</t>
        </is>
      </c>
    </row>
    <row r="126" ht="15.75" customHeight="1" s="95">
      <c r="A126" s="97" t="inlineStr">
        <is>
          <t>anonymus0125</t>
        </is>
      </c>
      <c r="B126" s="97" t="inlineStr">
        <is>
          <t>L</t>
        </is>
      </c>
      <c r="C126" s="97" t="inlineStr">
        <is>
          <t>1-34 Bulan</t>
        </is>
      </c>
      <c r="D126" s="97" t="n">
        <v>7.6</v>
      </c>
      <c r="E126" s="97" t="n">
        <v>85</v>
      </c>
      <c r="F126" s="97" t="inlineStr">
        <is>
          <t>Kurang</t>
        </is>
      </c>
      <c r="G126" s="97" t="inlineStr">
        <is>
          <t>Normal</t>
        </is>
      </c>
      <c r="H126" s="97" t="inlineStr">
        <is>
          <t>Gizi Kurang</t>
        </is>
      </c>
      <c r="I126" s="97" t="inlineStr">
        <is>
          <t>Ya</t>
        </is>
      </c>
      <c r="J126" s="97" t="inlineStr">
        <is>
          <t>Tidak</t>
        </is>
      </c>
    </row>
    <row r="127" ht="15.75" customHeight="1" s="95">
      <c r="A127" s="97" t="inlineStr">
        <is>
          <t>anonymus0126</t>
        </is>
      </c>
      <c r="B127" s="97" t="inlineStr">
        <is>
          <t>P</t>
        </is>
      </c>
      <c r="C127" s="97" t="inlineStr">
        <is>
          <t>35-69 Bulan</t>
        </is>
      </c>
      <c r="D127" s="97" t="n">
        <v>11.4</v>
      </c>
      <c r="E127" s="97" t="n">
        <v>115</v>
      </c>
      <c r="F127" s="97" t="inlineStr">
        <is>
          <t>Normal</t>
        </is>
      </c>
      <c r="G127" s="97" t="inlineStr">
        <is>
          <t>Normal</t>
        </is>
      </c>
      <c r="H127" s="97" t="inlineStr">
        <is>
          <t>Gizi Baik</t>
        </is>
      </c>
      <c r="I127" s="97" t="inlineStr">
        <is>
          <t>Ya</t>
        </is>
      </c>
      <c r="J127" s="97" t="inlineStr">
        <is>
          <t>Tidak</t>
        </is>
      </c>
    </row>
    <row r="128" ht="15.75" customHeight="1" s="95">
      <c r="A128" s="97" t="inlineStr">
        <is>
          <t>anonymus0127</t>
        </is>
      </c>
      <c r="B128" s="97" t="inlineStr">
        <is>
          <t xml:space="preserve">L </t>
        </is>
      </c>
      <c r="C128" s="97" t="inlineStr">
        <is>
          <t>35-69 Bulan</t>
        </is>
      </c>
      <c r="D128" s="97" t="inlineStr">
        <is>
          <t>17.4</t>
        </is>
      </c>
      <c r="E128" s="97" t="n">
        <v>101</v>
      </c>
      <c r="F128" s="97" t="inlineStr">
        <is>
          <t>Normal</t>
        </is>
      </c>
      <c r="G128" s="97" t="inlineStr">
        <is>
          <t>Normal</t>
        </is>
      </c>
      <c r="H128" s="97" t="inlineStr">
        <is>
          <t>Risiko Gizi Lebih</t>
        </is>
      </c>
      <c r="I128" s="97" t="inlineStr">
        <is>
          <t>Ya</t>
        </is>
      </c>
      <c r="J128" s="97" t="inlineStr">
        <is>
          <t>Tidak</t>
        </is>
      </c>
    </row>
    <row r="129" ht="15.75" customHeight="1" s="95">
      <c r="A129" s="97" t="inlineStr">
        <is>
          <t>anonymus0128</t>
        </is>
      </c>
      <c r="B129" s="97" t="inlineStr">
        <is>
          <t>L</t>
        </is>
      </c>
      <c r="C129" s="97" t="inlineStr">
        <is>
          <t>1-34 Bulan</t>
        </is>
      </c>
      <c r="D129" s="97" t="n">
        <v>13.3</v>
      </c>
      <c r="E129" s="97" t="n">
        <v>100</v>
      </c>
      <c r="F129" s="97" t="inlineStr">
        <is>
          <t>Normal</t>
        </is>
      </c>
      <c r="G129" s="97" t="inlineStr">
        <is>
          <t>Normal</t>
        </is>
      </c>
      <c r="H129" s="97" t="inlineStr">
        <is>
          <t>Gizi Baik</t>
        </is>
      </c>
      <c r="I129" s="97" t="inlineStr">
        <is>
          <t>Ya</t>
        </is>
      </c>
      <c r="J129" s="97" t="inlineStr">
        <is>
          <t>Tidak</t>
        </is>
      </c>
    </row>
    <row r="130" ht="15.75" customHeight="1" s="95">
      <c r="A130" s="97" t="inlineStr">
        <is>
          <t>anonymus0129</t>
        </is>
      </c>
      <c r="B130" s="97" t="inlineStr">
        <is>
          <t>L</t>
        </is>
      </c>
      <c r="C130" s="97" t="inlineStr">
        <is>
          <t>35-69 Bulan</t>
        </is>
      </c>
      <c r="D130" s="97" t="n">
        <v>16.4</v>
      </c>
      <c r="E130" s="97" t="n">
        <v>103</v>
      </c>
      <c r="F130" s="97" t="inlineStr">
        <is>
          <t>Normal</t>
        </is>
      </c>
      <c r="G130" s="97" t="inlineStr">
        <is>
          <t>Normal</t>
        </is>
      </c>
      <c r="H130" s="97" t="inlineStr">
        <is>
          <t>Gizi Baik</t>
        </is>
      </c>
      <c r="I130" s="97" t="inlineStr">
        <is>
          <t>Ya</t>
        </is>
      </c>
      <c r="J130" s="97" t="inlineStr">
        <is>
          <t>Tidak</t>
        </is>
      </c>
    </row>
    <row r="131" ht="15.75" customHeight="1" s="95">
      <c r="A131" s="97" t="inlineStr">
        <is>
          <t>anonymus0130</t>
        </is>
      </c>
      <c r="B131" s="97" t="inlineStr">
        <is>
          <t>L</t>
        </is>
      </c>
      <c r="C131" s="97" t="inlineStr">
        <is>
          <t>1-34 Bulan</t>
        </is>
      </c>
      <c r="D131" s="97" t="n">
        <v>8</v>
      </c>
      <c r="E131" s="97" t="n">
        <v>75</v>
      </c>
      <c r="F131" s="97" t="inlineStr">
        <is>
          <t>Kurang</t>
        </is>
      </c>
      <c r="G131" s="97" t="inlineStr">
        <is>
          <t>Pendek</t>
        </is>
      </c>
      <c r="H131" s="97" t="inlineStr">
        <is>
          <t>Gizi Kurang</t>
        </is>
      </c>
      <c r="I131" s="97" t="inlineStr">
        <is>
          <t>Ya</t>
        </is>
      </c>
      <c r="J131" s="97" t="inlineStr">
        <is>
          <t>Potensi Stunting</t>
        </is>
      </c>
    </row>
    <row r="132" ht="15.75" customHeight="1" s="95">
      <c r="A132" s="97" t="inlineStr">
        <is>
          <t>anonymus0131</t>
        </is>
      </c>
      <c r="B132" s="97" t="inlineStr">
        <is>
          <t xml:space="preserve">P </t>
        </is>
      </c>
      <c r="C132" s="97" t="inlineStr">
        <is>
          <t>35-69 Bulan</t>
        </is>
      </c>
      <c r="D132" s="97" t="inlineStr">
        <is>
          <t>17.2</t>
        </is>
      </c>
      <c r="E132" s="97" t="n">
        <v>105</v>
      </c>
      <c r="F132" s="97" t="inlineStr">
        <is>
          <t>Normal</t>
        </is>
      </c>
      <c r="G132" s="97" t="inlineStr">
        <is>
          <t>Normal</t>
        </is>
      </c>
      <c r="H132" s="97" t="inlineStr">
        <is>
          <t>Gizi Baik</t>
        </is>
      </c>
      <c r="I132" s="97" t="inlineStr">
        <is>
          <t>Ya</t>
        </is>
      </c>
      <c r="J132" s="97" t="inlineStr">
        <is>
          <t>Tidak</t>
        </is>
      </c>
    </row>
    <row r="133" ht="15.75" customHeight="1" s="95">
      <c r="A133" s="97" t="inlineStr">
        <is>
          <t>anonymus0132</t>
        </is>
      </c>
      <c r="B133" s="97" t="inlineStr">
        <is>
          <t>L</t>
        </is>
      </c>
      <c r="C133" s="97" t="inlineStr">
        <is>
          <t>35-69 Bulan</t>
        </is>
      </c>
      <c r="D133" s="97" t="n">
        <v>10.5</v>
      </c>
      <c r="E133" s="97" t="n">
        <v>82</v>
      </c>
      <c r="F133" s="97" t="inlineStr">
        <is>
          <t>Normal</t>
        </is>
      </c>
      <c r="G133" s="97" t="inlineStr">
        <is>
          <t>Pendek</t>
        </is>
      </c>
      <c r="H133" s="97" t="inlineStr">
        <is>
          <t>Gizi Baik</t>
        </is>
      </c>
      <c r="I133" s="97" t="inlineStr">
        <is>
          <t>Ya</t>
        </is>
      </c>
      <c r="J133" s="97" t="inlineStr">
        <is>
          <t>Potensi Stunting</t>
        </is>
      </c>
    </row>
    <row r="134" ht="15.75" customHeight="1" s="95">
      <c r="A134" s="97" t="inlineStr">
        <is>
          <t>anonymus0133</t>
        </is>
      </c>
      <c r="B134" s="97" t="inlineStr">
        <is>
          <t xml:space="preserve">P </t>
        </is>
      </c>
      <c r="C134" s="97" t="inlineStr">
        <is>
          <t>35-69 Bulan</t>
        </is>
      </c>
      <c r="D134" s="97" t="inlineStr">
        <is>
          <t>18.9</t>
        </is>
      </c>
      <c r="E134" s="97" t="n">
        <v>105</v>
      </c>
      <c r="F134" s="97" t="inlineStr">
        <is>
          <t>Risiko Lebih</t>
        </is>
      </c>
      <c r="G134" s="97" t="inlineStr">
        <is>
          <t>Normal</t>
        </is>
      </c>
      <c r="H134" s="97" t="inlineStr">
        <is>
          <t>Risiko Gizi Lebih</t>
        </is>
      </c>
      <c r="I134" s="97" t="inlineStr">
        <is>
          <t>Ya</t>
        </is>
      </c>
      <c r="J134" s="97" t="inlineStr">
        <is>
          <t>Tidak</t>
        </is>
      </c>
    </row>
    <row r="135" ht="15.75" customHeight="1" s="95">
      <c r="A135" s="97" t="inlineStr">
        <is>
          <t>anonymus0134</t>
        </is>
      </c>
      <c r="B135" s="97" t="inlineStr">
        <is>
          <t xml:space="preserve">L </t>
        </is>
      </c>
      <c r="C135" s="97" t="inlineStr">
        <is>
          <t>35-69 Bulan</t>
        </is>
      </c>
      <c r="D135" s="97" t="inlineStr">
        <is>
          <t>15.8</t>
        </is>
      </c>
      <c r="E135" s="97" t="n">
        <v>107</v>
      </c>
      <c r="F135" s="97" t="inlineStr">
        <is>
          <t>Normal</t>
        </is>
      </c>
      <c r="G135" s="97" t="inlineStr">
        <is>
          <t>Normal</t>
        </is>
      </c>
      <c r="H135" s="97" t="inlineStr">
        <is>
          <t>Gizi Baik</t>
        </is>
      </c>
      <c r="I135" s="97" t="inlineStr">
        <is>
          <t>Ya</t>
        </is>
      </c>
      <c r="J135" s="97" t="inlineStr">
        <is>
          <t>Tidak</t>
        </is>
      </c>
    </row>
    <row r="136" ht="15.75" customHeight="1" s="95">
      <c r="A136" s="97" t="inlineStr">
        <is>
          <t>anonymus0135</t>
        </is>
      </c>
      <c r="B136" s="97" t="inlineStr">
        <is>
          <t xml:space="preserve">L </t>
        </is>
      </c>
      <c r="C136" s="97" t="inlineStr">
        <is>
          <t>35-69 Bulan</t>
        </is>
      </c>
      <c r="D136" s="97" t="inlineStr">
        <is>
          <t>16.9</t>
        </is>
      </c>
      <c r="E136" s="97" t="n">
        <v>103</v>
      </c>
      <c r="F136" s="97" t="inlineStr">
        <is>
          <t>Normal</t>
        </is>
      </c>
      <c r="G136" s="97" t="inlineStr">
        <is>
          <t>Normal</t>
        </is>
      </c>
      <c r="H136" s="97" t="inlineStr">
        <is>
          <t>Gizi Baik</t>
        </is>
      </c>
      <c r="I136" s="97" t="inlineStr">
        <is>
          <t>Ya</t>
        </is>
      </c>
      <c r="J136" s="97" t="inlineStr">
        <is>
          <t>Tidak</t>
        </is>
      </c>
    </row>
    <row r="137" ht="15.75" customHeight="1" s="95">
      <c r="A137" s="97" t="inlineStr">
        <is>
          <t>anonymus0136</t>
        </is>
      </c>
      <c r="B137" s="97" t="inlineStr">
        <is>
          <t xml:space="preserve">L </t>
        </is>
      </c>
      <c r="C137" s="97" t="inlineStr">
        <is>
          <t>1-34 Bulan</t>
        </is>
      </c>
      <c r="D137" s="97" t="inlineStr">
        <is>
          <t>9.2</t>
        </is>
      </c>
      <c r="E137" s="97" t="n">
        <v>78</v>
      </c>
      <c r="F137" s="97" t="inlineStr">
        <is>
          <t>Normal</t>
        </is>
      </c>
      <c r="G137" s="97" t="inlineStr">
        <is>
          <t>Normal</t>
        </is>
      </c>
      <c r="H137" s="97" t="inlineStr">
        <is>
          <t>Gizi Baik</t>
        </is>
      </c>
      <c r="I137" s="97" t="inlineStr">
        <is>
          <t>Ya</t>
        </is>
      </c>
      <c r="J137" s="97" t="inlineStr">
        <is>
          <t>Tidak</t>
        </is>
      </c>
    </row>
    <row r="138" ht="15.75" customHeight="1" s="95">
      <c r="A138" s="97" t="inlineStr">
        <is>
          <t>anonymus0137</t>
        </is>
      </c>
      <c r="B138" s="97" t="inlineStr">
        <is>
          <t>P</t>
        </is>
      </c>
      <c r="C138" s="97" t="inlineStr">
        <is>
          <t>1-34 Bulan</t>
        </is>
      </c>
      <c r="D138" s="97" t="n">
        <v>13.4</v>
      </c>
      <c r="E138" s="97" t="n">
        <v>75</v>
      </c>
      <c r="F138" s="97" t="inlineStr">
        <is>
          <t>Normal</t>
        </is>
      </c>
      <c r="G138" s="97" t="inlineStr">
        <is>
          <t>Normal</t>
        </is>
      </c>
      <c r="H138" s="97" t="inlineStr">
        <is>
          <t>Gizi Baik</t>
        </is>
      </c>
      <c r="I138" s="97" t="inlineStr">
        <is>
          <t>Ya</t>
        </is>
      </c>
      <c r="J138" s="97" t="inlineStr">
        <is>
          <t>Tidak</t>
        </is>
      </c>
    </row>
    <row r="139" ht="15.75" customHeight="1" s="95">
      <c r="A139" s="97" t="inlineStr">
        <is>
          <t>anonymus0138</t>
        </is>
      </c>
      <c r="B139" s="97" t="inlineStr">
        <is>
          <t xml:space="preserve">L </t>
        </is>
      </c>
      <c r="C139" s="97" t="inlineStr">
        <is>
          <t>1-34 Bulan</t>
        </is>
      </c>
      <c r="D139" s="97" t="inlineStr">
        <is>
          <t>10.3</t>
        </is>
      </c>
      <c r="E139" s="97" t="n">
        <v>77</v>
      </c>
      <c r="F139" s="97" t="inlineStr">
        <is>
          <t>Normal</t>
        </is>
      </c>
      <c r="G139" s="97" t="inlineStr">
        <is>
          <t>Normal</t>
        </is>
      </c>
      <c r="H139" s="97" t="inlineStr">
        <is>
          <t>Gizi Baik</t>
        </is>
      </c>
      <c r="I139" s="97" t="inlineStr">
        <is>
          <t>Ya</t>
        </is>
      </c>
      <c r="J139" s="97" t="inlineStr">
        <is>
          <t>Tidak</t>
        </is>
      </c>
    </row>
    <row r="140" ht="15.75" customHeight="1" s="95">
      <c r="A140" s="97" t="inlineStr">
        <is>
          <t>anonymus0139</t>
        </is>
      </c>
      <c r="B140" s="97" t="inlineStr">
        <is>
          <t>L</t>
        </is>
      </c>
      <c r="C140" s="97" t="inlineStr">
        <is>
          <t>35-69 Bulan</t>
        </is>
      </c>
      <c r="D140" s="97" t="n">
        <v>18.3</v>
      </c>
      <c r="E140" s="97" t="n">
        <v>99</v>
      </c>
      <c r="F140" s="97" t="inlineStr">
        <is>
          <t>Risiko Lebih</t>
        </is>
      </c>
      <c r="G140" s="97" t="inlineStr">
        <is>
          <t>Normal</t>
        </is>
      </c>
      <c r="H140" s="97" t="inlineStr">
        <is>
          <t>Gizi Lebih</t>
        </is>
      </c>
      <c r="I140" s="97" t="inlineStr">
        <is>
          <t>Ya</t>
        </is>
      </c>
      <c r="J140" s="97" t="inlineStr">
        <is>
          <t>Tidak</t>
        </is>
      </c>
    </row>
    <row r="141" ht="15.75" customHeight="1" s="95">
      <c r="A141" s="97" t="inlineStr">
        <is>
          <t>anonymus0140</t>
        </is>
      </c>
      <c r="B141" s="97" t="inlineStr">
        <is>
          <t>L</t>
        </is>
      </c>
      <c r="C141" s="97" t="inlineStr">
        <is>
          <t>35-69 Bulan</t>
        </is>
      </c>
      <c r="D141" s="97" t="n">
        <v>9</v>
      </c>
      <c r="E141" s="97" t="n">
        <v>68</v>
      </c>
      <c r="F141" s="97" t="inlineStr">
        <is>
          <t>Normal</t>
        </is>
      </c>
      <c r="G141" s="97" t="inlineStr">
        <is>
          <t>Sangat Pendek</t>
        </is>
      </c>
      <c r="H141" s="97" t="inlineStr">
        <is>
          <t>Risiko Gizi Lebih</t>
        </is>
      </c>
      <c r="I141" s="97" t="inlineStr">
        <is>
          <t>Ya</t>
        </is>
      </c>
      <c r="J141" s="97" t="inlineStr">
        <is>
          <t>Stunting</t>
        </is>
      </c>
    </row>
    <row r="142" ht="15.75" customHeight="1" s="95">
      <c r="A142" s="97" t="inlineStr">
        <is>
          <t>anonymus0141</t>
        </is>
      </c>
      <c r="B142" s="97" t="inlineStr">
        <is>
          <t>L</t>
        </is>
      </c>
      <c r="C142" s="97" t="inlineStr">
        <is>
          <t>1-34 Bulan</t>
        </is>
      </c>
      <c r="D142" s="97" t="n">
        <v>10.9</v>
      </c>
      <c r="E142" s="97" t="n">
        <v>96</v>
      </c>
      <c r="F142" s="97" t="inlineStr">
        <is>
          <t>Normal</t>
        </is>
      </c>
      <c r="G142" s="97" t="inlineStr">
        <is>
          <t>Normal</t>
        </is>
      </c>
      <c r="H142" s="97" t="inlineStr">
        <is>
          <t>Gizi Baik</t>
        </is>
      </c>
      <c r="I142" s="97" t="inlineStr">
        <is>
          <t>Ya</t>
        </is>
      </c>
      <c r="J142" s="97" t="inlineStr">
        <is>
          <t>Tidak</t>
        </is>
      </c>
    </row>
    <row r="143" ht="15.75" customHeight="1" s="95">
      <c r="A143" s="97" t="inlineStr">
        <is>
          <t>anonymus0142</t>
        </is>
      </c>
      <c r="B143" s="97" t="inlineStr">
        <is>
          <t xml:space="preserve">L </t>
        </is>
      </c>
      <c r="C143" s="97" t="inlineStr">
        <is>
          <t>1-34 Bulan</t>
        </is>
      </c>
      <c r="D143" s="97" t="inlineStr">
        <is>
          <t>12.3</t>
        </is>
      </c>
      <c r="E143" s="97" t="n">
        <v>90</v>
      </c>
      <c r="F143" s="97" t="inlineStr">
        <is>
          <t>Normal</t>
        </is>
      </c>
      <c r="G143" s="97" t="inlineStr">
        <is>
          <t>Normal</t>
        </is>
      </c>
      <c r="H143" s="97" t="inlineStr">
        <is>
          <t>Gizi Baik</t>
        </is>
      </c>
      <c r="I143" s="97" t="inlineStr">
        <is>
          <t>Ya</t>
        </is>
      </c>
      <c r="J143" s="97" t="inlineStr">
        <is>
          <t>Tidak</t>
        </is>
      </c>
    </row>
    <row r="144" ht="15.75" customHeight="1" s="95">
      <c r="A144" s="97" t="inlineStr">
        <is>
          <t>anonymus0143</t>
        </is>
      </c>
      <c r="B144" s="97" t="inlineStr">
        <is>
          <t>L</t>
        </is>
      </c>
      <c r="C144" s="97" t="inlineStr">
        <is>
          <t>35-69 Bulan</t>
        </is>
      </c>
      <c r="D144" s="97" t="n">
        <v>16.7</v>
      </c>
      <c r="E144" s="97" t="n">
        <v>103</v>
      </c>
      <c r="F144" s="97" t="inlineStr">
        <is>
          <t>Normal</t>
        </is>
      </c>
      <c r="G144" s="97" t="inlineStr">
        <is>
          <t>Normal</t>
        </is>
      </c>
      <c r="H144" s="97" t="inlineStr">
        <is>
          <t>Gizi Baik</t>
        </is>
      </c>
      <c r="I144" s="97" t="inlineStr">
        <is>
          <t>Ya</t>
        </is>
      </c>
      <c r="J144" s="97" t="inlineStr">
        <is>
          <t>Tidak</t>
        </is>
      </c>
    </row>
    <row r="145" ht="15.75" customHeight="1" s="95">
      <c r="A145" s="97" t="inlineStr">
        <is>
          <t>anonymus0144</t>
        </is>
      </c>
      <c r="B145" s="97" t="inlineStr">
        <is>
          <t xml:space="preserve">P </t>
        </is>
      </c>
      <c r="C145" s="97" t="inlineStr">
        <is>
          <t>1-34 Bulan</t>
        </is>
      </c>
      <c r="D145" s="97" t="inlineStr">
        <is>
          <t>9.5</t>
        </is>
      </c>
      <c r="E145" s="97" t="n">
        <v>73</v>
      </c>
      <c r="F145" s="97" t="inlineStr">
        <is>
          <t>Normal</t>
        </is>
      </c>
      <c r="G145" s="97" t="inlineStr">
        <is>
          <t>Pendek</t>
        </is>
      </c>
      <c r="H145" s="97" t="inlineStr">
        <is>
          <t>Gizi Baik</t>
        </is>
      </c>
      <c r="I145" s="97" t="inlineStr">
        <is>
          <t>Ya</t>
        </is>
      </c>
      <c r="J145" s="97" t="inlineStr">
        <is>
          <t>Potensi Stunting</t>
        </is>
      </c>
    </row>
    <row r="146" ht="15.75" customHeight="1" s="95">
      <c r="A146" s="97" t="inlineStr">
        <is>
          <t>anonymus0145</t>
        </is>
      </c>
      <c r="B146" s="97" t="inlineStr">
        <is>
          <t>L</t>
        </is>
      </c>
      <c r="C146" s="97" t="inlineStr">
        <is>
          <t>35-69 Bulan</t>
        </is>
      </c>
      <c r="D146" s="97" t="n">
        <v>11.6</v>
      </c>
      <c r="E146" s="97" t="n">
        <v>85</v>
      </c>
      <c r="F146" s="97" t="inlineStr">
        <is>
          <t>Normal</t>
        </is>
      </c>
      <c r="G146" s="97" t="inlineStr">
        <is>
          <t>Pendek</t>
        </is>
      </c>
      <c r="H146" s="97" t="inlineStr">
        <is>
          <t>Gizi Baik</t>
        </is>
      </c>
      <c r="I146" s="97" t="inlineStr">
        <is>
          <t>Ya</t>
        </is>
      </c>
      <c r="J146" s="97" t="inlineStr">
        <is>
          <t>Potensi Stunting</t>
        </is>
      </c>
    </row>
    <row r="147" ht="15.75" customHeight="1" s="95">
      <c r="A147" s="97" t="inlineStr">
        <is>
          <t>anonymus0146</t>
        </is>
      </c>
      <c r="B147" s="97" t="inlineStr">
        <is>
          <t>L</t>
        </is>
      </c>
      <c r="C147" s="97" t="inlineStr">
        <is>
          <t>35-69 Bulan</t>
        </is>
      </c>
      <c r="D147" s="97" t="n">
        <v>13.8</v>
      </c>
      <c r="E147" s="97" t="n">
        <v>104</v>
      </c>
      <c r="F147" s="97" t="inlineStr">
        <is>
          <t>Kurang</t>
        </is>
      </c>
      <c r="G147" s="97" t="inlineStr">
        <is>
          <t>Normal</t>
        </is>
      </c>
      <c r="H147" s="97" t="inlineStr">
        <is>
          <t>Gizi Kurang</t>
        </is>
      </c>
      <c r="I147" s="97" t="inlineStr">
        <is>
          <t>Ya</t>
        </is>
      </c>
      <c r="J147" s="97" t="inlineStr">
        <is>
          <t>Tidak</t>
        </is>
      </c>
    </row>
    <row r="148" ht="15.75" customHeight="1" s="95">
      <c r="A148" s="97" t="inlineStr">
        <is>
          <t>anonymus0147</t>
        </is>
      </c>
      <c r="B148" s="97" t="inlineStr">
        <is>
          <t>L</t>
        </is>
      </c>
      <c r="C148" s="97" t="inlineStr">
        <is>
          <t>1-34 Bulan</t>
        </is>
      </c>
      <c r="D148" s="97" t="n">
        <v>9.1</v>
      </c>
      <c r="E148" s="97" t="n">
        <v>92</v>
      </c>
      <c r="F148" s="97" t="inlineStr">
        <is>
          <t>Normal</t>
        </is>
      </c>
      <c r="G148" s="97" t="inlineStr">
        <is>
          <t>Normal</t>
        </is>
      </c>
      <c r="H148" s="97" t="inlineStr">
        <is>
          <t>Gizi Baik</t>
        </is>
      </c>
      <c r="I148" s="97" t="inlineStr">
        <is>
          <t>Ya</t>
        </is>
      </c>
      <c r="J148" s="97" t="inlineStr">
        <is>
          <t>Tidak</t>
        </is>
      </c>
    </row>
    <row r="149" ht="15.75" customHeight="1" s="95">
      <c r="A149" s="97" t="inlineStr">
        <is>
          <t>anonymus0148</t>
        </is>
      </c>
      <c r="B149" s="97" t="inlineStr">
        <is>
          <t>P</t>
        </is>
      </c>
      <c r="C149" s="97" t="inlineStr">
        <is>
          <t>35-69 Bulan</t>
        </is>
      </c>
      <c r="D149" s="97" t="n">
        <v>17.7</v>
      </c>
      <c r="E149" s="97" t="n">
        <v>116</v>
      </c>
      <c r="F149" s="97" t="inlineStr">
        <is>
          <t>Risiko Lebih</t>
        </is>
      </c>
      <c r="G149" s="97" t="inlineStr">
        <is>
          <t>Normal</t>
        </is>
      </c>
      <c r="H149" s="97" t="inlineStr">
        <is>
          <t>Gizi Lebih</t>
        </is>
      </c>
      <c r="I149" s="97" t="inlineStr">
        <is>
          <t>Ya</t>
        </is>
      </c>
      <c r="J149" s="97" t="inlineStr">
        <is>
          <t>Tidak</t>
        </is>
      </c>
    </row>
    <row r="150" ht="15.75" customHeight="1" s="95">
      <c r="A150" s="97" t="inlineStr">
        <is>
          <t>anonymus0149</t>
        </is>
      </c>
      <c r="B150" s="97" t="inlineStr">
        <is>
          <t>L</t>
        </is>
      </c>
      <c r="C150" s="97" t="inlineStr">
        <is>
          <t>1-34 Bulan</t>
        </is>
      </c>
      <c r="D150" s="97" t="n">
        <v>6.7</v>
      </c>
      <c r="E150" s="97" t="n">
        <v>87</v>
      </c>
      <c r="F150" s="97" t="inlineStr">
        <is>
          <t>Kurang</t>
        </is>
      </c>
      <c r="G150" s="97" t="inlineStr">
        <is>
          <t>Normal</t>
        </is>
      </c>
      <c r="H150" s="97" t="inlineStr">
        <is>
          <t>Gizi Kurang</t>
        </is>
      </c>
      <c r="I150" s="97" t="inlineStr">
        <is>
          <t>Ya</t>
        </is>
      </c>
      <c r="J150" s="97" t="inlineStr">
        <is>
          <t>Tidak</t>
        </is>
      </c>
    </row>
    <row r="151" ht="15.75" customHeight="1" s="95">
      <c r="A151" s="97" t="inlineStr">
        <is>
          <t>anonymus0150</t>
        </is>
      </c>
      <c r="B151" s="97" t="inlineStr">
        <is>
          <t>P</t>
        </is>
      </c>
      <c r="C151" s="97" t="inlineStr">
        <is>
          <t>35-69 Bulan</t>
        </is>
      </c>
      <c r="D151" s="97" t="n">
        <v>19.1</v>
      </c>
      <c r="E151" s="97" t="n">
        <v>110</v>
      </c>
      <c r="F151" s="97" t="inlineStr">
        <is>
          <t>Risiko Lebih</t>
        </is>
      </c>
      <c r="G151" s="97" t="inlineStr">
        <is>
          <t>Normal</t>
        </is>
      </c>
      <c r="H151" s="97" t="inlineStr">
        <is>
          <t>Gizi Lebih</t>
        </is>
      </c>
      <c r="I151" s="97" t="inlineStr">
        <is>
          <t>Ya</t>
        </is>
      </c>
      <c r="J151" s="97" t="inlineStr">
        <is>
          <t>Tidak</t>
        </is>
      </c>
    </row>
    <row r="152" ht="15.75" customHeight="1" s="95">
      <c r="A152" s="97" t="inlineStr">
        <is>
          <t>anonymus0151</t>
        </is>
      </c>
      <c r="B152" s="97" t="inlineStr">
        <is>
          <t>P</t>
        </is>
      </c>
      <c r="C152" s="97" t="inlineStr">
        <is>
          <t>35-69 Bulan</t>
        </is>
      </c>
      <c r="D152" s="97" t="n">
        <v>15.4</v>
      </c>
      <c r="E152" s="97" t="n">
        <v>91</v>
      </c>
      <c r="F152" s="97" t="inlineStr">
        <is>
          <t>Normal</t>
        </is>
      </c>
      <c r="G152" s="97" t="inlineStr">
        <is>
          <t>Normal</t>
        </is>
      </c>
      <c r="H152" s="97" t="inlineStr">
        <is>
          <t>Gizi Baik</t>
        </is>
      </c>
      <c r="I152" s="97" t="inlineStr">
        <is>
          <t>Ya</t>
        </is>
      </c>
      <c r="J152" s="97" t="inlineStr">
        <is>
          <t>Tidak</t>
        </is>
      </c>
    </row>
    <row r="153" ht="15.75" customHeight="1" s="95">
      <c r="A153" s="97" t="inlineStr">
        <is>
          <t>anonymus0152</t>
        </is>
      </c>
      <c r="B153" s="97" t="inlineStr">
        <is>
          <t>L</t>
        </is>
      </c>
      <c r="C153" s="97" t="inlineStr">
        <is>
          <t>35-69 Bulan</t>
        </is>
      </c>
      <c r="D153" s="97" t="n">
        <v>13</v>
      </c>
      <c r="E153" s="97" t="n">
        <v>101</v>
      </c>
      <c r="F153" s="97" t="inlineStr">
        <is>
          <t>Kurang</t>
        </is>
      </c>
      <c r="G153" s="97" t="inlineStr">
        <is>
          <t>Normal</t>
        </is>
      </c>
      <c r="H153" s="97" t="inlineStr">
        <is>
          <t>Gizi Kurang</t>
        </is>
      </c>
      <c r="I153" s="97" t="inlineStr">
        <is>
          <t>Ya</t>
        </is>
      </c>
      <c r="J153" s="97" t="inlineStr">
        <is>
          <t>Tidak</t>
        </is>
      </c>
    </row>
    <row r="154" ht="15.75" customHeight="1" s="95">
      <c r="A154" s="97" t="inlineStr">
        <is>
          <t>anonymus0153</t>
        </is>
      </c>
      <c r="B154" s="97" t="inlineStr">
        <is>
          <t>L</t>
        </is>
      </c>
      <c r="C154" s="97" t="inlineStr">
        <is>
          <t>35-69 Bulan</t>
        </is>
      </c>
      <c r="D154" s="97" t="n">
        <v>13.4</v>
      </c>
      <c r="E154" s="97" t="n">
        <v>94</v>
      </c>
      <c r="F154" s="97" t="inlineStr">
        <is>
          <t>Normal</t>
        </is>
      </c>
      <c r="G154" s="97" t="inlineStr">
        <is>
          <t>Normal</t>
        </is>
      </c>
      <c r="H154" s="97" t="inlineStr">
        <is>
          <t>Gizi Baik</t>
        </is>
      </c>
      <c r="I154" s="97" t="inlineStr">
        <is>
          <t>Ya</t>
        </is>
      </c>
      <c r="J154" s="97" t="inlineStr">
        <is>
          <t>Tidak</t>
        </is>
      </c>
    </row>
    <row r="155" ht="15.75" customHeight="1" s="95">
      <c r="A155" s="97" t="inlineStr">
        <is>
          <t>anonymus0154</t>
        </is>
      </c>
      <c r="B155" s="97" t="inlineStr">
        <is>
          <t xml:space="preserve">L </t>
        </is>
      </c>
      <c r="C155" s="97" t="inlineStr">
        <is>
          <t>35-69 Bulan</t>
        </is>
      </c>
      <c r="D155" s="97" t="inlineStr">
        <is>
          <t>16.5</t>
        </is>
      </c>
      <c r="E155" s="97" t="n">
        <v>104</v>
      </c>
      <c r="F155" s="97" t="inlineStr">
        <is>
          <t>Normal</t>
        </is>
      </c>
      <c r="G155" s="97" t="inlineStr">
        <is>
          <t>Normal</t>
        </is>
      </c>
      <c r="H155" s="97" t="inlineStr">
        <is>
          <t>Gizi Baik</t>
        </is>
      </c>
      <c r="I155" s="97" t="inlineStr">
        <is>
          <t>Ya</t>
        </is>
      </c>
      <c r="J155" s="97" t="inlineStr">
        <is>
          <t>Tidak</t>
        </is>
      </c>
    </row>
    <row r="156" ht="15.75" customHeight="1" s="95">
      <c r="A156" s="97" t="inlineStr">
        <is>
          <t>anonymus0155</t>
        </is>
      </c>
      <c r="B156" s="97" t="inlineStr">
        <is>
          <t xml:space="preserve">P </t>
        </is>
      </c>
      <c r="C156" s="97" t="inlineStr">
        <is>
          <t>1-34 Bulan</t>
        </is>
      </c>
      <c r="D156" s="97" t="inlineStr">
        <is>
          <t>10.5</t>
        </is>
      </c>
      <c r="E156" s="97" t="n">
        <v>89</v>
      </c>
      <c r="F156" s="97" t="inlineStr">
        <is>
          <t>Kurang</t>
        </is>
      </c>
      <c r="G156" s="97" t="inlineStr">
        <is>
          <t>Pendek</t>
        </is>
      </c>
      <c r="H156" s="97" t="inlineStr">
        <is>
          <t>Gizi Baik</t>
        </is>
      </c>
      <c r="I156" s="97" t="inlineStr">
        <is>
          <t>Ya</t>
        </is>
      </c>
      <c r="J156" s="97" t="inlineStr">
        <is>
          <t>Potensi Stunting</t>
        </is>
      </c>
    </row>
    <row r="157" ht="15.75" customHeight="1" s="95">
      <c r="A157" s="97" t="inlineStr">
        <is>
          <t>anonymus0156</t>
        </is>
      </c>
      <c r="B157" s="97" t="inlineStr">
        <is>
          <t xml:space="preserve">P </t>
        </is>
      </c>
      <c r="C157" s="97" t="inlineStr">
        <is>
          <t>35-69 Bulan</t>
        </is>
      </c>
      <c r="D157" s="97" t="inlineStr">
        <is>
          <t>11.5</t>
        </is>
      </c>
      <c r="E157" s="97" t="n">
        <v>97</v>
      </c>
      <c r="F157" s="97" t="inlineStr">
        <is>
          <t>Kurang</t>
        </is>
      </c>
      <c r="G157" s="97" t="inlineStr">
        <is>
          <t>Normal</t>
        </is>
      </c>
      <c r="H157" s="97" t="inlineStr">
        <is>
          <t>Gizi Kurang</t>
        </is>
      </c>
      <c r="I157" s="97" t="inlineStr">
        <is>
          <t>Ya</t>
        </is>
      </c>
      <c r="J157" s="97" t="inlineStr">
        <is>
          <t>Tidak</t>
        </is>
      </c>
    </row>
    <row r="158" ht="15.75" customHeight="1" s="95">
      <c r="A158" s="97" t="inlineStr">
        <is>
          <t>anonymus0157</t>
        </is>
      </c>
      <c r="B158" s="97" t="inlineStr">
        <is>
          <t xml:space="preserve">L </t>
        </is>
      </c>
      <c r="C158" s="97" t="inlineStr">
        <is>
          <t>35-69 Bulan</t>
        </is>
      </c>
      <c r="D158" s="97" t="inlineStr">
        <is>
          <t>13.1</t>
        </is>
      </c>
      <c r="E158" s="97" t="n">
        <v>91</v>
      </c>
      <c r="F158" s="97" t="inlineStr">
        <is>
          <t>Normal</t>
        </is>
      </c>
      <c r="G158" s="97" t="inlineStr">
        <is>
          <t>Normal</t>
        </is>
      </c>
      <c r="H158" s="97" t="inlineStr">
        <is>
          <t>Gizi Baik</t>
        </is>
      </c>
      <c r="I158" s="97" t="inlineStr">
        <is>
          <t>Ya</t>
        </is>
      </c>
      <c r="J158" s="97" t="inlineStr">
        <is>
          <t>Tidak</t>
        </is>
      </c>
    </row>
    <row r="159" ht="15.75" customHeight="1" s="95">
      <c r="A159" s="97" t="inlineStr">
        <is>
          <t>anonymus0158</t>
        </is>
      </c>
      <c r="B159" s="97" t="inlineStr">
        <is>
          <t>L</t>
        </is>
      </c>
      <c r="C159" s="97" t="inlineStr">
        <is>
          <t>1-34 Bulan</t>
        </is>
      </c>
      <c r="D159" s="97" t="n">
        <v>5.8</v>
      </c>
      <c r="E159" s="97" t="n">
        <v>65</v>
      </c>
      <c r="F159" s="97" t="inlineStr">
        <is>
          <t>Normal</t>
        </is>
      </c>
      <c r="G159" s="97" t="inlineStr">
        <is>
          <t>Normal</t>
        </is>
      </c>
      <c r="H159" s="97" t="inlineStr">
        <is>
          <t>Gizi Kurang</t>
        </is>
      </c>
      <c r="I159" s="97" t="inlineStr">
        <is>
          <t>Ya</t>
        </is>
      </c>
      <c r="J159" s="97" t="inlineStr">
        <is>
          <t>Tidak</t>
        </is>
      </c>
    </row>
    <row r="160" ht="15.75" customHeight="1" s="95">
      <c r="A160" s="97" t="inlineStr">
        <is>
          <t>anonymus0159</t>
        </is>
      </c>
      <c r="B160" s="97" t="inlineStr">
        <is>
          <t>L</t>
        </is>
      </c>
      <c r="C160" s="97" t="inlineStr">
        <is>
          <t>35-69 Bulan</t>
        </is>
      </c>
      <c r="D160" s="97" t="n">
        <v>10.5</v>
      </c>
      <c r="E160" s="97" t="n">
        <v>86.8</v>
      </c>
      <c r="F160" s="97" t="inlineStr">
        <is>
          <t>Sangat Kurang</t>
        </is>
      </c>
      <c r="G160" s="97" t="inlineStr">
        <is>
          <t>Sangat Pendek</t>
        </is>
      </c>
      <c r="H160" s="97" t="inlineStr">
        <is>
          <t>Gizi Baik</t>
        </is>
      </c>
      <c r="I160" s="97" t="inlineStr">
        <is>
          <t>Ya</t>
        </is>
      </c>
      <c r="J160" s="97" t="inlineStr">
        <is>
          <t>Stunting</t>
        </is>
      </c>
    </row>
    <row r="161" ht="15.75" customHeight="1" s="95">
      <c r="A161" s="97" t="inlineStr">
        <is>
          <t>anonymus0160</t>
        </is>
      </c>
      <c r="B161" s="97" t="inlineStr">
        <is>
          <t xml:space="preserve">L </t>
        </is>
      </c>
      <c r="C161" s="97" t="inlineStr">
        <is>
          <t>35-69 Bulan</t>
        </is>
      </c>
      <c r="D161" s="97" t="n">
        <v>12</v>
      </c>
      <c r="E161" s="97" t="n">
        <v>97</v>
      </c>
      <c r="F161" s="97" t="inlineStr">
        <is>
          <t>Kurang</t>
        </is>
      </c>
      <c r="G161" s="97" t="inlineStr">
        <is>
          <t>Normal</t>
        </is>
      </c>
      <c r="H161" s="97" t="inlineStr">
        <is>
          <t>Gizi Kurang</t>
        </is>
      </c>
      <c r="I161" s="97" t="inlineStr">
        <is>
          <t>Ya</t>
        </is>
      </c>
      <c r="J161" s="97" t="inlineStr">
        <is>
          <t>Tidak</t>
        </is>
      </c>
    </row>
    <row r="162" ht="15.75" customHeight="1" s="95">
      <c r="A162" s="97" t="inlineStr">
        <is>
          <t>anonymus0161</t>
        </is>
      </c>
      <c r="B162" s="97" t="inlineStr">
        <is>
          <t>L</t>
        </is>
      </c>
      <c r="C162" s="97" t="inlineStr">
        <is>
          <t>1-34 Bulan</t>
        </is>
      </c>
      <c r="D162" s="97" t="n">
        <v>9.4</v>
      </c>
      <c r="E162" s="97" t="n">
        <v>75</v>
      </c>
      <c r="F162" s="97" t="inlineStr">
        <is>
          <t>Normal</t>
        </is>
      </c>
      <c r="G162" s="97" t="inlineStr">
        <is>
          <t>Pendek</t>
        </is>
      </c>
      <c r="H162" s="97" t="inlineStr">
        <is>
          <t>Gizi Baik</t>
        </is>
      </c>
      <c r="I162" s="97" t="inlineStr">
        <is>
          <t>Ya</t>
        </is>
      </c>
      <c r="J162" s="97" t="inlineStr">
        <is>
          <t>Potensi Stunting</t>
        </is>
      </c>
    </row>
    <row r="163" ht="15.75" customHeight="1" s="95">
      <c r="A163" s="97" t="inlineStr">
        <is>
          <t>anonymus0162</t>
        </is>
      </c>
      <c r="B163" s="97" t="inlineStr">
        <is>
          <t xml:space="preserve">P </t>
        </is>
      </c>
      <c r="C163" s="97" t="inlineStr">
        <is>
          <t>35-69 Bulan</t>
        </is>
      </c>
      <c r="D163" s="97" t="inlineStr">
        <is>
          <t>12.2</t>
        </is>
      </c>
      <c r="E163" s="97" t="n">
        <v>99</v>
      </c>
      <c r="F163" s="97" t="inlineStr">
        <is>
          <t>Kurang</t>
        </is>
      </c>
      <c r="G163" s="97" t="inlineStr">
        <is>
          <t>Normal</t>
        </is>
      </c>
      <c r="H163" s="97" t="inlineStr">
        <is>
          <t>Gizi Kurang</t>
        </is>
      </c>
      <c r="I163" s="97" t="inlineStr">
        <is>
          <t>Ya</t>
        </is>
      </c>
      <c r="J163" s="97" t="inlineStr">
        <is>
          <t>Tidak</t>
        </is>
      </c>
    </row>
    <row r="164" ht="15.75" customHeight="1" s="95">
      <c r="A164" s="97" t="inlineStr">
        <is>
          <t>anonymus0163</t>
        </is>
      </c>
      <c r="B164" s="97" t="inlineStr">
        <is>
          <t xml:space="preserve">L </t>
        </is>
      </c>
      <c r="C164" s="97" t="inlineStr">
        <is>
          <t>1-34 Bulan</t>
        </is>
      </c>
      <c r="D164" s="97" t="inlineStr">
        <is>
          <t>8.9</t>
        </is>
      </c>
      <c r="E164" s="97" t="n">
        <v>76</v>
      </c>
      <c r="F164" s="97" t="inlineStr">
        <is>
          <t>Normal</t>
        </is>
      </c>
      <c r="G164" s="97" t="inlineStr">
        <is>
          <t>Normal</t>
        </is>
      </c>
      <c r="H164" s="97" t="inlineStr">
        <is>
          <t>Gizi Baik</t>
        </is>
      </c>
      <c r="I164" s="97" t="inlineStr">
        <is>
          <t>Ya</t>
        </is>
      </c>
      <c r="J164" s="97" t="inlineStr">
        <is>
          <t>Tidak</t>
        </is>
      </c>
    </row>
    <row r="165" ht="15.75" customHeight="1" s="95">
      <c r="A165" s="97" t="inlineStr">
        <is>
          <t>anonymus0164</t>
        </is>
      </c>
      <c r="B165" s="97" t="inlineStr">
        <is>
          <t xml:space="preserve">L </t>
        </is>
      </c>
      <c r="C165" s="97" t="inlineStr">
        <is>
          <t>1-34 Bulan</t>
        </is>
      </c>
      <c r="D165" s="97" t="n">
        <v>9</v>
      </c>
      <c r="E165" s="97" t="n">
        <v>85</v>
      </c>
      <c r="F165" s="97" t="inlineStr">
        <is>
          <t>Sangat Kurang</t>
        </is>
      </c>
      <c r="G165" s="97" t="inlineStr">
        <is>
          <t>Pendek</t>
        </is>
      </c>
      <c r="H165" s="97" t="inlineStr">
        <is>
          <t>Gizi Buruk</t>
        </is>
      </c>
      <c r="I165" s="97" t="inlineStr">
        <is>
          <t>Ya</t>
        </is>
      </c>
      <c r="J165" s="97" t="inlineStr">
        <is>
          <t>Potensi Stunting</t>
        </is>
      </c>
    </row>
    <row r="166" ht="15.75" customHeight="1" s="95">
      <c r="A166" s="97" t="inlineStr">
        <is>
          <t>anonymus0165</t>
        </is>
      </c>
      <c r="B166" s="97" t="inlineStr">
        <is>
          <t>P</t>
        </is>
      </c>
      <c r="C166" s="97" t="inlineStr">
        <is>
          <t>35-69 Bulan</t>
        </is>
      </c>
      <c r="D166" s="97" t="n">
        <v>19</v>
      </c>
      <c r="E166" s="97" t="n">
        <v>116</v>
      </c>
      <c r="F166" s="97" t="inlineStr">
        <is>
          <t>Risiko Lebih</t>
        </is>
      </c>
      <c r="G166" s="97" t="inlineStr">
        <is>
          <t>Normal</t>
        </is>
      </c>
      <c r="H166" s="97" t="inlineStr">
        <is>
          <t>Gizi Lebih</t>
        </is>
      </c>
      <c r="I166" s="97" t="inlineStr">
        <is>
          <t>Ya</t>
        </is>
      </c>
      <c r="J166" s="97" t="inlineStr">
        <is>
          <t>Tidak</t>
        </is>
      </c>
    </row>
    <row r="167" ht="15.75" customHeight="1" s="95">
      <c r="A167" s="97" t="inlineStr">
        <is>
          <t>anonymus0166</t>
        </is>
      </c>
      <c r="B167" s="97" t="inlineStr">
        <is>
          <t>L</t>
        </is>
      </c>
      <c r="C167" s="97" t="inlineStr">
        <is>
          <t>1-34 Bulan</t>
        </is>
      </c>
      <c r="D167" s="97" t="n">
        <v>6.8</v>
      </c>
      <c r="E167" s="97" t="n">
        <v>91</v>
      </c>
      <c r="F167" s="97" t="inlineStr">
        <is>
          <t>Kurang</t>
        </is>
      </c>
      <c r="G167" s="97" t="inlineStr">
        <is>
          <t>Normal</t>
        </is>
      </c>
      <c r="H167" s="97" t="inlineStr">
        <is>
          <t>Gizi Kurang</t>
        </is>
      </c>
      <c r="I167" s="97" t="inlineStr">
        <is>
          <t>Ya</t>
        </is>
      </c>
      <c r="J167" s="97" t="inlineStr">
        <is>
          <t>Tidak</t>
        </is>
      </c>
    </row>
    <row r="168" ht="15.75" customHeight="1" s="95">
      <c r="A168" s="97" t="inlineStr">
        <is>
          <t>anonymus0167</t>
        </is>
      </c>
      <c r="B168" s="97" t="inlineStr">
        <is>
          <t>L</t>
        </is>
      </c>
      <c r="C168" s="97" t="inlineStr">
        <is>
          <t>1-34 Bulan</t>
        </is>
      </c>
      <c r="D168" s="97" t="n">
        <v>9.4</v>
      </c>
      <c r="E168" s="97" t="n">
        <v>81</v>
      </c>
      <c r="F168" s="97" t="inlineStr">
        <is>
          <t>Normal</t>
        </is>
      </c>
      <c r="G168" s="97" t="inlineStr">
        <is>
          <t>Normal</t>
        </is>
      </c>
      <c r="H168" s="97" t="inlineStr">
        <is>
          <t>Gizi Baik</t>
        </is>
      </c>
      <c r="I168" s="97" t="inlineStr">
        <is>
          <t>Ya</t>
        </is>
      </c>
      <c r="J168" s="97" t="inlineStr">
        <is>
          <t>Tidak</t>
        </is>
      </c>
    </row>
    <row r="169" ht="15.75" customHeight="1" s="95">
      <c r="A169" s="97" t="inlineStr">
        <is>
          <t>anonymus0168</t>
        </is>
      </c>
      <c r="B169" s="97" t="inlineStr">
        <is>
          <t>P</t>
        </is>
      </c>
      <c r="C169" s="97" t="inlineStr">
        <is>
          <t>1-34 Bulan</t>
        </is>
      </c>
      <c r="D169" s="97" t="n">
        <v>10</v>
      </c>
      <c r="E169" s="97" t="n">
        <v>89</v>
      </c>
      <c r="F169" s="97" t="inlineStr">
        <is>
          <t>Normal</t>
        </is>
      </c>
      <c r="G169" s="97" t="inlineStr">
        <is>
          <t>Normal</t>
        </is>
      </c>
      <c r="H169" s="97" t="inlineStr">
        <is>
          <t>Gizi Baik</t>
        </is>
      </c>
      <c r="I169" s="97" t="inlineStr">
        <is>
          <t>Ya</t>
        </is>
      </c>
      <c r="J169" s="97" t="inlineStr">
        <is>
          <t>Tidak</t>
        </is>
      </c>
    </row>
    <row r="170" ht="15.75" customHeight="1" s="95">
      <c r="A170" s="97" t="inlineStr">
        <is>
          <t>anonymus0169</t>
        </is>
      </c>
      <c r="B170" s="97" t="inlineStr">
        <is>
          <t>L</t>
        </is>
      </c>
      <c r="C170" s="97" t="inlineStr">
        <is>
          <t>35-69 Bulan</t>
        </is>
      </c>
      <c r="D170" s="97" t="n">
        <v>11.5</v>
      </c>
      <c r="E170" s="97" t="n">
        <v>85</v>
      </c>
      <c r="F170" s="97" t="inlineStr">
        <is>
          <t>Kurang</t>
        </is>
      </c>
      <c r="G170" s="97" t="inlineStr">
        <is>
          <t>Sangat Pendek</t>
        </is>
      </c>
      <c r="H170" s="97" t="inlineStr">
        <is>
          <t>Gizi Baik</t>
        </is>
      </c>
      <c r="I170" s="97" t="inlineStr">
        <is>
          <t>Ya</t>
        </is>
      </c>
      <c r="J170" s="97" t="inlineStr">
        <is>
          <t>Stunting</t>
        </is>
      </c>
    </row>
    <row r="171" ht="15.75" customHeight="1" s="95">
      <c r="A171" s="97" t="inlineStr">
        <is>
          <t>anonymus0170</t>
        </is>
      </c>
      <c r="B171" s="97" t="inlineStr">
        <is>
          <t>P</t>
        </is>
      </c>
      <c r="C171" s="97" t="inlineStr">
        <is>
          <t>35-69 Bulan</t>
        </is>
      </c>
      <c r="D171" s="97" t="n">
        <v>17</v>
      </c>
      <c r="E171" s="97" t="n">
        <v>120</v>
      </c>
      <c r="F171" s="97" t="inlineStr">
        <is>
          <t>Normal</t>
        </is>
      </c>
      <c r="G171" s="97" t="inlineStr">
        <is>
          <t>Normal</t>
        </is>
      </c>
      <c r="H171" s="97" t="inlineStr">
        <is>
          <t>Gizi Baik</t>
        </is>
      </c>
      <c r="I171" s="97" t="inlineStr">
        <is>
          <t>Ya</t>
        </is>
      </c>
      <c r="J171" s="97" t="inlineStr">
        <is>
          <t>Tidak</t>
        </is>
      </c>
    </row>
    <row r="172" ht="15.75" customHeight="1" s="95">
      <c r="A172" s="97" t="inlineStr">
        <is>
          <t>anonymus0171</t>
        </is>
      </c>
      <c r="B172" s="97" t="inlineStr">
        <is>
          <t>P</t>
        </is>
      </c>
      <c r="C172" s="97" t="inlineStr">
        <is>
          <t>1-34 Bulan</t>
        </is>
      </c>
      <c r="D172" s="97" t="n">
        <v>8.9</v>
      </c>
      <c r="E172" s="97" t="n">
        <v>86</v>
      </c>
      <c r="F172" s="97" t="inlineStr">
        <is>
          <t>Kurang</t>
        </is>
      </c>
      <c r="G172" s="97" t="inlineStr">
        <is>
          <t>Normal</t>
        </is>
      </c>
      <c r="H172" s="97" t="inlineStr">
        <is>
          <t>Gizi Kurang</t>
        </is>
      </c>
      <c r="I172" s="97" t="inlineStr">
        <is>
          <t>Ya</t>
        </is>
      </c>
      <c r="J172" s="97" t="inlineStr">
        <is>
          <t>Tidak</t>
        </is>
      </c>
    </row>
    <row r="173" ht="15.75" customHeight="1" s="95">
      <c r="A173" s="97" t="inlineStr">
        <is>
          <t>anonymus0172</t>
        </is>
      </c>
      <c r="B173" s="97" t="inlineStr">
        <is>
          <t xml:space="preserve">L </t>
        </is>
      </c>
      <c r="C173" s="97" t="inlineStr">
        <is>
          <t>35-69 Bulan</t>
        </is>
      </c>
      <c r="D173" s="97" t="inlineStr">
        <is>
          <t>13.5</t>
        </is>
      </c>
      <c r="E173" s="97" t="n">
        <v>99</v>
      </c>
      <c r="F173" s="97" t="inlineStr">
        <is>
          <t>Normal</t>
        </is>
      </c>
      <c r="G173" s="97" t="inlineStr">
        <is>
          <t>Normal</t>
        </is>
      </c>
      <c r="H173" s="97" t="inlineStr">
        <is>
          <t>Gizi Baik</t>
        </is>
      </c>
      <c r="I173" s="97" t="inlineStr">
        <is>
          <t>Ya</t>
        </is>
      </c>
      <c r="J173" s="97" t="inlineStr">
        <is>
          <t>Tidak</t>
        </is>
      </c>
    </row>
    <row r="174" ht="15.75" customHeight="1" s="95">
      <c r="A174" s="97" t="inlineStr">
        <is>
          <t>anonymus0173</t>
        </is>
      </c>
      <c r="B174" s="97" t="inlineStr">
        <is>
          <t>L</t>
        </is>
      </c>
      <c r="C174" s="97" t="inlineStr">
        <is>
          <t>35-69 Bulan</t>
        </is>
      </c>
      <c r="D174" s="97" t="n">
        <v>14.1</v>
      </c>
      <c r="E174" s="97" t="n">
        <v>97</v>
      </c>
      <c r="F174" s="97" t="inlineStr">
        <is>
          <t>Normal</t>
        </is>
      </c>
      <c r="G174" s="97" t="inlineStr">
        <is>
          <t>Normal</t>
        </is>
      </c>
      <c r="H174" s="97" t="inlineStr">
        <is>
          <t>Gizi Baik</t>
        </is>
      </c>
      <c r="I174" s="97" t="inlineStr">
        <is>
          <t>Ya</t>
        </is>
      </c>
      <c r="J174" s="97" t="inlineStr">
        <is>
          <t>Tidak</t>
        </is>
      </c>
    </row>
    <row r="175" ht="15.75" customHeight="1" s="95">
      <c r="A175" s="97" t="inlineStr">
        <is>
          <t>anonymus0174</t>
        </is>
      </c>
      <c r="B175" s="97" t="inlineStr">
        <is>
          <t>P</t>
        </is>
      </c>
      <c r="C175" s="97" t="inlineStr">
        <is>
          <t>35-69 Bulan</t>
        </is>
      </c>
      <c r="D175" s="97" t="n">
        <v>10.6</v>
      </c>
      <c r="E175" s="97" t="n">
        <v>94</v>
      </c>
      <c r="F175" s="97" t="inlineStr">
        <is>
          <t>Kurang</t>
        </is>
      </c>
      <c r="G175" s="97" t="inlineStr">
        <is>
          <t>Normal</t>
        </is>
      </c>
      <c r="H175" s="97" t="inlineStr">
        <is>
          <t>Gizi Kurang</t>
        </is>
      </c>
      <c r="I175" s="97" t="inlineStr">
        <is>
          <t>Ya</t>
        </is>
      </c>
      <c r="J175" s="97" t="inlineStr">
        <is>
          <t>Tidak</t>
        </is>
      </c>
    </row>
    <row r="176" ht="15.75" customHeight="1" s="95">
      <c r="A176" s="97" t="inlineStr">
        <is>
          <t>anonymus0175</t>
        </is>
      </c>
      <c r="B176" s="97" t="inlineStr">
        <is>
          <t>L</t>
        </is>
      </c>
      <c r="C176" s="97" t="inlineStr">
        <is>
          <t>1-34 Bulan</t>
        </is>
      </c>
      <c r="D176" s="97" t="n">
        <v>9.800000000000001</v>
      </c>
      <c r="E176" s="97" t="n">
        <v>84.5</v>
      </c>
      <c r="F176" s="97" t="inlineStr">
        <is>
          <t>Kurang</t>
        </is>
      </c>
      <c r="G176" s="97" t="inlineStr">
        <is>
          <t>Pendek</t>
        </is>
      </c>
      <c r="H176" s="97" t="inlineStr">
        <is>
          <t>Gizi Kurang</t>
        </is>
      </c>
      <c r="I176" s="97" t="inlineStr">
        <is>
          <t>Ya</t>
        </is>
      </c>
      <c r="J176" s="97" t="inlineStr">
        <is>
          <t>Potensi Stunting</t>
        </is>
      </c>
    </row>
    <row r="177" ht="15.75" customHeight="1" s="95">
      <c r="A177" s="97" t="inlineStr">
        <is>
          <t>anonymus0176</t>
        </is>
      </c>
      <c r="B177" s="97" t="inlineStr">
        <is>
          <t xml:space="preserve">L </t>
        </is>
      </c>
      <c r="C177" s="97" t="inlineStr">
        <is>
          <t>1-34 Bulan</t>
        </is>
      </c>
      <c r="D177" s="97" t="inlineStr">
        <is>
          <t>10.2</t>
        </is>
      </c>
      <c r="E177" s="97" t="n">
        <v>81</v>
      </c>
      <c r="F177" s="97" t="inlineStr">
        <is>
          <t>Normal</t>
        </is>
      </c>
      <c r="G177" s="97" t="inlineStr">
        <is>
          <t>Normal</t>
        </is>
      </c>
      <c r="H177" s="97" t="inlineStr">
        <is>
          <t>Gizi Baik</t>
        </is>
      </c>
      <c r="I177" s="97" t="inlineStr">
        <is>
          <t>Ya</t>
        </is>
      </c>
      <c r="J177" s="97" t="inlineStr">
        <is>
          <t>Tidak</t>
        </is>
      </c>
    </row>
    <row r="178" ht="15.75" customHeight="1" s="95">
      <c r="A178" s="97" t="inlineStr">
        <is>
          <t>anonymus0177</t>
        </is>
      </c>
      <c r="B178" s="97" t="inlineStr">
        <is>
          <t>P</t>
        </is>
      </c>
      <c r="C178" s="97" t="inlineStr">
        <is>
          <t>35-69 Bulan</t>
        </is>
      </c>
      <c r="D178" s="97" t="n">
        <v>10.2</v>
      </c>
      <c r="E178" s="97" t="n">
        <v>81</v>
      </c>
      <c r="F178" s="97" t="inlineStr">
        <is>
          <t>Normal</t>
        </is>
      </c>
      <c r="G178" s="97" t="inlineStr">
        <is>
          <t>Pendek</t>
        </is>
      </c>
      <c r="H178" s="97" t="inlineStr">
        <is>
          <t>Gizi Baik</t>
        </is>
      </c>
      <c r="I178" s="97" t="inlineStr">
        <is>
          <t>Ya</t>
        </is>
      </c>
      <c r="J178" s="97" t="inlineStr">
        <is>
          <t>Potensi Stunting</t>
        </is>
      </c>
    </row>
    <row r="179" ht="15.75" customHeight="1" s="95">
      <c r="A179" s="97" t="inlineStr">
        <is>
          <t>anonymus0178</t>
        </is>
      </c>
      <c r="B179" s="97" t="inlineStr">
        <is>
          <t>P</t>
        </is>
      </c>
      <c r="C179" s="97" t="inlineStr">
        <is>
          <t>35-69 Bulan</t>
        </is>
      </c>
      <c r="D179" s="97" t="n">
        <v>10.9</v>
      </c>
      <c r="E179" s="97" t="n">
        <v>85</v>
      </c>
      <c r="F179" s="97" t="inlineStr">
        <is>
          <t>Normal</t>
        </is>
      </c>
      <c r="G179" s="97" t="inlineStr">
        <is>
          <t>Pendek</t>
        </is>
      </c>
      <c r="H179" s="97" t="inlineStr">
        <is>
          <t>Gizi Baik</t>
        </is>
      </c>
      <c r="I179" s="97" t="inlineStr">
        <is>
          <t>Ya</t>
        </is>
      </c>
      <c r="J179" s="97" t="inlineStr">
        <is>
          <t>Potensi Stunting</t>
        </is>
      </c>
    </row>
    <row r="180" ht="15.75" customHeight="1" s="95">
      <c r="A180" s="97" t="inlineStr">
        <is>
          <t>anonymus0179</t>
        </is>
      </c>
      <c r="B180" s="97" t="inlineStr">
        <is>
          <t xml:space="preserve">L </t>
        </is>
      </c>
      <c r="C180" s="97" t="inlineStr">
        <is>
          <t>35-69 Bulan</t>
        </is>
      </c>
      <c r="D180" s="97" t="inlineStr">
        <is>
          <t>17.5</t>
        </is>
      </c>
      <c r="E180" s="97" t="n">
        <v>105</v>
      </c>
      <c r="F180" s="97" t="inlineStr">
        <is>
          <t>Normal</t>
        </is>
      </c>
      <c r="G180" s="97" t="inlineStr">
        <is>
          <t>Normal</t>
        </is>
      </c>
      <c r="H180" s="97" t="inlineStr">
        <is>
          <t>Gizi Baik</t>
        </is>
      </c>
      <c r="I180" s="97" t="inlineStr">
        <is>
          <t>Ya</t>
        </is>
      </c>
      <c r="J180" s="97" t="inlineStr">
        <is>
          <t>Tidak</t>
        </is>
      </c>
    </row>
    <row r="181" ht="15.75" customHeight="1" s="95">
      <c r="A181" s="97" t="inlineStr">
        <is>
          <t>anonymus0180</t>
        </is>
      </c>
      <c r="B181" s="97" t="inlineStr">
        <is>
          <t xml:space="preserve">P </t>
        </is>
      </c>
      <c r="C181" s="97" t="inlineStr">
        <is>
          <t>35-69 Bulan</t>
        </is>
      </c>
      <c r="D181" s="97" t="inlineStr">
        <is>
          <t>18.2</t>
        </is>
      </c>
      <c r="E181" s="97" t="n">
        <v>106</v>
      </c>
      <c r="F181" s="97" t="inlineStr">
        <is>
          <t>Normal</t>
        </is>
      </c>
      <c r="G181" s="97" t="inlineStr">
        <is>
          <t>Normal</t>
        </is>
      </c>
      <c r="H181" s="97" t="inlineStr">
        <is>
          <t>Gizi Baik</t>
        </is>
      </c>
      <c r="I181" s="97" t="inlineStr">
        <is>
          <t>Ya</t>
        </is>
      </c>
      <c r="J181" s="97" t="inlineStr">
        <is>
          <t>Tidak</t>
        </is>
      </c>
    </row>
    <row r="182" ht="15.75" customHeight="1" s="95">
      <c r="A182" s="97" t="inlineStr">
        <is>
          <t>anonymus0181</t>
        </is>
      </c>
      <c r="B182" s="97" t="inlineStr">
        <is>
          <t>L</t>
        </is>
      </c>
      <c r="C182" s="97" t="inlineStr">
        <is>
          <t>35-69 Bulan</t>
        </is>
      </c>
      <c r="D182" s="97" t="n">
        <v>16.2</v>
      </c>
      <c r="E182" s="97" t="n">
        <v>104</v>
      </c>
      <c r="F182" s="97" t="inlineStr">
        <is>
          <t>Normal</t>
        </is>
      </c>
      <c r="G182" s="97" t="inlineStr">
        <is>
          <t>Normal</t>
        </is>
      </c>
      <c r="H182" s="97" t="inlineStr">
        <is>
          <t>Gizi Baik</t>
        </is>
      </c>
      <c r="I182" s="97" t="inlineStr">
        <is>
          <t>Ya</t>
        </is>
      </c>
      <c r="J182" s="97" t="inlineStr">
        <is>
          <t>Tidak</t>
        </is>
      </c>
    </row>
    <row r="183" ht="15.75" customHeight="1" s="95">
      <c r="A183" s="97" t="inlineStr">
        <is>
          <t>anonymus0182</t>
        </is>
      </c>
      <c r="B183" s="97" t="inlineStr">
        <is>
          <t xml:space="preserve">L </t>
        </is>
      </c>
      <c r="C183" s="97" t="inlineStr">
        <is>
          <t>1-34 Bulan</t>
        </is>
      </c>
      <c r="D183" s="97" t="inlineStr">
        <is>
          <t>6.9</t>
        </is>
      </c>
      <c r="E183" s="97" t="n">
        <v>62</v>
      </c>
      <c r="F183" s="97" t="inlineStr">
        <is>
          <t>Normal</t>
        </is>
      </c>
      <c r="G183" s="97" t="inlineStr">
        <is>
          <t>Normal</t>
        </is>
      </c>
      <c r="H183" s="97" t="inlineStr">
        <is>
          <t>Gizi Baik</t>
        </is>
      </c>
      <c r="I183" s="97" t="inlineStr">
        <is>
          <t>Ya</t>
        </is>
      </c>
      <c r="J183" s="97" t="inlineStr">
        <is>
          <t>Tidak</t>
        </is>
      </c>
    </row>
    <row r="184" ht="15.75" customHeight="1" s="95">
      <c r="A184" s="97" t="inlineStr">
        <is>
          <t>anonymus0183</t>
        </is>
      </c>
      <c r="B184" s="97" t="inlineStr">
        <is>
          <t xml:space="preserve">L </t>
        </is>
      </c>
      <c r="C184" s="97" t="inlineStr">
        <is>
          <t>1-34 Bulan</t>
        </is>
      </c>
      <c r="D184" s="97" t="inlineStr">
        <is>
          <t>12.7</t>
        </is>
      </c>
      <c r="E184" s="97" t="n">
        <v>92</v>
      </c>
      <c r="F184" s="97" t="inlineStr">
        <is>
          <t>Normal</t>
        </is>
      </c>
      <c r="G184" s="97" t="inlineStr">
        <is>
          <t>Normal</t>
        </is>
      </c>
      <c r="H184" s="97" t="inlineStr">
        <is>
          <t>Gizi Baik</t>
        </is>
      </c>
      <c r="I184" s="97" t="inlineStr">
        <is>
          <t>Ya</t>
        </is>
      </c>
      <c r="J184" s="97" t="inlineStr">
        <is>
          <t>Tidak</t>
        </is>
      </c>
    </row>
    <row r="185" ht="15.75" customHeight="1" s="95">
      <c r="A185" s="97" t="inlineStr">
        <is>
          <t>anonymus0184</t>
        </is>
      </c>
      <c r="B185" s="97" t="inlineStr">
        <is>
          <t>L</t>
        </is>
      </c>
      <c r="C185" s="97" t="inlineStr">
        <is>
          <t>35-69 Bulan</t>
        </is>
      </c>
      <c r="D185" s="97" t="n">
        <v>11.3</v>
      </c>
      <c r="E185" s="97" t="n">
        <v>88</v>
      </c>
      <c r="F185" s="97" t="inlineStr">
        <is>
          <t>Normal</t>
        </is>
      </c>
      <c r="G185" s="97" t="inlineStr">
        <is>
          <t>Pendek</t>
        </is>
      </c>
      <c r="H185" s="97" t="inlineStr">
        <is>
          <t>Gizi Baik</t>
        </is>
      </c>
      <c r="I185" s="97" t="inlineStr">
        <is>
          <t>Ya</t>
        </is>
      </c>
      <c r="J185" s="97" t="inlineStr">
        <is>
          <t>Potensi Stunting</t>
        </is>
      </c>
    </row>
    <row r="186" ht="15.75" customHeight="1" s="95">
      <c r="A186" s="97" t="inlineStr">
        <is>
          <t>anonymus0185</t>
        </is>
      </c>
      <c r="B186" s="97" t="inlineStr">
        <is>
          <t>P</t>
        </is>
      </c>
      <c r="C186" s="97" t="inlineStr">
        <is>
          <t>35-69 Bulan</t>
        </is>
      </c>
      <c r="D186" s="97" t="n">
        <v>7.7</v>
      </c>
      <c r="E186" s="97" t="n">
        <v>70</v>
      </c>
      <c r="F186" s="97" t="inlineStr">
        <is>
          <t>Kurang</t>
        </is>
      </c>
      <c r="G186" s="97" t="inlineStr">
        <is>
          <t>Sangat Pendek</t>
        </is>
      </c>
      <c r="H186" s="97" t="inlineStr">
        <is>
          <t>Gizi Baik</t>
        </is>
      </c>
      <c r="I186" s="97" t="inlineStr">
        <is>
          <t>Ya</t>
        </is>
      </c>
      <c r="J186" s="97" t="inlineStr">
        <is>
          <t>Stunting</t>
        </is>
      </c>
    </row>
    <row r="187" ht="15.75" customHeight="1" s="95">
      <c r="A187" s="97" t="inlineStr">
        <is>
          <t>anonymus0186</t>
        </is>
      </c>
      <c r="B187" s="97" t="inlineStr">
        <is>
          <t>L</t>
        </is>
      </c>
      <c r="C187" s="97" t="inlineStr">
        <is>
          <t>35-69 Bulan</t>
        </is>
      </c>
      <c r="D187" s="97" t="n">
        <v>14.9</v>
      </c>
      <c r="E187" s="97" t="n">
        <v>103</v>
      </c>
      <c r="F187" s="97" t="inlineStr">
        <is>
          <t>Normal</t>
        </is>
      </c>
      <c r="G187" s="97" t="inlineStr">
        <is>
          <t>Normal</t>
        </is>
      </c>
      <c r="H187" s="97" t="inlineStr">
        <is>
          <t>Gizi Baik</t>
        </is>
      </c>
      <c r="I187" s="97" t="inlineStr">
        <is>
          <t>Ya</t>
        </is>
      </c>
      <c r="J187" s="97" t="inlineStr">
        <is>
          <t>Tidak</t>
        </is>
      </c>
    </row>
    <row r="188" ht="15.75" customHeight="1" s="95">
      <c r="A188" s="97" t="inlineStr">
        <is>
          <t>anonymus0187</t>
        </is>
      </c>
      <c r="B188" s="97" t="inlineStr">
        <is>
          <t>P</t>
        </is>
      </c>
      <c r="C188" s="97" t="inlineStr">
        <is>
          <t>35-69 Bulan</t>
        </is>
      </c>
      <c r="D188" s="97" t="n">
        <v>10.5</v>
      </c>
      <c r="E188" s="97" t="n">
        <v>93</v>
      </c>
      <c r="F188" s="97" t="inlineStr">
        <is>
          <t>Normal</t>
        </is>
      </c>
      <c r="G188" s="97" t="inlineStr">
        <is>
          <t>Normal</t>
        </is>
      </c>
      <c r="H188" s="97" t="inlineStr">
        <is>
          <t>Gizi Baik</t>
        </is>
      </c>
      <c r="I188" s="97" t="inlineStr">
        <is>
          <t>Ya</t>
        </is>
      </c>
      <c r="J188" s="97" t="inlineStr">
        <is>
          <t>Tidak</t>
        </is>
      </c>
    </row>
    <row r="189" ht="15.75" customHeight="1" s="95">
      <c r="A189" s="97" t="inlineStr">
        <is>
          <t>anonymus0188</t>
        </is>
      </c>
      <c r="B189" s="97" t="inlineStr">
        <is>
          <t>L</t>
        </is>
      </c>
      <c r="C189" s="97" t="inlineStr">
        <is>
          <t>35-69 Bulan</t>
        </is>
      </c>
      <c r="D189" s="97" t="n">
        <v>10.4</v>
      </c>
      <c r="E189" s="97" t="n">
        <v>83</v>
      </c>
      <c r="F189" s="97" t="inlineStr">
        <is>
          <t>Kurang</t>
        </is>
      </c>
      <c r="G189" s="97" t="inlineStr">
        <is>
          <t>Pendek</t>
        </is>
      </c>
      <c r="H189" s="97" t="inlineStr">
        <is>
          <t>Gizi Baik</t>
        </is>
      </c>
      <c r="I189" s="97" t="inlineStr">
        <is>
          <t>Ya</t>
        </is>
      </c>
      <c r="J189" s="97" t="inlineStr">
        <is>
          <t>Potensi Stunting</t>
        </is>
      </c>
    </row>
    <row r="190" ht="15.75" customHeight="1" s="95">
      <c r="A190" s="97" t="inlineStr">
        <is>
          <t>anonymus0189</t>
        </is>
      </c>
      <c r="B190" s="97" t="inlineStr">
        <is>
          <t>L</t>
        </is>
      </c>
      <c r="C190" s="97" t="inlineStr">
        <is>
          <t>35-69 Bulan</t>
        </is>
      </c>
      <c r="D190" s="97" t="n">
        <v>10.9</v>
      </c>
      <c r="E190" s="97" t="n">
        <v>104</v>
      </c>
      <c r="F190" s="97" t="inlineStr">
        <is>
          <t>Normal</t>
        </is>
      </c>
      <c r="G190" s="97" t="inlineStr">
        <is>
          <t>Normal</t>
        </is>
      </c>
      <c r="H190" s="97" t="inlineStr">
        <is>
          <t>Gizi Baik</t>
        </is>
      </c>
      <c r="I190" s="97" t="inlineStr">
        <is>
          <t>Ya</t>
        </is>
      </c>
      <c r="J190" s="97" t="inlineStr">
        <is>
          <t>Tidak</t>
        </is>
      </c>
    </row>
    <row r="191" ht="15.75" customHeight="1" s="95">
      <c r="A191" s="97" t="inlineStr">
        <is>
          <t>anonymus0190</t>
        </is>
      </c>
      <c r="B191" s="97" t="inlineStr">
        <is>
          <t>L</t>
        </is>
      </c>
      <c r="C191" s="97" t="inlineStr">
        <is>
          <t>35-69 Bulan</t>
        </is>
      </c>
      <c r="D191" s="97" t="n">
        <v>11.2</v>
      </c>
      <c r="E191" s="97" t="n">
        <v>85</v>
      </c>
      <c r="F191" s="97" t="inlineStr">
        <is>
          <t>Normal</t>
        </is>
      </c>
      <c r="G191" s="97" t="inlineStr">
        <is>
          <t>Pendek</t>
        </is>
      </c>
      <c r="H191" s="97" t="inlineStr">
        <is>
          <t>Gizi Baik</t>
        </is>
      </c>
      <c r="I191" s="97" t="inlineStr">
        <is>
          <t>Ya</t>
        </is>
      </c>
      <c r="J191" s="97" t="inlineStr">
        <is>
          <t>Potensi Stunting</t>
        </is>
      </c>
    </row>
    <row r="192" ht="15.75" customHeight="1" s="95">
      <c r="A192" s="97" t="inlineStr">
        <is>
          <t>anonymus0191</t>
        </is>
      </c>
      <c r="B192" s="97" t="inlineStr">
        <is>
          <t>L</t>
        </is>
      </c>
      <c r="C192" s="97" t="inlineStr">
        <is>
          <t>35-69 Bulan</t>
        </is>
      </c>
      <c r="D192" s="97" t="n">
        <v>12.6</v>
      </c>
      <c r="E192" s="97" t="n">
        <v>85</v>
      </c>
      <c r="F192" s="97" t="inlineStr">
        <is>
          <t>Normal</t>
        </is>
      </c>
      <c r="G192" s="97" t="inlineStr">
        <is>
          <t>Pendek</t>
        </is>
      </c>
      <c r="H192" s="97" t="inlineStr">
        <is>
          <t>Gizi Baik</t>
        </is>
      </c>
      <c r="I192" s="97" t="inlineStr">
        <is>
          <t>Ya</t>
        </is>
      </c>
      <c r="J192" s="97" t="inlineStr">
        <is>
          <t>Potensi Stunting</t>
        </is>
      </c>
    </row>
    <row r="193" ht="15.75" customHeight="1" s="95">
      <c r="A193" s="97" t="inlineStr">
        <is>
          <t>anonymus0192</t>
        </is>
      </c>
      <c r="B193" s="97" t="inlineStr">
        <is>
          <t>P</t>
        </is>
      </c>
      <c r="C193" s="97" t="inlineStr">
        <is>
          <t>1-34 Bulan</t>
        </is>
      </c>
      <c r="D193" s="97" t="n">
        <v>8.800000000000001</v>
      </c>
      <c r="E193" s="97" t="n">
        <v>76</v>
      </c>
      <c r="F193" s="97" t="inlineStr">
        <is>
          <t>Kurang</t>
        </is>
      </c>
      <c r="G193" s="97" t="inlineStr">
        <is>
          <t>Normal</t>
        </is>
      </c>
      <c r="H193" s="97" t="inlineStr">
        <is>
          <t>Gizi Kurang</t>
        </is>
      </c>
      <c r="I193" s="97" t="inlineStr">
        <is>
          <t>Ya</t>
        </is>
      </c>
      <c r="J193" s="97" t="inlineStr">
        <is>
          <t>Tidak</t>
        </is>
      </c>
    </row>
    <row r="194" ht="15.75" customHeight="1" s="95">
      <c r="A194" s="97" t="inlineStr">
        <is>
          <t>anonymus0193</t>
        </is>
      </c>
      <c r="B194" s="97" t="inlineStr">
        <is>
          <t xml:space="preserve">L </t>
        </is>
      </c>
      <c r="C194" s="97" t="inlineStr">
        <is>
          <t>35-69 Bulan</t>
        </is>
      </c>
      <c r="D194" s="97" t="inlineStr">
        <is>
          <t>15.9</t>
        </is>
      </c>
      <c r="E194" s="97" t="n">
        <v>100</v>
      </c>
      <c r="F194" s="97" t="inlineStr">
        <is>
          <t>Normal</t>
        </is>
      </c>
      <c r="G194" s="97" t="inlineStr">
        <is>
          <t>Normal</t>
        </is>
      </c>
      <c r="H194" s="97" t="inlineStr">
        <is>
          <t>Gizi Baik</t>
        </is>
      </c>
      <c r="I194" s="97" t="inlineStr">
        <is>
          <t>Ya</t>
        </is>
      </c>
      <c r="J194" s="97" t="inlineStr">
        <is>
          <t>Tidak</t>
        </is>
      </c>
    </row>
    <row r="195" ht="15.75" customHeight="1" s="95">
      <c r="A195" s="97" t="inlineStr">
        <is>
          <t>anonymus0194</t>
        </is>
      </c>
      <c r="B195" s="97" t="inlineStr">
        <is>
          <t xml:space="preserve">L </t>
        </is>
      </c>
      <c r="C195" s="97" t="inlineStr">
        <is>
          <t>1-34 Bulan</t>
        </is>
      </c>
      <c r="D195" s="97" t="inlineStr">
        <is>
          <t>10.8</t>
        </is>
      </c>
      <c r="E195" s="97" t="n">
        <v>79</v>
      </c>
      <c r="F195" s="97" t="inlineStr">
        <is>
          <t>Normal</t>
        </is>
      </c>
      <c r="G195" s="97" t="inlineStr">
        <is>
          <t>Pendek</t>
        </is>
      </c>
      <c r="H195" s="97" t="inlineStr">
        <is>
          <t>Gizi Baik</t>
        </is>
      </c>
      <c r="I195" s="97" t="inlineStr">
        <is>
          <t>Ya</t>
        </is>
      </c>
      <c r="J195" s="97" t="inlineStr">
        <is>
          <t>Potensi Stunting</t>
        </is>
      </c>
    </row>
    <row r="196" ht="15.75" customHeight="1" s="95">
      <c r="A196" s="97" t="inlineStr">
        <is>
          <t>anonymus0195</t>
        </is>
      </c>
      <c r="B196" s="97" t="inlineStr">
        <is>
          <t>P</t>
        </is>
      </c>
      <c r="C196" s="97" t="inlineStr">
        <is>
          <t>35-69 Bulan</t>
        </is>
      </c>
      <c r="D196" s="97" t="n">
        <v>10.1</v>
      </c>
      <c r="E196" s="97" t="n">
        <v>93</v>
      </c>
      <c r="F196" s="97" t="inlineStr">
        <is>
          <t>Normal</t>
        </is>
      </c>
      <c r="G196" s="97" t="inlineStr">
        <is>
          <t>Normal</t>
        </is>
      </c>
      <c r="H196" s="97" t="inlineStr">
        <is>
          <t>Gizi Baik</t>
        </is>
      </c>
      <c r="I196" s="97" t="inlineStr">
        <is>
          <t>Ya</t>
        </is>
      </c>
      <c r="J196" s="97" t="inlineStr">
        <is>
          <t>Tidak</t>
        </is>
      </c>
    </row>
    <row r="197" ht="15.75" customHeight="1" s="95">
      <c r="A197" s="97" t="inlineStr">
        <is>
          <t>anonymus0196</t>
        </is>
      </c>
      <c r="B197" s="97" t="inlineStr">
        <is>
          <t>L</t>
        </is>
      </c>
      <c r="C197" s="97" t="inlineStr">
        <is>
          <t>35-69 Bulan</t>
        </is>
      </c>
      <c r="D197" s="97" t="n">
        <v>8.640000000000001</v>
      </c>
      <c r="E197" s="97" t="n">
        <v>78</v>
      </c>
      <c r="F197" s="97" t="inlineStr">
        <is>
          <t>Kurang</t>
        </is>
      </c>
      <c r="G197" s="97" t="inlineStr">
        <is>
          <t>Pendek</t>
        </is>
      </c>
      <c r="H197" s="97" t="inlineStr">
        <is>
          <t>Gizi Kurang</t>
        </is>
      </c>
      <c r="I197" s="97" t="inlineStr">
        <is>
          <t>Ya</t>
        </is>
      </c>
      <c r="J197" s="97" t="inlineStr">
        <is>
          <t>Potensi Stunting</t>
        </is>
      </c>
    </row>
    <row r="198" ht="15.75" customHeight="1" s="95">
      <c r="A198" s="97" t="inlineStr">
        <is>
          <t>anonymus0197</t>
        </is>
      </c>
      <c r="B198" s="97" t="inlineStr">
        <is>
          <t>P</t>
        </is>
      </c>
      <c r="C198" s="97" t="inlineStr">
        <is>
          <t>35-69 Bulan</t>
        </is>
      </c>
      <c r="D198" s="97" t="n">
        <v>11.5</v>
      </c>
      <c r="E198" s="97" t="n">
        <v>92</v>
      </c>
      <c r="F198" s="97" t="inlineStr">
        <is>
          <t>Kurang</t>
        </is>
      </c>
      <c r="G198" s="97" t="inlineStr">
        <is>
          <t>Pendek</t>
        </is>
      </c>
      <c r="H198" s="97" t="inlineStr">
        <is>
          <t>Gizi Baik</t>
        </is>
      </c>
      <c r="I198" s="97" t="inlineStr">
        <is>
          <t>Ya</t>
        </is>
      </c>
      <c r="J198" s="97" t="inlineStr">
        <is>
          <t>Potensi Stunting</t>
        </is>
      </c>
    </row>
    <row r="199" ht="15.75" customHeight="1" s="95">
      <c r="A199" s="97" t="inlineStr">
        <is>
          <t>anonymus0198</t>
        </is>
      </c>
      <c r="B199" s="97" t="inlineStr">
        <is>
          <t>P</t>
        </is>
      </c>
      <c r="C199" s="97" t="inlineStr">
        <is>
          <t>1-34 Bulan</t>
        </is>
      </c>
      <c r="D199" s="97" t="n">
        <v>11</v>
      </c>
      <c r="E199" s="97" t="n">
        <v>97</v>
      </c>
      <c r="F199" s="97" t="inlineStr">
        <is>
          <t>Normal</t>
        </is>
      </c>
      <c r="G199" s="97" t="inlineStr">
        <is>
          <t>Normal</t>
        </is>
      </c>
      <c r="H199" s="97" t="inlineStr">
        <is>
          <t>Gizi Baik</t>
        </is>
      </c>
      <c r="I199" s="97" t="inlineStr">
        <is>
          <t>Ya</t>
        </is>
      </c>
      <c r="J199" s="97" t="inlineStr">
        <is>
          <t>Tidak</t>
        </is>
      </c>
    </row>
    <row r="200" ht="15.75" customHeight="1" s="95">
      <c r="A200" s="97" t="inlineStr">
        <is>
          <t>anonymus0199</t>
        </is>
      </c>
      <c r="B200" s="97" t="inlineStr">
        <is>
          <t>P</t>
        </is>
      </c>
      <c r="C200" s="97" t="inlineStr">
        <is>
          <t>35-69 Bulan</t>
        </is>
      </c>
      <c r="D200" s="97" t="n">
        <v>19.4</v>
      </c>
      <c r="E200" s="97" t="n">
        <v>105</v>
      </c>
      <c r="F200" s="97" t="inlineStr">
        <is>
          <t>Risiko Lebih</t>
        </is>
      </c>
      <c r="G200" s="97" t="inlineStr">
        <is>
          <t>Normal</t>
        </is>
      </c>
      <c r="H200" s="97" t="inlineStr">
        <is>
          <t>Gizi Lebih</t>
        </is>
      </c>
      <c r="I200" s="97" t="inlineStr">
        <is>
          <t>Ya</t>
        </is>
      </c>
      <c r="J200" s="97" t="inlineStr">
        <is>
          <t>Tidak</t>
        </is>
      </c>
    </row>
    <row r="201" ht="15.75" customHeight="1" s="95">
      <c r="A201" s="97" t="inlineStr">
        <is>
          <t>anonymus0200</t>
        </is>
      </c>
      <c r="B201" s="97" t="inlineStr">
        <is>
          <t>L</t>
        </is>
      </c>
      <c r="C201" s="97" t="inlineStr">
        <is>
          <t>35-69 Bulan</t>
        </is>
      </c>
      <c r="D201" s="97" t="n">
        <v>18.6</v>
      </c>
      <c r="E201" s="97" t="n">
        <v>119</v>
      </c>
      <c r="F201" s="97" t="inlineStr">
        <is>
          <t>Risiko Lebih</t>
        </is>
      </c>
      <c r="G201" s="97" t="inlineStr">
        <is>
          <t>Normal</t>
        </is>
      </c>
      <c r="H201" s="97" t="inlineStr">
        <is>
          <t>Gizi Lebih</t>
        </is>
      </c>
      <c r="I201" s="97" t="inlineStr">
        <is>
          <t>Ya</t>
        </is>
      </c>
      <c r="J201" s="97" t="inlineStr">
        <is>
          <t>Tidak</t>
        </is>
      </c>
    </row>
    <row r="202" ht="15.75" customHeight="1" s="95">
      <c r="A202" s="97" t="inlineStr">
        <is>
          <t>anonymus0201</t>
        </is>
      </c>
      <c r="B202" s="97" t="inlineStr">
        <is>
          <t>L</t>
        </is>
      </c>
      <c r="C202" s="97" t="inlineStr">
        <is>
          <t>35-69 Bulan</t>
        </is>
      </c>
      <c r="D202" s="97" t="n">
        <v>17</v>
      </c>
      <c r="E202" s="97" t="n">
        <v>119</v>
      </c>
      <c r="F202" s="97" t="inlineStr">
        <is>
          <t>Normal</t>
        </is>
      </c>
      <c r="G202" s="97" t="inlineStr">
        <is>
          <t>Normal</t>
        </is>
      </c>
      <c r="H202" s="97" t="inlineStr">
        <is>
          <t>Gizi Baik</t>
        </is>
      </c>
      <c r="I202" s="97" t="inlineStr">
        <is>
          <t>Ya</t>
        </is>
      </c>
      <c r="J202" s="97" t="inlineStr">
        <is>
          <t>Tidak</t>
        </is>
      </c>
    </row>
    <row r="203" ht="15.75" customHeight="1" s="95">
      <c r="A203" s="97" t="inlineStr">
        <is>
          <t>anonymus0202</t>
        </is>
      </c>
      <c r="B203" s="97" t="inlineStr">
        <is>
          <t>L</t>
        </is>
      </c>
      <c r="C203" s="97" t="inlineStr">
        <is>
          <t>1-34 Bulan</t>
        </is>
      </c>
      <c r="D203" s="97" t="n">
        <v>14.3</v>
      </c>
      <c r="E203" s="97" t="n">
        <v>82</v>
      </c>
      <c r="F203" s="97" t="inlineStr">
        <is>
          <t>Normal</t>
        </is>
      </c>
      <c r="G203" s="97" t="inlineStr">
        <is>
          <t>Normal</t>
        </is>
      </c>
      <c r="H203" s="97" t="inlineStr">
        <is>
          <t>Gizi Baik</t>
        </is>
      </c>
      <c r="I203" s="97" t="inlineStr">
        <is>
          <t>Ya</t>
        </is>
      </c>
      <c r="J203" s="97" t="inlineStr">
        <is>
          <t>Tidak</t>
        </is>
      </c>
    </row>
    <row r="204" ht="15.75" customHeight="1" s="95">
      <c r="A204" s="97" t="inlineStr">
        <is>
          <t>anonymus0203</t>
        </is>
      </c>
      <c r="B204" s="97" t="inlineStr">
        <is>
          <t>L</t>
        </is>
      </c>
      <c r="C204" s="97" t="inlineStr">
        <is>
          <t>35-69 Bulan</t>
        </is>
      </c>
      <c r="D204" s="97" t="n">
        <v>10.5</v>
      </c>
      <c r="E204" s="97" t="n">
        <v>80</v>
      </c>
      <c r="F204" s="97" t="inlineStr">
        <is>
          <t>Normal</t>
        </is>
      </c>
      <c r="G204" s="97" t="inlineStr">
        <is>
          <t>Pendek</t>
        </is>
      </c>
      <c r="H204" s="97" t="inlineStr">
        <is>
          <t>Gizi Baik</t>
        </is>
      </c>
      <c r="I204" s="97" t="inlineStr">
        <is>
          <t>Ya</t>
        </is>
      </c>
      <c r="J204" s="97" t="inlineStr">
        <is>
          <t>Potensi Stunting</t>
        </is>
      </c>
    </row>
    <row r="205" ht="15.75" customHeight="1" s="95">
      <c r="A205" s="97" t="inlineStr">
        <is>
          <t>anonymus0204</t>
        </is>
      </c>
      <c r="B205" s="97" t="inlineStr">
        <is>
          <t>L</t>
        </is>
      </c>
      <c r="C205" s="97" t="inlineStr">
        <is>
          <t>1-34 Bulan</t>
        </is>
      </c>
      <c r="D205" s="97" t="n">
        <v>12.5</v>
      </c>
      <c r="E205" s="97" t="n">
        <v>85</v>
      </c>
      <c r="F205" s="97" t="inlineStr">
        <is>
          <t>Normal</t>
        </is>
      </c>
      <c r="G205" s="97" t="inlineStr">
        <is>
          <t>Normal</t>
        </is>
      </c>
      <c r="H205" s="97" t="inlineStr">
        <is>
          <t>Gizi Baik</t>
        </is>
      </c>
      <c r="I205" s="97" t="inlineStr">
        <is>
          <t>Ya</t>
        </is>
      </c>
      <c r="J205" s="97" t="inlineStr">
        <is>
          <t>Tidak</t>
        </is>
      </c>
    </row>
    <row r="206" ht="15.75" customHeight="1" s="95">
      <c r="A206" s="97" t="inlineStr">
        <is>
          <t>anonymus0205</t>
        </is>
      </c>
      <c r="B206" s="97" t="inlineStr">
        <is>
          <t>P</t>
        </is>
      </c>
      <c r="C206" s="97" t="inlineStr">
        <is>
          <t>1-34 Bulan</t>
        </is>
      </c>
      <c r="D206" s="97" t="n">
        <v>10</v>
      </c>
      <c r="E206" s="97" t="n">
        <v>89</v>
      </c>
      <c r="F206" s="97" t="inlineStr">
        <is>
          <t>Kurang</t>
        </is>
      </c>
      <c r="G206" s="97" t="inlineStr">
        <is>
          <t>Normal</t>
        </is>
      </c>
      <c r="H206" s="97" t="inlineStr">
        <is>
          <t>Gizi Kurang</t>
        </is>
      </c>
      <c r="I206" s="97" t="inlineStr">
        <is>
          <t>Ya</t>
        </is>
      </c>
      <c r="J206" s="97" t="inlineStr">
        <is>
          <t>Tidak</t>
        </is>
      </c>
    </row>
    <row r="207" ht="15.75" customHeight="1" s="95">
      <c r="A207" s="97" t="inlineStr">
        <is>
          <t>anonymus0206</t>
        </is>
      </c>
      <c r="B207" s="97" t="inlineStr">
        <is>
          <t xml:space="preserve">P </t>
        </is>
      </c>
      <c r="C207" s="97" t="inlineStr">
        <is>
          <t>35-69 Bulan</t>
        </is>
      </c>
      <c r="D207" s="97" t="inlineStr">
        <is>
          <t>12.8</t>
        </is>
      </c>
      <c r="E207" s="97" t="n">
        <v>97</v>
      </c>
      <c r="F207" s="97" t="inlineStr">
        <is>
          <t>Normal</t>
        </is>
      </c>
      <c r="G207" s="97" t="inlineStr">
        <is>
          <t>Normal</t>
        </is>
      </c>
      <c r="H207" s="97" t="inlineStr">
        <is>
          <t>Gizi Baik</t>
        </is>
      </c>
      <c r="I207" s="97" t="inlineStr">
        <is>
          <t>Ya</t>
        </is>
      </c>
      <c r="J207" s="97" t="inlineStr">
        <is>
          <t>Tidak</t>
        </is>
      </c>
    </row>
    <row r="208" ht="15.75" customHeight="1" s="95">
      <c r="A208" s="97" t="inlineStr">
        <is>
          <t>anonymus0207</t>
        </is>
      </c>
      <c r="B208" s="97" t="inlineStr">
        <is>
          <t xml:space="preserve">L </t>
        </is>
      </c>
      <c r="C208" s="97" t="inlineStr">
        <is>
          <t>1-34 Bulan</t>
        </is>
      </c>
      <c r="D208" s="97" t="inlineStr">
        <is>
          <t>13.1</t>
        </is>
      </c>
      <c r="E208" s="97" t="n">
        <v>90</v>
      </c>
      <c r="F208" s="97" t="inlineStr">
        <is>
          <t>Normal</t>
        </is>
      </c>
      <c r="G208" s="97" t="inlineStr">
        <is>
          <t>Normal</t>
        </is>
      </c>
      <c r="H208" s="97" t="inlineStr">
        <is>
          <t>Gizi Baik</t>
        </is>
      </c>
      <c r="I208" s="97" t="inlineStr">
        <is>
          <t>Ya</t>
        </is>
      </c>
      <c r="J208" s="97" t="inlineStr">
        <is>
          <t>Tidak</t>
        </is>
      </c>
    </row>
    <row r="209" ht="15.75" customHeight="1" s="95">
      <c r="A209" s="97" t="inlineStr">
        <is>
          <t>anonymus0208</t>
        </is>
      </c>
      <c r="B209" s="97" t="inlineStr">
        <is>
          <t xml:space="preserve">L </t>
        </is>
      </c>
      <c r="C209" s="97" t="inlineStr">
        <is>
          <t>1-34 Bulan</t>
        </is>
      </c>
      <c r="D209" s="97" t="inlineStr">
        <is>
          <t>9.9</t>
        </is>
      </c>
      <c r="E209" s="97" t="n">
        <v>71</v>
      </c>
      <c r="F209" s="97" t="inlineStr">
        <is>
          <t>Normal</t>
        </is>
      </c>
      <c r="G209" s="97" t="inlineStr">
        <is>
          <t>Normal</t>
        </is>
      </c>
      <c r="H209" s="97" t="inlineStr">
        <is>
          <t>Risiko Gizi Lebih</t>
        </is>
      </c>
      <c r="I209" s="97" t="inlineStr">
        <is>
          <t>Ya</t>
        </is>
      </c>
      <c r="J209" s="97" t="inlineStr">
        <is>
          <t>Tidak</t>
        </is>
      </c>
    </row>
    <row r="210" ht="15.75" customHeight="1" s="95">
      <c r="A210" s="97" t="inlineStr">
        <is>
          <t>anonymus0209</t>
        </is>
      </c>
      <c r="B210" s="97" t="inlineStr">
        <is>
          <t xml:space="preserve">L </t>
        </is>
      </c>
      <c r="C210" s="97" t="inlineStr">
        <is>
          <t>35-69 Bulan</t>
        </is>
      </c>
      <c r="D210" s="97" t="inlineStr">
        <is>
          <t>18.3</t>
        </is>
      </c>
      <c r="E210" s="97" t="n">
        <v>107</v>
      </c>
      <c r="F210" s="97" t="inlineStr">
        <is>
          <t>Normal</t>
        </is>
      </c>
      <c r="G210" s="97" t="inlineStr">
        <is>
          <t>Normal</t>
        </is>
      </c>
      <c r="H210" s="97" t="inlineStr">
        <is>
          <t>Gizi Baik</t>
        </is>
      </c>
      <c r="I210" s="97" t="inlineStr">
        <is>
          <t>Ya</t>
        </is>
      </c>
      <c r="J210" s="97" t="inlineStr">
        <is>
          <t>Tidak</t>
        </is>
      </c>
    </row>
    <row r="211" ht="15.75" customHeight="1" s="95">
      <c r="A211" s="97" t="inlineStr">
        <is>
          <t>anonymus0210</t>
        </is>
      </c>
      <c r="B211" s="97" t="inlineStr">
        <is>
          <t xml:space="preserve">L </t>
        </is>
      </c>
      <c r="C211" s="97" t="inlineStr">
        <is>
          <t>1-34 Bulan</t>
        </is>
      </c>
      <c r="D211" s="97" t="inlineStr">
        <is>
          <t>14.6</t>
        </is>
      </c>
      <c r="E211" s="97" t="n">
        <v>84</v>
      </c>
      <c r="F211" s="97" t="inlineStr">
        <is>
          <t>Risiko Lebih</t>
        </is>
      </c>
      <c r="G211" s="97" t="inlineStr">
        <is>
          <t>Normal</t>
        </is>
      </c>
      <c r="H211" s="97" t="inlineStr">
        <is>
          <t>Obesitas</t>
        </is>
      </c>
      <c r="I211" s="97" t="inlineStr">
        <is>
          <t>Ya</t>
        </is>
      </c>
      <c r="J211" s="97" t="inlineStr">
        <is>
          <t>Tidak</t>
        </is>
      </c>
    </row>
    <row r="212" ht="15.75" customHeight="1" s="95">
      <c r="A212" s="97" t="inlineStr">
        <is>
          <t>anonymus0211</t>
        </is>
      </c>
      <c r="B212" s="97" t="inlineStr">
        <is>
          <t>P</t>
        </is>
      </c>
      <c r="C212" s="97" t="inlineStr">
        <is>
          <t>1-34 Bulan</t>
        </is>
      </c>
      <c r="D212" s="97" t="n">
        <v>12.6</v>
      </c>
      <c r="E212" s="97" t="n">
        <v>80</v>
      </c>
      <c r="F212" s="97" t="inlineStr">
        <is>
          <t>Normal</t>
        </is>
      </c>
      <c r="G212" s="97" t="inlineStr">
        <is>
          <t>Normal</t>
        </is>
      </c>
      <c r="H212" s="97" t="inlineStr">
        <is>
          <t>Gizi Baik</t>
        </is>
      </c>
      <c r="I212" s="97" t="inlineStr">
        <is>
          <t>Ya</t>
        </is>
      </c>
      <c r="J212" s="97" t="inlineStr">
        <is>
          <t>Tidak</t>
        </is>
      </c>
    </row>
    <row r="213" ht="15.75" customHeight="1" s="95">
      <c r="A213" s="97" t="inlineStr">
        <is>
          <t>anonymus0212</t>
        </is>
      </c>
      <c r="B213" s="97" t="inlineStr">
        <is>
          <t>L</t>
        </is>
      </c>
      <c r="C213" s="97" t="inlineStr">
        <is>
          <t>1-34 Bulan</t>
        </is>
      </c>
      <c r="D213" s="97" t="n">
        <v>6.8</v>
      </c>
      <c r="E213" s="97" t="n">
        <v>91</v>
      </c>
      <c r="F213" s="97" t="inlineStr">
        <is>
          <t>Kurang</t>
        </is>
      </c>
      <c r="G213" s="97" t="inlineStr">
        <is>
          <t>Normal</t>
        </is>
      </c>
      <c r="H213" s="97" t="inlineStr">
        <is>
          <t>Gizi Kurang</t>
        </is>
      </c>
      <c r="I213" s="97" t="inlineStr">
        <is>
          <t>Ya</t>
        </is>
      </c>
      <c r="J213" s="97" t="inlineStr">
        <is>
          <t>Tidak</t>
        </is>
      </c>
    </row>
    <row r="214" ht="15.75" customHeight="1" s="95">
      <c r="A214" s="97" t="inlineStr">
        <is>
          <t>anonymus0213</t>
        </is>
      </c>
      <c r="B214" s="97" t="inlineStr">
        <is>
          <t>P</t>
        </is>
      </c>
      <c r="C214" s="97" t="inlineStr">
        <is>
          <t>35-69 Bulan</t>
        </is>
      </c>
      <c r="D214" s="97" t="n">
        <v>10.3</v>
      </c>
      <c r="E214" s="97" t="n">
        <v>120</v>
      </c>
      <c r="F214" s="97" t="inlineStr">
        <is>
          <t>Normal</t>
        </is>
      </c>
      <c r="G214" s="97" t="inlineStr">
        <is>
          <t>Normal</t>
        </is>
      </c>
      <c r="H214" s="97" t="inlineStr">
        <is>
          <t>Gizi Baik</t>
        </is>
      </c>
      <c r="I214" s="97" t="inlineStr">
        <is>
          <t>Ya</t>
        </is>
      </c>
      <c r="J214" s="97" t="inlineStr">
        <is>
          <t>Tidak</t>
        </is>
      </c>
    </row>
    <row r="215" ht="15.75" customHeight="1" s="95">
      <c r="A215" s="97" t="inlineStr">
        <is>
          <t>anonymus0214</t>
        </is>
      </c>
      <c r="B215" s="97" t="inlineStr">
        <is>
          <t>P</t>
        </is>
      </c>
      <c r="C215" s="97" t="inlineStr">
        <is>
          <t>35-69 Bulan</t>
        </is>
      </c>
      <c r="D215" s="97" t="n">
        <v>8.6</v>
      </c>
      <c r="E215" s="97" t="n">
        <v>78</v>
      </c>
      <c r="F215" s="97" t="inlineStr">
        <is>
          <t>Kurang</t>
        </is>
      </c>
      <c r="G215" s="97" t="inlineStr">
        <is>
          <t>Pendek</t>
        </is>
      </c>
      <c r="H215" s="97" t="inlineStr">
        <is>
          <t>Gizi Baik</t>
        </is>
      </c>
      <c r="I215" s="97" t="inlineStr">
        <is>
          <t>Ya</t>
        </is>
      </c>
      <c r="J215" s="97" t="inlineStr">
        <is>
          <t>Potensi Stunting</t>
        </is>
      </c>
    </row>
    <row r="216" ht="15.75" customHeight="1" s="95">
      <c r="A216" s="97" t="inlineStr">
        <is>
          <t>anonymus0215</t>
        </is>
      </c>
      <c r="B216" s="97" t="inlineStr">
        <is>
          <t>L</t>
        </is>
      </c>
      <c r="C216" s="97" t="inlineStr">
        <is>
          <t>35-69 Bulan</t>
        </is>
      </c>
      <c r="D216" s="97" t="n">
        <v>17.9</v>
      </c>
      <c r="E216" s="97" t="n">
        <v>91</v>
      </c>
      <c r="F216" s="97" t="inlineStr">
        <is>
          <t>Risiko Lebih</t>
        </is>
      </c>
      <c r="G216" s="97" t="inlineStr">
        <is>
          <t>Normal</t>
        </is>
      </c>
      <c r="H216" s="97" t="inlineStr">
        <is>
          <t>Gizi Lebih</t>
        </is>
      </c>
      <c r="I216" s="97" t="inlineStr">
        <is>
          <t>Ya</t>
        </is>
      </c>
      <c r="J216" s="97" t="inlineStr">
        <is>
          <t>Tidak</t>
        </is>
      </c>
    </row>
    <row r="217" ht="15.75" customHeight="1" s="95">
      <c r="A217" s="97" t="inlineStr">
        <is>
          <t>anonymus0216</t>
        </is>
      </c>
      <c r="B217" s="97" t="inlineStr">
        <is>
          <t xml:space="preserve">L </t>
        </is>
      </c>
      <c r="C217" s="97" t="inlineStr">
        <is>
          <t>35-69 Bulan</t>
        </is>
      </c>
      <c r="D217" s="97" t="inlineStr">
        <is>
          <t>17.1</t>
        </is>
      </c>
      <c r="E217" s="97" t="n">
        <v>104</v>
      </c>
      <c r="F217" s="97" t="inlineStr">
        <is>
          <t>Normal</t>
        </is>
      </c>
      <c r="G217" s="97" t="inlineStr">
        <is>
          <t>Normal</t>
        </is>
      </c>
      <c r="H217" s="97" t="inlineStr">
        <is>
          <t>Gizi Baik</t>
        </is>
      </c>
      <c r="I217" s="97" t="inlineStr">
        <is>
          <t>Ya</t>
        </is>
      </c>
      <c r="J217" s="97" t="inlineStr">
        <is>
          <t>Tidak</t>
        </is>
      </c>
    </row>
    <row r="218" ht="15.75" customHeight="1" s="95">
      <c r="A218" s="97" t="inlineStr">
        <is>
          <t>anonymus0217</t>
        </is>
      </c>
      <c r="B218" s="97" t="inlineStr">
        <is>
          <t>L</t>
        </is>
      </c>
      <c r="C218" s="97" t="inlineStr">
        <is>
          <t>35-69 Bulan</t>
        </is>
      </c>
      <c r="D218" s="97" t="n">
        <v>16.9</v>
      </c>
      <c r="E218" s="97" t="n">
        <v>115</v>
      </c>
      <c r="F218" s="97" t="inlineStr">
        <is>
          <t>Normal</t>
        </is>
      </c>
      <c r="G218" s="97" t="inlineStr">
        <is>
          <t>Normal</t>
        </is>
      </c>
      <c r="H218" s="97" t="inlineStr">
        <is>
          <t>Gizi Baik</t>
        </is>
      </c>
      <c r="I218" s="97" t="inlineStr">
        <is>
          <t>Ya</t>
        </is>
      </c>
      <c r="J218" s="97" t="inlineStr">
        <is>
          <t>Tidak</t>
        </is>
      </c>
    </row>
    <row r="219" ht="15.75" customHeight="1" s="95">
      <c r="A219" s="97" t="inlineStr">
        <is>
          <t>anonymus0218</t>
        </is>
      </c>
      <c r="B219" s="97" t="inlineStr">
        <is>
          <t>P</t>
        </is>
      </c>
      <c r="C219" s="97" t="inlineStr">
        <is>
          <t>35-69 Bulan</t>
        </is>
      </c>
      <c r="D219" s="97" t="n">
        <v>7.9</v>
      </c>
      <c r="E219" s="97" t="n">
        <v>76</v>
      </c>
      <c r="F219" s="97" t="inlineStr">
        <is>
          <t>Kurang</t>
        </is>
      </c>
      <c r="G219" s="97" t="inlineStr">
        <is>
          <t>Pendek</t>
        </is>
      </c>
      <c r="H219" s="97" t="inlineStr">
        <is>
          <t>Gizi Kurang</t>
        </is>
      </c>
      <c r="I219" s="97" t="inlineStr">
        <is>
          <t>Ya</t>
        </is>
      </c>
      <c r="J219" s="97" t="inlineStr">
        <is>
          <t>Potensi Stunting</t>
        </is>
      </c>
    </row>
    <row r="220" ht="15.75" customHeight="1" s="95">
      <c r="A220" s="97" t="inlineStr">
        <is>
          <t>anonymus0219</t>
        </is>
      </c>
      <c r="B220" s="97" t="inlineStr">
        <is>
          <t>L</t>
        </is>
      </c>
      <c r="C220" s="97" t="inlineStr">
        <is>
          <t>1-34 Bulan</t>
        </is>
      </c>
      <c r="D220" s="97" t="n">
        <v>11.3</v>
      </c>
      <c r="E220" s="97" t="n">
        <v>80</v>
      </c>
      <c r="F220" s="97" t="inlineStr">
        <is>
          <t>Normal</t>
        </is>
      </c>
      <c r="G220" s="97" t="inlineStr">
        <is>
          <t>Normal</t>
        </is>
      </c>
      <c r="H220" s="97" t="inlineStr">
        <is>
          <t>Gizi Baik</t>
        </is>
      </c>
      <c r="I220" s="97" t="inlineStr">
        <is>
          <t>Ya</t>
        </is>
      </c>
      <c r="J220" s="97" t="inlineStr">
        <is>
          <t>Tidak</t>
        </is>
      </c>
    </row>
    <row r="221" ht="15.75" customHeight="1" s="95">
      <c r="A221" s="97" t="inlineStr">
        <is>
          <t>anonymus0220</t>
        </is>
      </c>
      <c r="B221" s="97" t="inlineStr">
        <is>
          <t>L</t>
        </is>
      </c>
      <c r="C221" s="97" t="inlineStr">
        <is>
          <t>1-34 Bulan</t>
        </is>
      </c>
      <c r="D221" s="97" t="n">
        <v>8.4</v>
      </c>
      <c r="E221" s="97" t="n">
        <v>78.7</v>
      </c>
      <c r="F221" s="97" t="inlineStr">
        <is>
          <t>Kurang</t>
        </is>
      </c>
      <c r="G221" s="97" t="inlineStr">
        <is>
          <t>Normal</t>
        </is>
      </c>
      <c r="H221" s="97" t="inlineStr">
        <is>
          <t>Gizi Kurang</t>
        </is>
      </c>
      <c r="I221" s="97" t="inlineStr">
        <is>
          <t>Ya</t>
        </is>
      </c>
      <c r="J221" s="97" t="inlineStr">
        <is>
          <t>Tidak</t>
        </is>
      </c>
    </row>
    <row r="222" ht="15.75" customHeight="1" s="95">
      <c r="A222" s="97" t="inlineStr">
        <is>
          <t>anonymus0221</t>
        </is>
      </c>
      <c r="B222" s="97" t="inlineStr">
        <is>
          <t>L</t>
        </is>
      </c>
      <c r="C222" s="97" t="inlineStr">
        <is>
          <t>1-34 Bulan</t>
        </is>
      </c>
      <c r="D222" s="97" t="n">
        <v>12.1</v>
      </c>
      <c r="E222" s="97" t="n">
        <v>77</v>
      </c>
      <c r="F222" s="97" t="inlineStr">
        <is>
          <t>Normal</t>
        </is>
      </c>
      <c r="G222" s="97" t="inlineStr">
        <is>
          <t>Normal</t>
        </is>
      </c>
      <c r="H222" s="97" t="inlineStr">
        <is>
          <t>Gizi Baik</t>
        </is>
      </c>
      <c r="I222" s="97" t="inlineStr">
        <is>
          <t>Ya</t>
        </is>
      </c>
      <c r="J222" s="97" t="inlineStr">
        <is>
          <t>Tidak</t>
        </is>
      </c>
    </row>
    <row r="223" ht="15.75" customHeight="1" s="95">
      <c r="A223" s="97" t="inlineStr">
        <is>
          <t>anonymus0222</t>
        </is>
      </c>
      <c r="B223" s="97" t="inlineStr">
        <is>
          <t>L</t>
        </is>
      </c>
      <c r="C223" s="97" t="inlineStr">
        <is>
          <t>35-69 Bulan</t>
        </is>
      </c>
      <c r="D223" s="97" t="n">
        <v>12</v>
      </c>
      <c r="E223" s="97" t="n">
        <v>97</v>
      </c>
      <c r="F223" s="97" t="inlineStr">
        <is>
          <t>Normal</t>
        </is>
      </c>
      <c r="G223" s="97" t="inlineStr">
        <is>
          <t>Normal</t>
        </is>
      </c>
      <c r="H223" s="97" t="inlineStr">
        <is>
          <t>Gizi Kurang</t>
        </is>
      </c>
      <c r="I223" s="97" t="inlineStr">
        <is>
          <t>Ya</t>
        </is>
      </c>
      <c r="J223" s="97" t="inlineStr">
        <is>
          <t>Tidak</t>
        </is>
      </c>
    </row>
    <row r="224" ht="15.75" customHeight="1" s="95">
      <c r="A224" s="97" t="inlineStr">
        <is>
          <t>anonymus0223</t>
        </is>
      </c>
      <c r="B224" s="97" t="inlineStr">
        <is>
          <t>L</t>
        </is>
      </c>
      <c r="C224" s="97" t="inlineStr">
        <is>
          <t>1-34 Bulan</t>
        </is>
      </c>
      <c r="D224" s="97" t="n">
        <v>9.1</v>
      </c>
      <c r="E224" s="97" t="n">
        <v>78</v>
      </c>
      <c r="F224" s="97" t="inlineStr">
        <is>
          <t>Normal</t>
        </is>
      </c>
      <c r="G224" s="97" t="inlineStr">
        <is>
          <t>Pendek</t>
        </is>
      </c>
      <c r="H224" s="97" t="inlineStr">
        <is>
          <t>Gizi Baik</t>
        </is>
      </c>
      <c r="I224" s="97" t="inlineStr">
        <is>
          <t>Ya</t>
        </is>
      </c>
      <c r="J224" s="97" t="inlineStr">
        <is>
          <t>Potensi Stunting</t>
        </is>
      </c>
    </row>
    <row r="225" ht="15.75" customHeight="1" s="95">
      <c r="A225" s="97" t="inlineStr">
        <is>
          <t>anonymus0224</t>
        </is>
      </c>
      <c r="B225" s="97" t="inlineStr">
        <is>
          <t xml:space="preserve">L </t>
        </is>
      </c>
      <c r="C225" s="97" t="inlineStr">
        <is>
          <t>35-69 Bulan</t>
        </is>
      </c>
      <c r="D225" s="97" t="inlineStr">
        <is>
          <t>17.4</t>
        </is>
      </c>
      <c r="E225" s="97" t="n">
        <v>107</v>
      </c>
      <c r="F225" s="97" t="inlineStr">
        <is>
          <t>Normal</t>
        </is>
      </c>
      <c r="G225" s="97" t="inlineStr">
        <is>
          <t>Normal</t>
        </is>
      </c>
      <c r="H225" s="97" t="inlineStr">
        <is>
          <t>Gizi Baik</t>
        </is>
      </c>
      <c r="I225" s="97" t="inlineStr">
        <is>
          <t>Ya</t>
        </is>
      </c>
      <c r="J225" s="97" t="inlineStr">
        <is>
          <t>Tidak</t>
        </is>
      </c>
    </row>
    <row r="226" ht="15.75" customHeight="1" s="95">
      <c r="A226" s="97" t="inlineStr">
        <is>
          <t>anonymus0225</t>
        </is>
      </c>
      <c r="B226" s="97" t="inlineStr">
        <is>
          <t>P</t>
        </is>
      </c>
      <c r="C226" s="97" t="inlineStr">
        <is>
          <t>35-69 Bulan</t>
        </is>
      </c>
      <c r="D226" s="97" t="n">
        <v>16.8</v>
      </c>
      <c r="E226" s="97" t="n">
        <v>106</v>
      </c>
      <c r="F226" s="97" t="inlineStr">
        <is>
          <t>Normal</t>
        </is>
      </c>
      <c r="G226" s="97" t="inlineStr">
        <is>
          <t>Normal</t>
        </is>
      </c>
      <c r="H226" s="97" t="inlineStr">
        <is>
          <t>Gizi Baik</t>
        </is>
      </c>
      <c r="I226" s="97" t="inlineStr">
        <is>
          <t>Ya</t>
        </is>
      </c>
      <c r="J226" s="97" t="inlineStr">
        <is>
          <t>Tidak</t>
        </is>
      </c>
    </row>
    <row r="227" ht="15.75" customHeight="1" s="95">
      <c r="A227" s="97" t="inlineStr">
        <is>
          <t>anonymus0226</t>
        </is>
      </c>
      <c r="B227" s="97" t="inlineStr">
        <is>
          <t xml:space="preserve">L </t>
        </is>
      </c>
      <c r="C227" s="97" t="inlineStr">
        <is>
          <t>1-34 Bulan</t>
        </is>
      </c>
      <c r="D227" s="97" t="inlineStr">
        <is>
          <t>9.3</t>
        </is>
      </c>
      <c r="E227" s="97" t="n">
        <v>72</v>
      </c>
      <c r="F227" s="97" t="inlineStr">
        <is>
          <t>Normal</t>
        </is>
      </c>
      <c r="G227" s="97" t="inlineStr">
        <is>
          <t>Normal</t>
        </is>
      </c>
      <c r="H227" s="97" t="inlineStr">
        <is>
          <t>Gizi Baik</t>
        </is>
      </c>
      <c r="I227" s="97" t="inlineStr">
        <is>
          <t>Ya</t>
        </is>
      </c>
      <c r="J227" s="97" t="inlineStr">
        <is>
          <t>Tidak</t>
        </is>
      </c>
    </row>
    <row r="228" ht="15.75" customHeight="1" s="95">
      <c r="A228" s="97" t="inlineStr">
        <is>
          <t>anonymus0227</t>
        </is>
      </c>
      <c r="B228" s="97" t="inlineStr">
        <is>
          <t>P</t>
        </is>
      </c>
      <c r="C228" s="97" t="inlineStr">
        <is>
          <t>35-69 Bulan</t>
        </is>
      </c>
      <c r="D228" s="97" t="n">
        <v>19.9</v>
      </c>
      <c r="E228" s="97" t="n">
        <v>115</v>
      </c>
      <c r="F228" s="97" t="inlineStr">
        <is>
          <t>Risiko Lebih</t>
        </is>
      </c>
      <c r="G228" s="97" t="inlineStr">
        <is>
          <t>Normal</t>
        </is>
      </c>
      <c r="H228" s="97" t="inlineStr">
        <is>
          <t>Gizi Lebih</t>
        </is>
      </c>
      <c r="I228" s="97" t="inlineStr">
        <is>
          <t>Ya</t>
        </is>
      </c>
      <c r="J228" s="97" t="inlineStr">
        <is>
          <t>Tidak</t>
        </is>
      </c>
    </row>
    <row r="229" ht="15.75" customHeight="1" s="95">
      <c r="A229" s="97" t="inlineStr">
        <is>
          <t>anonymus0228</t>
        </is>
      </c>
      <c r="B229" s="97" t="inlineStr">
        <is>
          <t>L</t>
        </is>
      </c>
      <c r="C229" s="97" t="inlineStr">
        <is>
          <t>35-69 Bulan</t>
        </is>
      </c>
      <c r="D229" s="97" t="n">
        <v>12.1</v>
      </c>
      <c r="E229" s="97" t="n">
        <v>95</v>
      </c>
      <c r="F229" s="97" t="inlineStr">
        <is>
          <t>Kurang</t>
        </is>
      </c>
      <c r="G229" s="97" t="inlineStr">
        <is>
          <t>Pendek</t>
        </is>
      </c>
      <c r="H229" s="97" t="inlineStr">
        <is>
          <t>Gizi Baik</t>
        </is>
      </c>
      <c r="I229" s="97" t="inlineStr">
        <is>
          <t>Ya</t>
        </is>
      </c>
      <c r="J229" s="97" t="inlineStr">
        <is>
          <t>Potensi Stunting</t>
        </is>
      </c>
    </row>
    <row r="230" ht="15.75" customHeight="1" s="95">
      <c r="A230" s="97" t="inlineStr">
        <is>
          <t>anonymus0229</t>
        </is>
      </c>
      <c r="B230" s="97" t="inlineStr">
        <is>
          <t>P</t>
        </is>
      </c>
      <c r="C230" s="97" t="inlineStr">
        <is>
          <t>35-69 Bulan</t>
        </is>
      </c>
      <c r="D230" s="97" t="n">
        <v>12.3</v>
      </c>
      <c r="E230" s="97" t="n">
        <v>112</v>
      </c>
      <c r="F230" s="97" t="inlineStr">
        <is>
          <t>Normal</t>
        </is>
      </c>
      <c r="G230" s="97" t="inlineStr">
        <is>
          <t>Normal</t>
        </is>
      </c>
      <c r="H230" s="97" t="inlineStr">
        <is>
          <t>Gizi Baik</t>
        </is>
      </c>
      <c r="I230" s="97" t="inlineStr">
        <is>
          <t>Ya</t>
        </is>
      </c>
      <c r="J230" s="97" t="inlineStr">
        <is>
          <t>Tidak</t>
        </is>
      </c>
    </row>
    <row r="231" ht="15.75" customHeight="1" s="95">
      <c r="A231" s="97" t="inlineStr">
        <is>
          <t>anonymus0230</t>
        </is>
      </c>
      <c r="B231" s="97" t="inlineStr">
        <is>
          <t>P</t>
        </is>
      </c>
      <c r="C231" s="97" t="inlineStr">
        <is>
          <t>1-34 Bulan</t>
        </is>
      </c>
      <c r="D231" s="97" t="n">
        <v>6.5</v>
      </c>
      <c r="E231" s="97" t="n">
        <v>81</v>
      </c>
      <c r="F231" s="97" t="inlineStr">
        <is>
          <t>Kurang</t>
        </is>
      </c>
      <c r="G231" s="97" t="inlineStr">
        <is>
          <t>Normal</t>
        </is>
      </c>
      <c r="H231" s="97" t="inlineStr">
        <is>
          <t>Gizi Kurang</t>
        </is>
      </c>
      <c r="I231" s="97" t="inlineStr">
        <is>
          <t>Ya</t>
        </is>
      </c>
      <c r="J231" s="97" t="inlineStr">
        <is>
          <t>Tidak</t>
        </is>
      </c>
    </row>
    <row r="232" ht="15.75" customHeight="1" s="95">
      <c r="A232" s="97" t="inlineStr">
        <is>
          <t>anonymus0231</t>
        </is>
      </c>
      <c r="B232" s="97" t="inlineStr">
        <is>
          <t xml:space="preserve">L </t>
        </is>
      </c>
      <c r="C232" s="97" t="inlineStr">
        <is>
          <t>1-34 Bulan</t>
        </is>
      </c>
      <c r="D232" s="97" t="inlineStr">
        <is>
          <t>11.6</t>
        </is>
      </c>
      <c r="E232" s="97" t="n">
        <v>89</v>
      </c>
      <c r="F232" s="97" t="inlineStr">
        <is>
          <t>Normal</t>
        </is>
      </c>
      <c r="G232" s="97" t="inlineStr">
        <is>
          <t>Normal</t>
        </is>
      </c>
      <c r="H232" s="97" t="inlineStr">
        <is>
          <t>Gizi Baik</t>
        </is>
      </c>
      <c r="I232" s="97" t="inlineStr">
        <is>
          <t>Ya</t>
        </is>
      </c>
      <c r="J232" s="97" t="inlineStr">
        <is>
          <t>Tidak</t>
        </is>
      </c>
    </row>
    <row r="233" ht="15.75" customHeight="1" s="95">
      <c r="A233" s="97" t="inlineStr">
        <is>
          <t>anonymus0232</t>
        </is>
      </c>
      <c r="B233" s="97" t="inlineStr">
        <is>
          <t xml:space="preserve">P </t>
        </is>
      </c>
      <c r="C233" s="97" t="inlineStr">
        <is>
          <t>1-34 Bulan</t>
        </is>
      </c>
      <c r="D233" s="97" t="inlineStr">
        <is>
          <t>11.2</t>
        </is>
      </c>
      <c r="E233" s="97" t="n">
        <v>86</v>
      </c>
      <c r="F233" s="97" t="inlineStr">
        <is>
          <t>Normal</t>
        </is>
      </c>
      <c r="G233" s="97" t="inlineStr">
        <is>
          <t>Normal</t>
        </is>
      </c>
      <c r="H233" s="97" t="inlineStr">
        <is>
          <t>Gizi Baik</t>
        </is>
      </c>
      <c r="I233" s="97" t="inlineStr">
        <is>
          <t>Ya</t>
        </is>
      </c>
      <c r="J233" s="97" t="inlineStr">
        <is>
          <t>Tidak</t>
        </is>
      </c>
    </row>
    <row r="234" ht="15.75" customHeight="1" s="95">
      <c r="A234" s="97" t="inlineStr">
        <is>
          <t>anonymus0233</t>
        </is>
      </c>
      <c r="B234" s="97" t="inlineStr">
        <is>
          <t>L</t>
        </is>
      </c>
      <c r="C234" s="97" t="inlineStr">
        <is>
          <t>35-69 Bulan</t>
        </is>
      </c>
      <c r="D234" s="97" t="n">
        <v>13</v>
      </c>
      <c r="E234" s="97" t="n">
        <v>103</v>
      </c>
      <c r="F234" s="97" t="inlineStr">
        <is>
          <t>Normal</t>
        </is>
      </c>
      <c r="G234" s="97" t="inlineStr">
        <is>
          <t>Normal</t>
        </is>
      </c>
      <c r="H234" s="97" t="inlineStr">
        <is>
          <t>Gizi Kurang</t>
        </is>
      </c>
      <c r="I234" s="97" t="inlineStr">
        <is>
          <t>Ya</t>
        </is>
      </c>
      <c r="J234" s="97" t="inlineStr">
        <is>
          <t>Tidak</t>
        </is>
      </c>
    </row>
    <row r="235" ht="15.75" customHeight="1" s="95">
      <c r="A235" s="97" t="inlineStr">
        <is>
          <t>anonymus0234</t>
        </is>
      </c>
      <c r="B235" s="97" t="inlineStr">
        <is>
          <t>L</t>
        </is>
      </c>
      <c r="C235" s="97" t="inlineStr">
        <is>
          <t>35-69 Bulan</t>
        </is>
      </c>
      <c r="D235" s="97" t="n">
        <v>13.8</v>
      </c>
      <c r="E235" s="97" t="n">
        <v>104</v>
      </c>
      <c r="F235" s="97" t="inlineStr">
        <is>
          <t>Kurang</t>
        </is>
      </c>
      <c r="G235" s="97" t="inlineStr">
        <is>
          <t>Normal</t>
        </is>
      </c>
      <c r="H235" s="97" t="inlineStr">
        <is>
          <t>Gizi Kurang</t>
        </is>
      </c>
      <c r="I235" s="97" t="inlineStr">
        <is>
          <t>Ya</t>
        </is>
      </c>
      <c r="J235" s="97" t="inlineStr">
        <is>
          <t>Tidak</t>
        </is>
      </c>
    </row>
    <row r="236" ht="15.75" customHeight="1" s="95">
      <c r="A236" s="97" t="inlineStr">
        <is>
          <t>anonymus0235</t>
        </is>
      </c>
      <c r="B236" s="97" t="inlineStr">
        <is>
          <t>P</t>
        </is>
      </c>
      <c r="C236" s="97" t="inlineStr">
        <is>
          <t>35-69 Bulan</t>
        </is>
      </c>
      <c r="D236" s="97" t="n">
        <v>14.3</v>
      </c>
      <c r="E236" s="97" t="n">
        <v>111</v>
      </c>
      <c r="F236" s="97" t="inlineStr">
        <is>
          <t>Normal</t>
        </is>
      </c>
      <c r="G236" s="97" t="inlineStr">
        <is>
          <t>Normal</t>
        </is>
      </c>
      <c r="H236" s="97" t="inlineStr">
        <is>
          <t>Gizi Baik</t>
        </is>
      </c>
      <c r="I236" s="97" t="inlineStr">
        <is>
          <t>Ya</t>
        </is>
      </c>
      <c r="J236" s="97" t="inlineStr">
        <is>
          <t>Tidak</t>
        </is>
      </c>
    </row>
    <row r="237" ht="15.75" customHeight="1" s="95">
      <c r="A237" s="97" t="inlineStr">
        <is>
          <t>anonymus0236</t>
        </is>
      </c>
      <c r="B237" s="97" t="inlineStr">
        <is>
          <t>L</t>
        </is>
      </c>
      <c r="C237" s="97" t="inlineStr">
        <is>
          <t>35-69 Bulan</t>
        </is>
      </c>
      <c r="D237" s="97" t="n">
        <v>10.8</v>
      </c>
      <c r="E237" s="97" t="n">
        <v>88</v>
      </c>
      <c r="F237" s="97" t="inlineStr">
        <is>
          <t>Kurang</t>
        </is>
      </c>
      <c r="G237" s="97" t="inlineStr">
        <is>
          <t>Pendek</t>
        </is>
      </c>
      <c r="H237" s="97" t="inlineStr">
        <is>
          <t>Gizi Baik</t>
        </is>
      </c>
      <c r="I237" s="97" t="inlineStr">
        <is>
          <t>Ya</t>
        </is>
      </c>
      <c r="J237" s="97" t="inlineStr">
        <is>
          <t>Potensi Stunting</t>
        </is>
      </c>
    </row>
    <row r="238" ht="15.75" customHeight="1" s="95">
      <c r="A238" s="97" t="inlineStr">
        <is>
          <t>anonymus0237</t>
        </is>
      </c>
      <c r="B238" s="97" t="inlineStr">
        <is>
          <t>L</t>
        </is>
      </c>
      <c r="C238" s="97" t="inlineStr">
        <is>
          <t>1-34 Bulan</t>
        </is>
      </c>
      <c r="D238" s="97" t="n">
        <v>10.8</v>
      </c>
      <c r="E238" s="97" t="n">
        <v>90</v>
      </c>
      <c r="F238" s="97" t="inlineStr">
        <is>
          <t>Normal</t>
        </is>
      </c>
      <c r="G238" s="97" t="inlineStr">
        <is>
          <t>Normal</t>
        </is>
      </c>
      <c r="H238" s="97" t="inlineStr">
        <is>
          <t>Gizi Kurang</t>
        </is>
      </c>
      <c r="I238" s="97" t="inlineStr">
        <is>
          <t>Ya</t>
        </is>
      </c>
      <c r="J238" s="97" t="inlineStr">
        <is>
          <t>Tidak</t>
        </is>
      </c>
    </row>
    <row r="239" ht="15.75" customHeight="1" s="95">
      <c r="A239" s="97" t="inlineStr">
        <is>
          <t>anonymus0238</t>
        </is>
      </c>
      <c r="B239" s="97" t="inlineStr">
        <is>
          <t>L</t>
        </is>
      </c>
      <c r="C239" s="97" t="inlineStr">
        <is>
          <t>1-34 Bulan</t>
        </is>
      </c>
      <c r="D239" s="97" t="n">
        <v>12.7</v>
      </c>
      <c r="E239" s="97" t="n">
        <v>85</v>
      </c>
      <c r="F239" s="97" t="inlineStr">
        <is>
          <t>Normal</t>
        </is>
      </c>
      <c r="G239" s="97" t="inlineStr">
        <is>
          <t>Normal</t>
        </is>
      </c>
      <c r="H239" s="97" t="inlineStr">
        <is>
          <t>Gizi Baik</t>
        </is>
      </c>
      <c r="I239" s="97" t="inlineStr">
        <is>
          <t>Ya</t>
        </is>
      </c>
      <c r="J239" s="97" t="inlineStr">
        <is>
          <t>Tidak</t>
        </is>
      </c>
    </row>
    <row r="240" ht="15.75" customHeight="1" s="95">
      <c r="A240" s="97" t="inlineStr">
        <is>
          <t>anonymus0239</t>
        </is>
      </c>
      <c r="B240" s="97" t="inlineStr">
        <is>
          <t xml:space="preserve">P </t>
        </is>
      </c>
      <c r="C240" s="97" t="inlineStr">
        <is>
          <t>35-69 Bulan</t>
        </is>
      </c>
      <c r="D240" s="97" t="n">
        <v>17</v>
      </c>
      <c r="E240" s="97" t="n">
        <v>101</v>
      </c>
      <c r="F240" s="97" t="inlineStr">
        <is>
          <t>Normal</t>
        </is>
      </c>
      <c r="G240" s="97" t="inlineStr">
        <is>
          <t>Normal</t>
        </is>
      </c>
      <c r="H240" s="97" t="inlineStr">
        <is>
          <t>Gizi Baik</t>
        </is>
      </c>
      <c r="I240" s="97" t="inlineStr">
        <is>
          <t>Ya</t>
        </is>
      </c>
      <c r="J240" s="97" t="inlineStr">
        <is>
          <t>Tidak</t>
        </is>
      </c>
    </row>
    <row r="241" ht="15.75" customHeight="1" s="95">
      <c r="A241" s="97" t="inlineStr">
        <is>
          <t>anonymus0240</t>
        </is>
      </c>
      <c r="B241" s="97" t="inlineStr">
        <is>
          <t>P</t>
        </is>
      </c>
      <c r="C241" s="97" t="inlineStr">
        <is>
          <t>35-69 Bulan</t>
        </is>
      </c>
      <c r="D241" s="97" t="n">
        <v>11</v>
      </c>
      <c r="E241" s="97" t="n">
        <v>93.59999999999999</v>
      </c>
      <c r="F241" s="97" t="inlineStr">
        <is>
          <t>Kurang</t>
        </is>
      </c>
      <c r="G241" s="97" t="inlineStr">
        <is>
          <t>Normal</t>
        </is>
      </c>
      <c r="H241" s="97" t="inlineStr">
        <is>
          <t>Gizi Kurang</t>
        </is>
      </c>
      <c r="I241" s="97" t="inlineStr">
        <is>
          <t>Ya</t>
        </is>
      </c>
      <c r="J241" s="97" t="inlineStr">
        <is>
          <t>Tidak</t>
        </is>
      </c>
    </row>
    <row r="242" ht="15.75" customHeight="1" s="95">
      <c r="A242" s="97" t="inlineStr">
        <is>
          <t>anonymus0241</t>
        </is>
      </c>
      <c r="B242" s="97" t="inlineStr">
        <is>
          <t>L</t>
        </is>
      </c>
      <c r="C242" s="97" t="inlineStr">
        <is>
          <t>35-69 Bulan</t>
        </is>
      </c>
      <c r="D242" s="97" t="n">
        <v>14.4</v>
      </c>
      <c r="E242" s="97" t="n">
        <v>96</v>
      </c>
      <c r="F242" s="97" t="inlineStr">
        <is>
          <t>Normal</t>
        </is>
      </c>
      <c r="G242" s="97" t="inlineStr">
        <is>
          <t>Normal</t>
        </is>
      </c>
      <c r="H242" s="97" t="inlineStr">
        <is>
          <t>Gizi Baik</t>
        </is>
      </c>
      <c r="I242" s="97" t="inlineStr">
        <is>
          <t>Ya</t>
        </is>
      </c>
      <c r="J242" s="97" t="inlineStr">
        <is>
          <t>Tidak</t>
        </is>
      </c>
    </row>
    <row r="243" ht="15.75" customHeight="1" s="95">
      <c r="A243" s="97" t="inlineStr">
        <is>
          <t>anonymus0242</t>
        </is>
      </c>
      <c r="B243" s="97" t="inlineStr">
        <is>
          <t>L</t>
        </is>
      </c>
      <c r="C243" s="97" t="inlineStr">
        <is>
          <t>1-34 Bulan</t>
        </is>
      </c>
      <c r="D243" s="97" t="n">
        <v>6.3</v>
      </c>
      <c r="E243" s="97" t="n">
        <v>93</v>
      </c>
      <c r="F243" s="97" t="inlineStr">
        <is>
          <t>Kurang</t>
        </is>
      </c>
      <c r="G243" s="97" t="inlineStr">
        <is>
          <t>Normal</t>
        </is>
      </c>
      <c r="H243" s="97" t="inlineStr">
        <is>
          <t>Gizi Kurang</t>
        </is>
      </c>
      <c r="I243" s="97" t="inlineStr">
        <is>
          <t>Ya</t>
        </is>
      </c>
      <c r="J243" s="97" t="inlineStr">
        <is>
          <t>Tidak</t>
        </is>
      </c>
    </row>
    <row r="244" ht="15.75" customHeight="1" s="95">
      <c r="A244" s="97" t="inlineStr">
        <is>
          <t>anonymus0243</t>
        </is>
      </c>
      <c r="B244" s="97" t="inlineStr">
        <is>
          <t xml:space="preserve">L </t>
        </is>
      </c>
      <c r="C244" s="97" t="inlineStr">
        <is>
          <t>1-34 Bulan</t>
        </is>
      </c>
      <c r="D244" s="97" t="n">
        <v>11</v>
      </c>
      <c r="E244" s="97" t="n">
        <v>88</v>
      </c>
      <c r="F244" s="97" t="inlineStr">
        <is>
          <t>Normal</t>
        </is>
      </c>
      <c r="G244" s="97" t="inlineStr">
        <is>
          <t>Normal</t>
        </is>
      </c>
      <c r="H244" s="97" t="inlineStr">
        <is>
          <t>Gizi Baik</t>
        </is>
      </c>
      <c r="I244" s="97" t="inlineStr">
        <is>
          <t>Ya</t>
        </is>
      </c>
      <c r="J244" s="97" t="inlineStr">
        <is>
          <t>Tidak</t>
        </is>
      </c>
    </row>
    <row r="245" ht="15.75" customHeight="1" s="95">
      <c r="A245" s="97" t="inlineStr">
        <is>
          <t>anonymus0244</t>
        </is>
      </c>
      <c r="B245" s="97" t="inlineStr">
        <is>
          <t xml:space="preserve">P </t>
        </is>
      </c>
      <c r="C245" s="97" t="inlineStr">
        <is>
          <t>1-34 Bulan</t>
        </is>
      </c>
      <c r="D245" s="97" t="n">
        <v>11</v>
      </c>
      <c r="E245" s="97" t="n">
        <v>92</v>
      </c>
      <c r="F245" s="97" t="inlineStr">
        <is>
          <t>Normal</t>
        </is>
      </c>
      <c r="G245" s="97" t="inlineStr">
        <is>
          <t>Normal</t>
        </is>
      </c>
      <c r="H245" s="97" t="inlineStr">
        <is>
          <t>Gizi baik</t>
        </is>
      </c>
      <c r="I245" s="97" t="inlineStr">
        <is>
          <t>Ya</t>
        </is>
      </c>
      <c r="J245" s="97" t="inlineStr">
        <is>
          <t>Tidak</t>
        </is>
      </c>
    </row>
    <row r="246" ht="15.75" customHeight="1" s="95">
      <c r="A246" s="97" t="inlineStr">
        <is>
          <t>anonymus0245</t>
        </is>
      </c>
      <c r="B246" s="97" t="inlineStr">
        <is>
          <t>P</t>
        </is>
      </c>
      <c r="C246" s="97" t="inlineStr">
        <is>
          <t>35-69 Bulan</t>
        </is>
      </c>
      <c r="D246" s="97" t="n">
        <v>14.5</v>
      </c>
      <c r="E246" s="97" t="n">
        <v>106</v>
      </c>
      <c r="F246" s="97" t="inlineStr">
        <is>
          <t>Normal</t>
        </is>
      </c>
      <c r="G246" s="97" t="inlineStr">
        <is>
          <t>Normal</t>
        </is>
      </c>
      <c r="H246" s="97" t="inlineStr">
        <is>
          <t>Gizi Baik</t>
        </is>
      </c>
      <c r="I246" s="97" t="inlineStr">
        <is>
          <t>Ya</t>
        </is>
      </c>
      <c r="J246" s="97" t="inlineStr">
        <is>
          <t>Tidak</t>
        </is>
      </c>
    </row>
    <row r="247" ht="15.75" customHeight="1" s="95">
      <c r="A247" s="97" t="inlineStr">
        <is>
          <t>anonymus0246</t>
        </is>
      </c>
      <c r="B247" s="97" t="inlineStr">
        <is>
          <t xml:space="preserve">P </t>
        </is>
      </c>
      <c r="C247" s="97" t="inlineStr">
        <is>
          <t>35-69 Bulan</t>
        </is>
      </c>
      <c r="D247" s="97" t="inlineStr">
        <is>
          <t>16.6</t>
        </is>
      </c>
      <c r="E247" s="97" t="n">
        <v>103</v>
      </c>
      <c r="F247" s="97" t="inlineStr">
        <is>
          <t>Normal</t>
        </is>
      </c>
      <c r="G247" s="97" t="inlineStr">
        <is>
          <t>Normal</t>
        </is>
      </c>
      <c r="H247" s="97" t="inlineStr">
        <is>
          <t>Gizi Baik</t>
        </is>
      </c>
      <c r="I247" s="97" t="inlineStr">
        <is>
          <t>Ya</t>
        </is>
      </c>
      <c r="J247" s="97" t="inlineStr">
        <is>
          <t>Tidak</t>
        </is>
      </c>
    </row>
    <row r="248" ht="15.75" customHeight="1" s="95">
      <c r="A248" s="97" t="inlineStr">
        <is>
          <t>anonymus0247</t>
        </is>
      </c>
      <c r="B248" s="97" t="inlineStr">
        <is>
          <t>P</t>
        </is>
      </c>
      <c r="C248" s="97" t="inlineStr">
        <is>
          <t>1-34 Bulan</t>
        </is>
      </c>
      <c r="D248" s="97" t="n">
        <v>9.699999999999999</v>
      </c>
      <c r="E248" s="97" t="n">
        <v>89</v>
      </c>
      <c r="F248" s="97" t="inlineStr">
        <is>
          <t>Normal</t>
        </is>
      </c>
      <c r="G248" s="97" t="inlineStr">
        <is>
          <t>Normal</t>
        </is>
      </c>
      <c r="H248" s="97" t="inlineStr">
        <is>
          <t>Gizi Baik</t>
        </is>
      </c>
      <c r="I248" s="97" t="inlineStr">
        <is>
          <t>Ya</t>
        </is>
      </c>
      <c r="J248" s="97" t="inlineStr">
        <is>
          <t>Tidak</t>
        </is>
      </c>
    </row>
    <row r="249" ht="15.75" customHeight="1" s="95">
      <c r="A249" s="97" t="inlineStr">
        <is>
          <t>anonymus0248</t>
        </is>
      </c>
      <c r="B249" s="97" t="inlineStr">
        <is>
          <t xml:space="preserve">P </t>
        </is>
      </c>
      <c r="C249" s="97" t="inlineStr">
        <is>
          <t>35-69 Bulan</t>
        </is>
      </c>
      <c r="D249" s="97" t="inlineStr">
        <is>
          <t>17.6</t>
        </is>
      </c>
      <c r="E249" s="97" t="n">
        <v>104</v>
      </c>
      <c r="F249" s="97" t="inlineStr">
        <is>
          <t>Normal</t>
        </is>
      </c>
      <c r="G249" s="97" t="inlineStr">
        <is>
          <t>Normal</t>
        </is>
      </c>
      <c r="H249" s="97" t="inlineStr">
        <is>
          <t>Gizi Baik</t>
        </is>
      </c>
      <c r="I249" s="97" t="inlineStr">
        <is>
          <t>Ya</t>
        </is>
      </c>
      <c r="J249" s="97" t="inlineStr">
        <is>
          <t>Tidak</t>
        </is>
      </c>
    </row>
    <row r="250" ht="15.75" customHeight="1" s="95">
      <c r="A250" s="97" t="inlineStr">
        <is>
          <t>anonymus0249</t>
        </is>
      </c>
      <c r="B250" s="97" t="inlineStr">
        <is>
          <t>P</t>
        </is>
      </c>
      <c r="C250" s="97" t="inlineStr">
        <is>
          <t>1-34 Bulan</t>
        </is>
      </c>
      <c r="D250" s="97" t="n">
        <v>9.1</v>
      </c>
      <c r="E250" s="97" t="n">
        <v>91</v>
      </c>
      <c r="F250" s="97" t="inlineStr">
        <is>
          <t>Normal</t>
        </is>
      </c>
      <c r="G250" s="97" t="inlineStr">
        <is>
          <t>Normal</t>
        </is>
      </c>
      <c r="H250" s="97" t="inlineStr">
        <is>
          <t>Gizi Baik</t>
        </is>
      </c>
      <c r="I250" s="97" t="inlineStr">
        <is>
          <t>Ya</t>
        </is>
      </c>
      <c r="J250" s="97" t="inlineStr">
        <is>
          <t>Tidak</t>
        </is>
      </c>
    </row>
    <row r="251" ht="15.75" customHeight="1" s="95">
      <c r="A251" s="97" t="inlineStr">
        <is>
          <t>anonymus0250</t>
        </is>
      </c>
      <c r="B251" s="97" t="inlineStr">
        <is>
          <t>P</t>
        </is>
      </c>
      <c r="C251" s="97" t="inlineStr">
        <is>
          <t>35-69 Bulan</t>
        </is>
      </c>
      <c r="D251" s="97" t="n">
        <v>9.01</v>
      </c>
      <c r="E251" s="97" t="n">
        <v>77.5</v>
      </c>
      <c r="F251" s="97" t="inlineStr">
        <is>
          <t>Sangat Kurang</t>
        </is>
      </c>
      <c r="G251" s="97" t="inlineStr">
        <is>
          <t>Sangat Pendek</t>
        </is>
      </c>
      <c r="H251" s="97" t="inlineStr">
        <is>
          <t>Gizi Baik</t>
        </is>
      </c>
      <c r="I251" s="97" t="inlineStr">
        <is>
          <t>Ya</t>
        </is>
      </c>
      <c r="J251" s="97" t="inlineStr">
        <is>
          <t>Stunting</t>
        </is>
      </c>
    </row>
    <row r="252" ht="15.75" customHeight="1" s="95">
      <c r="A252" s="97" t="inlineStr">
        <is>
          <t>anonymus0251</t>
        </is>
      </c>
      <c r="B252" s="97" t="inlineStr">
        <is>
          <t xml:space="preserve">L </t>
        </is>
      </c>
      <c r="C252" s="97" t="inlineStr">
        <is>
          <t>1-34 Bulan</t>
        </is>
      </c>
      <c r="D252" s="97" t="n">
        <v>14</v>
      </c>
      <c r="E252" s="97" t="n">
        <v>94</v>
      </c>
      <c r="F252" s="97" t="inlineStr">
        <is>
          <t>Normal</t>
        </is>
      </c>
      <c r="G252" s="97" t="inlineStr">
        <is>
          <t>Normal</t>
        </is>
      </c>
      <c r="H252" s="97" t="inlineStr">
        <is>
          <t>Gizi Baik</t>
        </is>
      </c>
      <c r="I252" s="97" t="inlineStr">
        <is>
          <t>Ya</t>
        </is>
      </c>
      <c r="J252" s="97" t="inlineStr">
        <is>
          <t>Tidak</t>
        </is>
      </c>
    </row>
    <row r="253" ht="15.75" customHeight="1" s="95">
      <c r="A253" s="97" t="inlineStr">
        <is>
          <t>anonymus0252</t>
        </is>
      </c>
      <c r="B253" s="97" t="inlineStr">
        <is>
          <t xml:space="preserve">L </t>
        </is>
      </c>
      <c r="C253" s="97" t="inlineStr">
        <is>
          <t>35-69 Bulan</t>
        </is>
      </c>
      <c r="D253" s="97" t="inlineStr">
        <is>
          <t>11.8</t>
        </is>
      </c>
      <c r="E253" s="97" t="n">
        <v>93</v>
      </c>
      <c r="F253" s="97" t="inlineStr">
        <is>
          <t>Kurang</t>
        </is>
      </c>
      <c r="G253" s="97" t="inlineStr">
        <is>
          <t>Pendek</t>
        </is>
      </c>
      <c r="H253" s="97" t="inlineStr">
        <is>
          <t>Gizi Baik</t>
        </is>
      </c>
      <c r="I253" s="97" t="inlineStr">
        <is>
          <t>Ya</t>
        </is>
      </c>
      <c r="J253" s="97" t="inlineStr">
        <is>
          <t>Potensi Stunting</t>
        </is>
      </c>
    </row>
    <row r="254" ht="15.75" customHeight="1" s="95">
      <c r="A254" s="97" t="inlineStr">
        <is>
          <t>anonymus0253</t>
        </is>
      </c>
      <c r="B254" s="97" t="inlineStr">
        <is>
          <t xml:space="preserve">L </t>
        </is>
      </c>
      <c r="C254" s="97" t="inlineStr">
        <is>
          <t>35-69 Bulan</t>
        </is>
      </c>
      <c r="D254" s="97" t="inlineStr">
        <is>
          <t>16.8</t>
        </is>
      </c>
      <c r="E254" s="97" t="n">
        <v>100</v>
      </c>
      <c r="F254" s="97" t="inlineStr">
        <is>
          <t>Normal</t>
        </is>
      </c>
      <c r="G254" s="97" t="inlineStr">
        <is>
          <t>Normal</t>
        </is>
      </c>
      <c r="H254" s="97" t="inlineStr">
        <is>
          <t>Risiko Gizi Lebih</t>
        </is>
      </c>
      <c r="I254" s="97" t="inlineStr">
        <is>
          <t>Ya</t>
        </is>
      </c>
      <c r="J254" s="97" t="inlineStr">
        <is>
          <t>Tidak</t>
        </is>
      </c>
    </row>
    <row r="255" ht="15.75" customHeight="1" s="95">
      <c r="A255" s="97" t="inlineStr">
        <is>
          <t>anonymus0254</t>
        </is>
      </c>
      <c r="B255" s="97" t="inlineStr">
        <is>
          <t>L</t>
        </is>
      </c>
      <c r="C255" s="97" t="inlineStr">
        <is>
          <t>1-34 Bulan</t>
        </is>
      </c>
      <c r="D255" s="97" t="n">
        <v>14.4</v>
      </c>
      <c r="E255" s="97" t="n">
        <v>90</v>
      </c>
      <c r="F255" s="97" t="inlineStr">
        <is>
          <t>Normal</t>
        </is>
      </c>
      <c r="G255" s="97" t="inlineStr">
        <is>
          <t>Normal</t>
        </is>
      </c>
      <c r="H255" s="97" t="inlineStr">
        <is>
          <t>Gizi Baik</t>
        </is>
      </c>
      <c r="I255" s="97" t="inlineStr">
        <is>
          <t>Ya</t>
        </is>
      </c>
      <c r="J255" s="97" t="inlineStr">
        <is>
          <t>Tidak</t>
        </is>
      </c>
    </row>
    <row r="256" ht="15.75" customHeight="1" s="95">
      <c r="A256" s="97" t="inlineStr">
        <is>
          <t>anonymus0255</t>
        </is>
      </c>
      <c r="B256" s="97" t="inlineStr">
        <is>
          <t xml:space="preserve">L </t>
        </is>
      </c>
      <c r="C256" s="97" t="inlineStr">
        <is>
          <t>1-34 Bulan</t>
        </is>
      </c>
      <c r="D256" s="97" t="inlineStr">
        <is>
          <t>12.1</t>
        </is>
      </c>
      <c r="E256" s="97" t="n">
        <v>89</v>
      </c>
      <c r="F256" s="97" t="inlineStr">
        <is>
          <t>Normal</t>
        </is>
      </c>
      <c r="G256" s="97" t="inlineStr">
        <is>
          <t>Normal</t>
        </is>
      </c>
      <c r="H256" s="97" t="inlineStr">
        <is>
          <t>Gizi Baik</t>
        </is>
      </c>
      <c r="I256" s="97" t="inlineStr">
        <is>
          <t>Ya</t>
        </is>
      </c>
      <c r="J256" s="97" t="inlineStr">
        <is>
          <t>Tidak</t>
        </is>
      </c>
    </row>
    <row r="257" ht="15.75" customHeight="1" s="95">
      <c r="A257" s="97" t="inlineStr">
        <is>
          <t>anonymus0256</t>
        </is>
      </c>
      <c r="B257" s="97" t="inlineStr">
        <is>
          <t>P</t>
        </is>
      </c>
      <c r="C257" s="97" t="inlineStr">
        <is>
          <t>35-69 Bulan</t>
        </is>
      </c>
      <c r="D257" s="97" t="n">
        <v>10.2</v>
      </c>
      <c r="E257" s="97" t="n">
        <v>113</v>
      </c>
      <c r="F257" s="97" t="inlineStr">
        <is>
          <t>Normal</t>
        </is>
      </c>
      <c r="G257" s="97" t="inlineStr">
        <is>
          <t>Normal</t>
        </is>
      </c>
      <c r="H257" s="97" t="inlineStr">
        <is>
          <t>Gizi Baik</t>
        </is>
      </c>
      <c r="I257" s="97" t="inlineStr">
        <is>
          <t>Ya</t>
        </is>
      </c>
      <c r="J257" s="97" t="inlineStr">
        <is>
          <t>Tidak</t>
        </is>
      </c>
    </row>
    <row r="258" ht="15.75" customHeight="1" s="95">
      <c r="A258" s="97" t="inlineStr">
        <is>
          <t>anonymus0257</t>
        </is>
      </c>
      <c r="B258" s="97" t="inlineStr">
        <is>
          <t>L</t>
        </is>
      </c>
      <c r="C258" s="97" t="inlineStr">
        <is>
          <t>35-69 Bulan</t>
        </is>
      </c>
      <c r="D258" s="97" t="n">
        <v>10.5</v>
      </c>
      <c r="E258" s="97" t="n">
        <v>90</v>
      </c>
      <c r="F258" s="97" t="inlineStr">
        <is>
          <t>Normal</t>
        </is>
      </c>
      <c r="G258" s="97" t="inlineStr">
        <is>
          <t>Normal</t>
        </is>
      </c>
      <c r="H258" s="97" t="inlineStr">
        <is>
          <t>Gizi Baik</t>
        </is>
      </c>
      <c r="I258" s="97" t="inlineStr">
        <is>
          <t>Ya</t>
        </is>
      </c>
      <c r="J258" s="97" t="inlineStr">
        <is>
          <t>Tidak</t>
        </is>
      </c>
    </row>
    <row r="259" ht="15.75" customHeight="1" s="95">
      <c r="A259" s="97" t="inlineStr">
        <is>
          <t>anonymus0258</t>
        </is>
      </c>
      <c r="B259" s="97" t="inlineStr">
        <is>
          <t>P</t>
        </is>
      </c>
      <c r="C259" s="97" t="inlineStr">
        <is>
          <t>1-34 Bulan</t>
        </is>
      </c>
      <c r="D259" s="97" t="n">
        <v>12.7</v>
      </c>
      <c r="E259" s="97" t="n">
        <v>95</v>
      </c>
      <c r="F259" s="97" t="inlineStr">
        <is>
          <t>Normal</t>
        </is>
      </c>
      <c r="G259" s="97" t="inlineStr">
        <is>
          <t>Normal</t>
        </is>
      </c>
      <c r="H259" s="97" t="inlineStr">
        <is>
          <t>Gizi Baik</t>
        </is>
      </c>
      <c r="I259" s="97" t="inlineStr">
        <is>
          <t>Ya</t>
        </is>
      </c>
      <c r="J259" s="97" t="inlineStr">
        <is>
          <t>Tidak</t>
        </is>
      </c>
    </row>
    <row r="260" ht="15.75" customHeight="1" s="95">
      <c r="A260" s="97" t="inlineStr">
        <is>
          <t>anonymus0259</t>
        </is>
      </c>
      <c r="B260" s="97" t="inlineStr">
        <is>
          <t xml:space="preserve">L </t>
        </is>
      </c>
      <c r="C260" s="97" t="inlineStr">
        <is>
          <t>35-69 Bulan</t>
        </is>
      </c>
      <c r="D260" s="97" t="inlineStr">
        <is>
          <t>15.9</t>
        </is>
      </c>
      <c r="E260" s="97" t="n">
        <v>102</v>
      </c>
      <c r="F260" s="97" t="inlineStr">
        <is>
          <t>Normal</t>
        </is>
      </c>
      <c r="G260" s="97" t="inlineStr">
        <is>
          <t>Normal</t>
        </is>
      </c>
      <c r="H260" s="97" t="inlineStr">
        <is>
          <t>Gizi Baik</t>
        </is>
      </c>
      <c r="I260" s="97" t="inlineStr">
        <is>
          <t>Ya</t>
        </is>
      </c>
      <c r="J260" s="97" t="inlineStr">
        <is>
          <t>Tidak</t>
        </is>
      </c>
    </row>
    <row r="261" ht="15.75" customHeight="1" s="95">
      <c r="A261" s="97" t="inlineStr">
        <is>
          <t>anonymus0260</t>
        </is>
      </c>
      <c r="B261" s="97" t="inlineStr">
        <is>
          <t>L</t>
        </is>
      </c>
      <c r="C261" s="97" t="inlineStr">
        <is>
          <t>35-69 Bulan</t>
        </is>
      </c>
      <c r="D261" s="97" t="n">
        <v>13</v>
      </c>
      <c r="E261" s="97" t="n">
        <v>100</v>
      </c>
      <c r="F261" s="97" t="inlineStr">
        <is>
          <t>Normal</t>
        </is>
      </c>
      <c r="G261" s="97" t="inlineStr">
        <is>
          <t>Normal</t>
        </is>
      </c>
      <c r="H261" s="97" t="inlineStr">
        <is>
          <t>Gizi Kurang</t>
        </is>
      </c>
      <c r="I261" s="97" t="inlineStr">
        <is>
          <t>Ya</t>
        </is>
      </c>
      <c r="J261" s="97" t="inlineStr">
        <is>
          <t>Tidak</t>
        </is>
      </c>
    </row>
    <row r="262" ht="15.75" customHeight="1" s="95">
      <c r="A262" s="97" t="inlineStr">
        <is>
          <t>anonymus0261</t>
        </is>
      </c>
      <c r="B262" s="97" t="inlineStr">
        <is>
          <t xml:space="preserve">P </t>
        </is>
      </c>
      <c r="C262" s="97" t="inlineStr">
        <is>
          <t>35-69 Bulan</t>
        </is>
      </c>
      <c r="D262" s="97" t="inlineStr">
        <is>
          <t>13.3</t>
        </is>
      </c>
      <c r="E262" s="97" t="n">
        <v>98</v>
      </c>
      <c r="F262" s="97" t="inlineStr">
        <is>
          <t>Normal</t>
        </is>
      </c>
      <c r="G262" s="97" t="inlineStr">
        <is>
          <t>Normal</t>
        </is>
      </c>
      <c r="H262" s="97" t="inlineStr">
        <is>
          <t>Gizi Baik</t>
        </is>
      </c>
      <c r="I262" s="97" t="inlineStr">
        <is>
          <t>Ya</t>
        </is>
      </c>
      <c r="J262" s="97" t="inlineStr">
        <is>
          <t>Tidak</t>
        </is>
      </c>
    </row>
    <row r="263" ht="15.75" customHeight="1" s="95">
      <c r="A263" s="97" t="inlineStr">
        <is>
          <t>anonymus0262</t>
        </is>
      </c>
      <c r="B263" s="97" t="inlineStr">
        <is>
          <t>L</t>
        </is>
      </c>
      <c r="C263" s="97" t="inlineStr">
        <is>
          <t>1-34 Bulan</t>
        </is>
      </c>
      <c r="D263" s="97" t="n">
        <v>14</v>
      </c>
      <c r="E263" s="97" t="n">
        <v>73</v>
      </c>
      <c r="F263" s="97" t="inlineStr">
        <is>
          <t>Normal</t>
        </is>
      </c>
      <c r="G263" s="97" t="inlineStr">
        <is>
          <t>Normal</t>
        </is>
      </c>
      <c r="H263" s="97" t="inlineStr">
        <is>
          <t>Gizi Baik</t>
        </is>
      </c>
      <c r="I263" s="97" t="inlineStr">
        <is>
          <t>Ya</t>
        </is>
      </c>
      <c r="J263" s="97" t="inlineStr">
        <is>
          <t>Tidak</t>
        </is>
      </c>
    </row>
    <row r="264" ht="15.75" customHeight="1" s="95">
      <c r="A264" s="97" t="inlineStr">
        <is>
          <t>anonymus0263</t>
        </is>
      </c>
      <c r="B264" s="97" t="inlineStr">
        <is>
          <t>L</t>
        </is>
      </c>
      <c r="C264" s="97" t="inlineStr">
        <is>
          <t>1-34 Bulan</t>
        </is>
      </c>
      <c r="D264" s="97" t="n">
        <v>7</v>
      </c>
      <c r="E264" s="97" t="n">
        <v>70</v>
      </c>
      <c r="F264" s="97" t="inlineStr">
        <is>
          <t>Normal</t>
        </is>
      </c>
      <c r="G264" s="97" t="inlineStr">
        <is>
          <t>Normal</t>
        </is>
      </c>
      <c r="H264" s="97" t="inlineStr">
        <is>
          <t>Gizi Kurang</t>
        </is>
      </c>
      <c r="I264" s="97" t="inlineStr">
        <is>
          <t>Ya</t>
        </is>
      </c>
      <c r="J264" s="97" t="inlineStr">
        <is>
          <t>Tidak</t>
        </is>
      </c>
    </row>
    <row r="265" ht="15.75" customHeight="1" s="95">
      <c r="A265" s="97" t="inlineStr">
        <is>
          <t>anonymus0264</t>
        </is>
      </c>
      <c r="B265" s="97" t="inlineStr">
        <is>
          <t>L</t>
        </is>
      </c>
      <c r="C265" s="97" t="inlineStr">
        <is>
          <t>35-69 Bulan</t>
        </is>
      </c>
      <c r="D265" s="97" t="n">
        <v>12.7</v>
      </c>
      <c r="E265" s="97" t="n">
        <v>102</v>
      </c>
      <c r="F265" s="97" t="inlineStr">
        <is>
          <t>Normal</t>
        </is>
      </c>
      <c r="G265" s="97" t="inlineStr">
        <is>
          <t>Normal</t>
        </is>
      </c>
      <c r="H265" s="97" t="inlineStr">
        <is>
          <t>Gizi Baik</t>
        </is>
      </c>
      <c r="I265" s="97" t="inlineStr">
        <is>
          <t>Ya</t>
        </is>
      </c>
      <c r="J265" s="97" t="inlineStr">
        <is>
          <t>Tidak</t>
        </is>
      </c>
    </row>
    <row r="266" ht="15.75" customHeight="1" s="95">
      <c r="A266" s="97" t="inlineStr">
        <is>
          <t>anonymus0265</t>
        </is>
      </c>
      <c r="B266" s="97" t="inlineStr">
        <is>
          <t xml:space="preserve">L </t>
        </is>
      </c>
      <c r="C266" s="97" t="inlineStr">
        <is>
          <t>35-69 Bulan</t>
        </is>
      </c>
      <c r="D266" s="97" t="inlineStr">
        <is>
          <t>10.6</t>
        </is>
      </c>
      <c r="E266" s="97" t="n">
        <v>93</v>
      </c>
      <c r="F266" s="97" t="inlineStr">
        <is>
          <t>Kurang</t>
        </is>
      </c>
      <c r="G266" s="97" t="inlineStr">
        <is>
          <t>Normal</t>
        </is>
      </c>
      <c r="H266" s="97" t="inlineStr">
        <is>
          <t>Gizi Buruk</t>
        </is>
      </c>
      <c r="I266" s="97" t="inlineStr">
        <is>
          <t>Ya</t>
        </is>
      </c>
      <c r="J266" s="97" t="inlineStr">
        <is>
          <t>Tidak</t>
        </is>
      </c>
    </row>
    <row r="267" ht="15.75" customHeight="1" s="95">
      <c r="A267" s="97" t="inlineStr">
        <is>
          <t>anonymus0266</t>
        </is>
      </c>
      <c r="B267" s="97" t="inlineStr">
        <is>
          <t>L</t>
        </is>
      </c>
      <c r="C267" s="97" t="inlineStr">
        <is>
          <t>35-69 Bulan</t>
        </is>
      </c>
      <c r="D267" s="97" t="n">
        <v>10.8</v>
      </c>
      <c r="E267" s="97" t="n">
        <v>90</v>
      </c>
      <c r="F267" s="97" t="inlineStr">
        <is>
          <t>Normal</t>
        </is>
      </c>
      <c r="G267" s="97" t="inlineStr">
        <is>
          <t>Normal</t>
        </is>
      </c>
      <c r="H267" s="97" t="inlineStr">
        <is>
          <t>Gizi Baik</t>
        </is>
      </c>
      <c r="I267" s="97" t="inlineStr">
        <is>
          <t>Ya</t>
        </is>
      </c>
      <c r="J267" s="97" t="inlineStr">
        <is>
          <t>Tidak</t>
        </is>
      </c>
    </row>
    <row r="268" ht="15.75" customHeight="1" s="95">
      <c r="A268" s="97" t="inlineStr">
        <is>
          <t>anonymus0267</t>
        </is>
      </c>
      <c r="B268" s="97" t="inlineStr">
        <is>
          <t xml:space="preserve">L </t>
        </is>
      </c>
      <c r="C268" s="97" t="inlineStr">
        <is>
          <t>1-34 Bulan</t>
        </is>
      </c>
      <c r="D268" s="97" t="inlineStr">
        <is>
          <t>12.6</t>
        </is>
      </c>
      <c r="E268" s="97" t="n">
        <v>86</v>
      </c>
      <c r="F268" s="97" t="inlineStr">
        <is>
          <t>Normal</t>
        </is>
      </c>
      <c r="G268" s="97" t="inlineStr">
        <is>
          <t>Normal</t>
        </is>
      </c>
      <c r="H268" s="97" t="inlineStr">
        <is>
          <t>Gizi Baik</t>
        </is>
      </c>
      <c r="I268" s="97" t="inlineStr">
        <is>
          <t>Ya</t>
        </is>
      </c>
      <c r="J268" s="97" t="inlineStr">
        <is>
          <t>Tidak</t>
        </is>
      </c>
    </row>
    <row r="269" ht="15.75" customHeight="1" s="95">
      <c r="A269" s="97" t="inlineStr">
        <is>
          <t>anonymus0268</t>
        </is>
      </c>
      <c r="B269" s="97" t="inlineStr">
        <is>
          <t xml:space="preserve">P </t>
        </is>
      </c>
      <c r="C269" s="97" t="inlineStr">
        <is>
          <t>35-69 Bulan</t>
        </is>
      </c>
      <c r="D269" s="97" t="n">
        <v>11</v>
      </c>
      <c r="E269" s="97" t="n">
        <v>92</v>
      </c>
      <c r="F269" s="97" t="inlineStr">
        <is>
          <t>Kurang</t>
        </is>
      </c>
      <c r="G269" s="97" t="inlineStr">
        <is>
          <t>Normal</t>
        </is>
      </c>
      <c r="H269" s="97" t="inlineStr">
        <is>
          <t>Gizi Kurang</t>
        </is>
      </c>
      <c r="I269" s="97" t="inlineStr">
        <is>
          <t>Ya</t>
        </is>
      </c>
      <c r="J269" s="97" t="inlineStr">
        <is>
          <t>Tidak</t>
        </is>
      </c>
    </row>
    <row r="270" ht="15.75" customHeight="1" s="95">
      <c r="A270" s="97" t="inlineStr">
        <is>
          <t>anonymus0269</t>
        </is>
      </c>
      <c r="B270" s="97" t="inlineStr">
        <is>
          <t xml:space="preserve">P </t>
        </is>
      </c>
      <c r="C270" s="97" t="inlineStr">
        <is>
          <t>35-69 Bulan</t>
        </is>
      </c>
      <c r="D270" s="97" t="n">
        <v>18</v>
      </c>
      <c r="E270" s="97" t="n">
        <v>104</v>
      </c>
      <c r="F270" s="97" t="inlineStr">
        <is>
          <t>Normal</t>
        </is>
      </c>
      <c r="G270" s="97" t="inlineStr">
        <is>
          <t>Normal</t>
        </is>
      </c>
      <c r="H270" s="97" t="inlineStr">
        <is>
          <t>Gizi Baik</t>
        </is>
      </c>
      <c r="I270" s="97" t="inlineStr">
        <is>
          <t>Ya</t>
        </is>
      </c>
      <c r="J270" s="97" t="inlineStr">
        <is>
          <t>Tidak</t>
        </is>
      </c>
    </row>
    <row r="271" ht="15.75" customHeight="1" s="95">
      <c r="A271" s="97" t="inlineStr">
        <is>
          <t>anonymus0270</t>
        </is>
      </c>
      <c r="B271" s="97" t="inlineStr">
        <is>
          <t>P</t>
        </is>
      </c>
      <c r="C271" s="97" t="inlineStr">
        <is>
          <t>35-69 Bulan</t>
        </is>
      </c>
      <c r="D271" s="97" t="n">
        <v>13.1</v>
      </c>
      <c r="E271" s="97" t="n">
        <v>103</v>
      </c>
      <c r="F271" s="97" t="inlineStr">
        <is>
          <t>Kurang</t>
        </is>
      </c>
      <c r="G271" s="97" t="inlineStr">
        <is>
          <t>Normal</t>
        </is>
      </c>
      <c r="H271" s="97" t="inlineStr">
        <is>
          <t>Gizi Kurang</t>
        </is>
      </c>
      <c r="I271" s="97" t="inlineStr">
        <is>
          <t>Ya</t>
        </is>
      </c>
      <c r="J271" s="97" t="inlineStr">
        <is>
          <t>Tidak</t>
        </is>
      </c>
    </row>
    <row r="272" ht="15.75" customHeight="1" s="95">
      <c r="A272" s="97" t="inlineStr">
        <is>
          <t>anonymus0271</t>
        </is>
      </c>
      <c r="B272" s="97" t="inlineStr">
        <is>
          <t>P</t>
        </is>
      </c>
      <c r="C272" s="97" t="inlineStr">
        <is>
          <t>1-34 Bulan</t>
        </is>
      </c>
      <c r="D272" s="97" t="n">
        <v>13.9</v>
      </c>
      <c r="E272" s="97" t="n">
        <v>82</v>
      </c>
      <c r="F272" s="97" t="inlineStr">
        <is>
          <t>Normal</t>
        </is>
      </c>
      <c r="G272" s="97" t="inlineStr">
        <is>
          <t>Normal</t>
        </is>
      </c>
      <c r="H272" s="97" t="inlineStr">
        <is>
          <t>Gizi Baik</t>
        </is>
      </c>
      <c r="I272" s="97" t="inlineStr">
        <is>
          <t>Ya</t>
        </is>
      </c>
      <c r="J272" s="97" t="inlineStr">
        <is>
          <t>Tidak</t>
        </is>
      </c>
    </row>
    <row r="273" ht="15.75" customHeight="1" s="95">
      <c r="A273" s="97" t="inlineStr">
        <is>
          <t>anonymus0272</t>
        </is>
      </c>
      <c r="B273" s="97" t="inlineStr">
        <is>
          <t>P</t>
        </is>
      </c>
      <c r="C273" s="97" t="inlineStr">
        <is>
          <t>35-69 Bulan</t>
        </is>
      </c>
      <c r="D273" s="97" t="n">
        <v>10.2</v>
      </c>
      <c r="E273" s="97" t="n">
        <v>87</v>
      </c>
      <c r="F273" s="97" t="inlineStr">
        <is>
          <t>Sangat Kurang</t>
        </is>
      </c>
      <c r="G273" s="97" t="inlineStr">
        <is>
          <t>Sangat Pendek</t>
        </is>
      </c>
      <c r="H273" s="97" t="inlineStr">
        <is>
          <t>Gizi Baik</t>
        </is>
      </c>
      <c r="I273" s="97" t="inlineStr">
        <is>
          <t>Ya</t>
        </is>
      </c>
      <c r="J273" s="97" t="inlineStr">
        <is>
          <t>Stunting</t>
        </is>
      </c>
    </row>
    <row r="274" ht="15.75" customHeight="1" s="95">
      <c r="A274" s="97" t="inlineStr">
        <is>
          <t>anonymus0273</t>
        </is>
      </c>
      <c r="B274" s="97" t="inlineStr">
        <is>
          <t>L</t>
        </is>
      </c>
      <c r="C274" s="97" t="inlineStr">
        <is>
          <t>35-69 Bulan</t>
        </is>
      </c>
      <c r="D274" s="97" t="n">
        <v>15.8</v>
      </c>
      <c r="E274" s="97" t="n">
        <v>102</v>
      </c>
      <c r="F274" s="97" t="inlineStr">
        <is>
          <t>Normal</t>
        </is>
      </c>
      <c r="G274" s="97" t="inlineStr">
        <is>
          <t>Normal</t>
        </is>
      </c>
      <c r="H274" s="97" t="inlineStr">
        <is>
          <t>Gizi Baik</t>
        </is>
      </c>
      <c r="I274" s="97" t="inlineStr">
        <is>
          <t>Ya</t>
        </is>
      </c>
      <c r="J274" s="97" t="inlineStr">
        <is>
          <t>Tidak</t>
        </is>
      </c>
    </row>
    <row r="275" ht="15.75" customHeight="1" s="95">
      <c r="A275" s="97" t="inlineStr">
        <is>
          <t>anonymus0274</t>
        </is>
      </c>
      <c r="B275" s="97" t="inlineStr">
        <is>
          <t xml:space="preserve">L </t>
        </is>
      </c>
      <c r="C275" s="97" t="inlineStr">
        <is>
          <t>1-34 Bulan</t>
        </is>
      </c>
      <c r="D275" s="97" t="inlineStr">
        <is>
          <t>9.3</t>
        </is>
      </c>
      <c r="E275" s="97" t="n">
        <v>75</v>
      </c>
      <c r="F275" s="97" t="inlineStr">
        <is>
          <t>Normal</t>
        </is>
      </c>
      <c r="G275" s="97" t="inlineStr">
        <is>
          <t>Normal</t>
        </is>
      </c>
      <c r="H275" s="97" t="inlineStr">
        <is>
          <t>Gizi Baik</t>
        </is>
      </c>
      <c r="I275" s="97" t="inlineStr">
        <is>
          <t>Ya</t>
        </is>
      </c>
      <c r="J275" s="97" t="inlineStr">
        <is>
          <t>Tidak</t>
        </is>
      </c>
    </row>
    <row r="276" ht="15.75" customHeight="1" s="95">
      <c r="A276" s="97" t="inlineStr">
        <is>
          <t>anonymus0275</t>
        </is>
      </c>
      <c r="B276" s="97" t="inlineStr">
        <is>
          <t>L</t>
        </is>
      </c>
      <c r="C276" s="97" t="inlineStr">
        <is>
          <t>35-69 Bulan</t>
        </is>
      </c>
      <c r="D276" s="97" t="n">
        <v>18.5</v>
      </c>
      <c r="E276" s="97" t="n">
        <v>99</v>
      </c>
      <c r="F276" s="97" t="inlineStr">
        <is>
          <t>Risiko Lebih</t>
        </is>
      </c>
      <c r="G276" s="97" t="inlineStr">
        <is>
          <t>Normal</t>
        </is>
      </c>
      <c r="H276" s="97" t="inlineStr">
        <is>
          <t>Gizi Lebih</t>
        </is>
      </c>
      <c r="I276" s="97" t="inlineStr">
        <is>
          <t>Ya</t>
        </is>
      </c>
      <c r="J276" s="97" t="inlineStr">
        <is>
          <t>Tidak</t>
        </is>
      </c>
    </row>
    <row r="277" ht="15.75" customHeight="1" s="95">
      <c r="A277" s="97" t="inlineStr">
        <is>
          <t>anonymus0276</t>
        </is>
      </c>
      <c r="B277" s="97" t="inlineStr">
        <is>
          <t xml:space="preserve">P </t>
        </is>
      </c>
      <c r="C277" s="97" t="inlineStr">
        <is>
          <t>1-34 Bulan</t>
        </is>
      </c>
      <c r="D277" s="97" t="n">
        <v>13</v>
      </c>
      <c r="E277" s="97" t="n">
        <v>89</v>
      </c>
      <c r="F277" s="97" t="inlineStr">
        <is>
          <t>Normal</t>
        </is>
      </c>
      <c r="G277" s="97" t="inlineStr">
        <is>
          <t>Normal</t>
        </is>
      </c>
      <c r="H277" s="97" t="inlineStr">
        <is>
          <t>Gizi Baik</t>
        </is>
      </c>
      <c r="I277" s="97" t="inlineStr">
        <is>
          <t>Ya</t>
        </is>
      </c>
      <c r="J277" s="97" t="inlineStr">
        <is>
          <t>Tidak</t>
        </is>
      </c>
    </row>
    <row r="278" ht="15.75" customHeight="1" s="95">
      <c r="A278" s="97" t="inlineStr">
        <is>
          <t>anonymus0277</t>
        </is>
      </c>
      <c r="B278" s="97" t="inlineStr">
        <is>
          <t xml:space="preserve">L </t>
        </is>
      </c>
      <c r="C278" s="97" t="inlineStr">
        <is>
          <t>35-69 Bulan</t>
        </is>
      </c>
      <c r="D278" s="97" t="inlineStr">
        <is>
          <t>16.3</t>
        </is>
      </c>
      <c r="E278" s="97" t="n">
        <v>109</v>
      </c>
      <c r="F278" s="97" t="inlineStr">
        <is>
          <t>Normal</t>
        </is>
      </c>
      <c r="G278" s="97" t="inlineStr">
        <is>
          <t>Normal</t>
        </is>
      </c>
      <c r="H278" s="97" t="inlineStr">
        <is>
          <t>Gizi Baik</t>
        </is>
      </c>
      <c r="I278" s="97" t="inlineStr">
        <is>
          <t>Ya</t>
        </is>
      </c>
      <c r="J278" s="97" t="inlineStr">
        <is>
          <t>Tidak</t>
        </is>
      </c>
    </row>
    <row r="279" ht="15.75" customHeight="1" s="95">
      <c r="A279" s="97" t="inlineStr">
        <is>
          <t>anonymus0278</t>
        </is>
      </c>
      <c r="B279" s="97" t="inlineStr">
        <is>
          <t>L</t>
        </is>
      </c>
      <c r="C279" s="97" t="inlineStr">
        <is>
          <t>35-69 Bulan</t>
        </is>
      </c>
      <c r="D279" s="97" t="n">
        <v>16.8</v>
      </c>
      <c r="E279" s="97" t="n">
        <v>99</v>
      </c>
      <c r="F279" s="97" t="inlineStr">
        <is>
          <t>Normal</t>
        </is>
      </c>
      <c r="G279" s="97" t="inlineStr">
        <is>
          <t>Normal</t>
        </is>
      </c>
      <c r="H279" s="97" t="inlineStr">
        <is>
          <t>Gizi Baik</t>
        </is>
      </c>
      <c r="I279" s="97" t="inlineStr">
        <is>
          <t>Ya</t>
        </is>
      </c>
      <c r="J279" s="97" t="inlineStr">
        <is>
          <t>Tidak</t>
        </is>
      </c>
    </row>
    <row r="280" ht="15.75" customHeight="1" s="95">
      <c r="A280" s="97" t="inlineStr">
        <is>
          <t>anonymus0279</t>
        </is>
      </c>
      <c r="B280" s="97" t="inlineStr">
        <is>
          <t>P</t>
        </is>
      </c>
      <c r="C280" s="97" t="inlineStr">
        <is>
          <t>35-69 Bulan</t>
        </is>
      </c>
      <c r="D280" s="97" t="n">
        <v>11.4</v>
      </c>
      <c r="E280" s="97" t="n">
        <v>90</v>
      </c>
      <c r="F280" s="97" t="inlineStr">
        <is>
          <t>Sangat Kurang</t>
        </is>
      </c>
      <c r="G280" s="97" t="inlineStr">
        <is>
          <t>Sangat Pendek</t>
        </is>
      </c>
      <c r="H280" s="97" t="inlineStr">
        <is>
          <t>Gizi Baik</t>
        </is>
      </c>
      <c r="I280" s="97" t="inlineStr">
        <is>
          <t>Ya</t>
        </is>
      </c>
      <c r="J280" s="97" t="inlineStr">
        <is>
          <t>Stunting</t>
        </is>
      </c>
    </row>
    <row r="281" ht="15.75" customHeight="1" s="95">
      <c r="A281" s="97" t="inlineStr">
        <is>
          <t>anonymus0280</t>
        </is>
      </c>
      <c r="B281" s="97" t="inlineStr">
        <is>
          <t>L</t>
        </is>
      </c>
      <c r="C281" s="97" t="inlineStr">
        <is>
          <t>35-69 Bulan</t>
        </is>
      </c>
      <c r="D281" s="97" t="n">
        <v>19.8</v>
      </c>
      <c r="E281" s="97" t="n">
        <v>107</v>
      </c>
      <c r="F281" s="97" t="inlineStr">
        <is>
          <t>Risiko Lebih</t>
        </is>
      </c>
      <c r="G281" s="97" t="inlineStr">
        <is>
          <t>Normal</t>
        </is>
      </c>
      <c r="H281" s="97" t="inlineStr">
        <is>
          <t>Gizi Lebih</t>
        </is>
      </c>
      <c r="I281" s="97" t="inlineStr">
        <is>
          <t>Ya</t>
        </is>
      </c>
      <c r="J281" s="97" t="inlineStr">
        <is>
          <t>Tidak</t>
        </is>
      </c>
    </row>
    <row r="282" ht="15.75" customHeight="1" s="95">
      <c r="A282" s="97" t="inlineStr">
        <is>
          <t>anonymus0281</t>
        </is>
      </c>
      <c r="B282" s="97" t="inlineStr">
        <is>
          <t xml:space="preserve">P </t>
        </is>
      </c>
      <c r="C282" s="97" t="inlineStr">
        <is>
          <t>35-69 Bulan</t>
        </is>
      </c>
      <c r="D282" s="97" t="inlineStr">
        <is>
          <t>17.5</t>
        </is>
      </c>
      <c r="E282" s="97" t="n">
        <v>103</v>
      </c>
      <c r="F282" s="97" t="inlineStr">
        <is>
          <t>Normal</t>
        </is>
      </c>
      <c r="G282" s="97" t="inlineStr">
        <is>
          <t>Normal</t>
        </is>
      </c>
      <c r="H282" s="97" t="inlineStr">
        <is>
          <t>Gizi Baik</t>
        </is>
      </c>
      <c r="I282" s="97" t="inlineStr">
        <is>
          <t>Ya</t>
        </is>
      </c>
      <c r="J282" s="97" t="inlineStr">
        <is>
          <t>Tidak</t>
        </is>
      </c>
    </row>
    <row r="283" ht="15.75" customHeight="1" s="95">
      <c r="A283" s="97" t="inlineStr">
        <is>
          <t>anonymus0282</t>
        </is>
      </c>
      <c r="B283" s="97" t="inlineStr">
        <is>
          <t>P</t>
        </is>
      </c>
      <c r="C283" s="97" t="inlineStr">
        <is>
          <t>1-34 Bulan</t>
        </is>
      </c>
      <c r="D283" s="97" t="n">
        <v>10</v>
      </c>
      <c r="E283" s="97" t="n">
        <v>89.5</v>
      </c>
      <c r="F283" s="97" t="inlineStr">
        <is>
          <t>Kurang</t>
        </is>
      </c>
      <c r="G283" s="97" t="inlineStr">
        <is>
          <t>Normal</t>
        </is>
      </c>
      <c r="H283" s="97" t="inlineStr">
        <is>
          <t>Gizi Kurang</t>
        </is>
      </c>
      <c r="I283" s="97" t="inlineStr">
        <is>
          <t>Ya</t>
        </is>
      </c>
      <c r="J283" s="97" t="inlineStr">
        <is>
          <t>Tidak</t>
        </is>
      </c>
    </row>
    <row r="284" ht="15.75" customHeight="1" s="95">
      <c r="A284" s="97" t="inlineStr">
        <is>
          <t>anonymus0283</t>
        </is>
      </c>
      <c r="B284" s="97" t="inlineStr">
        <is>
          <t xml:space="preserve">P </t>
        </is>
      </c>
      <c r="C284" s="97" t="inlineStr">
        <is>
          <t>35-69 Bulan</t>
        </is>
      </c>
      <c r="D284" s="97" t="inlineStr">
        <is>
          <t>11.9</t>
        </is>
      </c>
      <c r="E284" s="97" t="n">
        <v>95</v>
      </c>
      <c r="F284" s="97" t="inlineStr">
        <is>
          <t>Normal</t>
        </is>
      </c>
      <c r="G284" s="97" t="inlineStr">
        <is>
          <t>Normal</t>
        </is>
      </c>
      <c r="H284" s="97" t="inlineStr">
        <is>
          <t>Gizi Baik</t>
        </is>
      </c>
      <c r="I284" s="97" t="inlineStr">
        <is>
          <t>Ya</t>
        </is>
      </c>
      <c r="J284" s="97" t="inlineStr">
        <is>
          <t>Tidak</t>
        </is>
      </c>
    </row>
    <row r="285" ht="15.75" customHeight="1" s="95">
      <c r="A285" s="97" t="inlineStr">
        <is>
          <t>anonymus0284</t>
        </is>
      </c>
      <c r="B285" s="97" t="inlineStr">
        <is>
          <t>L</t>
        </is>
      </c>
      <c r="C285" s="97" t="inlineStr">
        <is>
          <t>1-34 Bulan</t>
        </is>
      </c>
      <c r="D285" s="97" t="n">
        <v>10.3</v>
      </c>
      <c r="E285" s="97" t="n">
        <v>74</v>
      </c>
      <c r="F285" s="97" t="inlineStr">
        <is>
          <t>Normal</t>
        </is>
      </c>
      <c r="G285" s="97" t="inlineStr">
        <is>
          <t>Sangat Pendek</t>
        </is>
      </c>
      <c r="H285" s="97" t="inlineStr">
        <is>
          <t>Risiko Gizi Lebih</t>
        </is>
      </c>
      <c r="I285" s="97" t="inlineStr">
        <is>
          <t>Ya</t>
        </is>
      </c>
      <c r="J285" s="97" t="inlineStr">
        <is>
          <t>Stunting</t>
        </is>
      </c>
    </row>
    <row r="286" ht="15.75" customHeight="1" s="95">
      <c r="A286" s="97" t="inlineStr">
        <is>
          <t>anonymus0285</t>
        </is>
      </c>
      <c r="B286" s="97" t="inlineStr">
        <is>
          <t>L</t>
        </is>
      </c>
      <c r="C286" s="97" t="inlineStr">
        <is>
          <t>1-34 Bulan</t>
        </is>
      </c>
      <c r="D286" s="97" t="n">
        <v>9.1</v>
      </c>
      <c r="E286" s="97" t="n">
        <v>81</v>
      </c>
      <c r="F286" s="97" t="inlineStr">
        <is>
          <t>Kurang</t>
        </is>
      </c>
      <c r="G286" s="97" t="inlineStr">
        <is>
          <t>Pendek</t>
        </is>
      </c>
      <c r="H286" s="97" t="inlineStr">
        <is>
          <t>Gizi Kurang</t>
        </is>
      </c>
      <c r="I286" s="97" t="inlineStr">
        <is>
          <t>Ya</t>
        </is>
      </c>
      <c r="J286" s="97" t="inlineStr">
        <is>
          <t>Potensi Stunting</t>
        </is>
      </c>
    </row>
    <row r="287" ht="15.75" customHeight="1" s="95">
      <c r="A287" s="97" t="inlineStr">
        <is>
          <t>anonymus0286</t>
        </is>
      </c>
      <c r="B287" s="97" t="inlineStr">
        <is>
          <t xml:space="preserve">L </t>
        </is>
      </c>
      <c r="C287" s="97" t="inlineStr">
        <is>
          <t>1-34 Bulan</t>
        </is>
      </c>
      <c r="D287" s="97" t="inlineStr">
        <is>
          <t>9.9</t>
        </is>
      </c>
      <c r="E287" s="97" t="n">
        <v>87</v>
      </c>
      <c r="F287" s="97" t="inlineStr">
        <is>
          <t>Kurang</t>
        </is>
      </c>
      <c r="G287" s="97" t="inlineStr">
        <is>
          <t>Normal</t>
        </is>
      </c>
      <c r="H287" s="97" t="inlineStr">
        <is>
          <t>Gizi Kurang</t>
        </is>
      </c>
      <c r="I287" s="97" t="inlineStr">
        <is>
          <t>Ya</t>
        </is>
      </c>
      <c r="J287" s="97" t="inlineStr">
        <is>
          <t>Tidak</t>
        </is>
      </c>
    </row>
    <row r="288" ht="15.75" customHeight="1" s="95">
      <c r="A288" s="97" t="inlineStr">
        <is>
          <t>anonymus0287</t>
        </is>
      </c>
      <c r="B288" s="97" t="inlineStr">
        <is>
          <t>L</t>
        </is>
      </c>
      <c r="C288" s="97" t="inlineStr">
        <is>
          <t>35-69 Bulan</t>
        </is>
      </c>
      <c r="D288" s="97" t="n">
        <v>7.5</v>
      </c>
      <c r="E288" s="97" t="n">
        <v>76</v>
      </c>
      <c r="F288" s="97" t="inlineStr">
        <is>
          <t>Sangat Kurang</t>
        </is>
      </c>
      <c r="G288" s="97" t="inlineStr">
        <is>
          <t>Pendek</t>
        </is>
      </c>
      <c r="H288" s="97" t="inlineStr">
        <is>
          <t>Gizi Buruk</t>
        </is>
      </c>
      <c r="I288" s="97" t="inlineStr">
        <is>
          <t>Ya</t>
        </is>
      </c>
      <c r="J288" s="97" t="inlineStr">
        <is>
          <t>Potensi Stunting</t>
        </is>
      </c>
    </row>
    <row r="289" ht="15.75" customHeight="1" s="95">
      <c r="A289" s="97" t="inlineStr">
        <is>
          <t>anonymus0288</t>
        </is>
      </c>
      <c r="B289" s="97" t="inlineStr">
        <is>
          <t xml:space="preserve">P </t>
        </is>
      </c>
      <c r="C289" s="97" t="inlineStr">
        <is>
          <t>1-34 Bulan</t>
        </is>
      </c>
      <c r="D289" s="97" t="inlineStr">
        <is>
          <t>11.6</t>
        </is>
      </c>
      <c r="E289" s="97" t="n">
        <v>89</v>
      </c>
      <c r="F289" s="97" t="inlineStr">
        <is>
          <t>Normal</t>
        </is>
      </c>
      <c r="G289" s="97" t="inlineStr">
        <is>
          <t>Normal</t>
        </is>
      </c>
      <c r="H289" s="97" t="inlineStr">
        <is>
          <t>Gizi Baik</t>
        </is>
      </c>
      <c r="I289" s="97" t="inlineStr">
        <is>
          <t>Ya</t>
        </is>
      </c>
      <c r="J289" s="97" t="inlineStr">
        <is>
          <t>Tidak</t>
        </is>
      </c>
    </row>
    <row r="290" ht="15.75" customHeight="1" s="95">
      <c r="A290" s="97" t="inlineStr">
        <is>
          <t>anonymus0289</t>
        </is>
      </c>
      <c r="B290" s="97" t="inlineStr">
        <is>
          <t xml:space="preserve">L </t>
        </is>
      </c>
      <c r="C290" s="97" t="inlineStr">
        <is>
          <t>35-69 Bulan</t>
        </is>
      </c>
      <c r="D290" s="97" t="inlineStr">
        <is>
          <t>14.1</t>
        </is>
      </c>
      <c r="E290" s="97" t="n">
        <v>90</v>
      </c>
      <c r="F290" s="97" t="inlineStr">
        <is>
          <t>Normal</t>
        </is>
      </c>
      <c r="G290" s="97" t="inlineStr">
        <is>
          <t>Normal</t>
        </is>
      </c>
      <c r="H290" s="97" t="inlineStr">
        <is>
          <t>Risiko Gizi Lebih</t>
        </is>
      </c>
      <c r="I290" s="97" t="inlineStr">
        <is>
          <t>Ya</t>
        </is>
      </c>
      <c r="J290" s="97" t="inlineStr">
        <is>
          <t>Tidak</t>
        </is>
      </c>
    </row>
    <row r="291" ht="15.75" customHeight="1" s="95">
      <c r="A291" s="97" t="inlineStr">
        <is>
          <t>anonymus0290</t>
        </is>
      </c>
      <c r="B291" s="97" t="inlineStr">
        <is>
          <t>L</t>
        </is>
      </c>
      <c r="C291" s="97" t="inlineStr">
        <is>
          <t>35-69 Bulan</t>
        </is>
      </c>
      <c r="D291" s="97" t="n">
        <v>13</v>
      </c>
      <c r="E291" s="97" t="n">
        <v>104</v>
      </c>
      <c r="F291" s="97" t="inlineStr">
        <is>
          <t>Normal</t>
        </is>
      </c>
      <c r="G291" s="97" t="inlineStr">
        <is>
          <t>Normal</t>
        </is>
      </c>
      <c r="H291" s="97" t="inlineStr">
        <is>
          <t>Gizi Kurang</t>
        </is>
      </c>
      <c r="I291" s="97" t="inlineStr">
        <is>
          <t>Ya</t>
        </is>
      </c>
      <c r="J291" s="97" t="inlineStr">
        <is>
          <t>Tidak</t>
        </is>
      </c>
    </row>
    <row r="292" ht="15.75" customHeight="1" s="95">
      <c r="A292" s="97" t="inlineStr">
        <is>
          <t>anonymus0291</t>
        </is>
      </c>
      <c r="B292" s="97" t="inlineStr">
        <is>
          <t>P</t>
        </is>
      </c>
      <c r="C292" s="97" t="inlineStr">
        <is>
          <t>35-69 Bulan</t>
        </is>
      </c>
      <c r="D292" s="97" t="n">
        <v>10.5</v>
      </c>
      <c r="E292" s="97" t="n">
        <v>85</v>
      </c>
      <c r="F292" s="97" t="inlineStr">
        <is>
          <t>Normal</t>
        </is>
      </c>
      <c r="G292" s="97" t="inlineStr">
        <is>
          <t>Pendek</t>
        </is>
      </c>
      <c r="H292" s="97" t="inlineStr">
        <is>
          <t>Gizi Baik</t>
        </is>
      </c>
      <c r="I292" s="97" t="inlineStr">
        <is>
          <t>Ya</t>
        </is>
      </c>
      <c r="J292" s="97" t="inlineStr">
        <is>
          <t>Potensi Stunting</t>
        </is>
      </c>
    </row>
    <row r="293" ht="15.75" customHeight="1" s="95">
      <c r="A293" s="97" t="inlineStr">
        <is>
          <t>anonymus0292</t>
        </is>
      </c>
      <c r="B293" s="97" t="inlineStr">
        <is>
          <t>P</t>
        </is>
      </c>
      <c r="C293" s="97" t="inlineStr">
        <is>
          <t>35-69 Bulan</t>
        </is>
      </c>
      <c r="D293" s="97" t="n">
        <v>9.300000000000001</v>
      </c>
      <c r="E293" s="97" t="n">
        <v>78</v>
      </c>
      <c r="F293" s="97" t="inlineStr">
        <is>
          <t>Normal</t>
        </is>
      </c>
      <c r="G293" s="97" t="inlineStr">
        <is>
          <t>Pendek</t>
        </is>
      </c>
      <c r="H293" s="97" t="inlineStr">
        <is>
          <t>Gizi Baik</t>
        </is>
      </c>
      <c r="I293" s="97" t="inlineStr">
        <is>
          <t>Ya</t>
        </is>
      </c>
      <c r="J293" s="97" t="inlineStr">
        <is>
          <t>Potensi Stunting</t>
        </is>
      </c>
    </row>
    <row r="294" ht="15.75" customHeight="1" s="95">
      <c r="A294" s="97" t="inlineStr">
        <is>
          <t>anonymus0293</t>
        </is>
      </c>
      <c r="B294" s="97" t="inlineStr">
        <is>
          <t>L</t>
        </is>
      </c>
      <c r="C294" s="97" t="inlineStr">
        <is>
          <t>35-69 Bulan</t>
        </is>
      </c>
      <c r="D294" s="97" t="n">
        <v>12.6</v>
      </c>
      <c r="E294" s="97" t="n">
        <v>119</v>
      </c>
      <c r="F294" s="97" t="inlineStr">
        <is>
          <t>Normal</t>
        </is>
      </c>
      <c r="G294" s="97" t="inlineStr">
        <is>
          <t>Normal</t>
        </is>
      </c>
      <c r="H294" s="97" t="inlineStr">
        <is>
          <t>Gizi Baik</t>
        </is>
      </c>
      <c r="I294" s="97" t="inlineStr">
        <is>
          <t>Ya</t>
        </is>
      </c>
      <c r="J294" s="97" t="inlineStr">
        <is>
          <t>Tidak</t>
        </is>
      </c>
    </row>
    <row r="295" ht="15.75" customHeight="1" s="95">
      <c r="A295" s="97" t="inlineStr">
        <is>
          <t>anonymus0294</t>
        </is>
      </c>
      <c r="B295" s="97" t="inlineStr">
        <is>
          <t>L</t>
        </is>
      </c>
      <c r="C295" s="97" t="inlineStr">
        <is>
          <t>35-69 Bulan</t>
        </is>
      </c>
      <c r="D295" s="97" t="n">
        <v>14.8</v>
      </c>
      <c r="E295" s="97" t="n">
        <v>108</v>
      </c>
      <c r="F295" s="97" t="inlineStr">
        <is>
          <t>Normal</t>
        </is>
      </c>
      <c r="G295" s="97" t="inlineStr">
        <is>
          <t>Normal</t>
        </is>
      </c>
      <c r="H295" s="97" t="inlineStr">
        <is>
          <t>Gizi Kurang</t>
        </is>
      </c>
      <c r="I295" s="97" t="inlineStr">
        <is>
          <t>Ya</t>
        </is>
      </c>
      <c r="J295" s="97" t="inlineStr">
        <is>
          <t>Tidak</t>
        </is>
      </c>
    </row>
    <row r="296" ht="15.75" customHeight="1" s="95">
      <c r="A296" s="97" t="inlineStr">
        <is>
          <t>anonymus0295</t>
        </is>
      </c>
      <c r="B296" s="97" t="inlineStr">
        <is>
          <t>L</t>
        </is>
      </c>
      <c r="C296" s="97" t="inlineStr">
        <is>
          <t>1-34 Bulan</t>
        </is>
      </c>
      <c r="D296" s="97" t="n">
        <v>2.7</v>
      </c>
      <c r="E296" s="97" t="n">
        <v>48</v>
      </c>
      <c r="F296" s="97" t="inlineStr">
        <is>
          <t>Kurang</t>
        </is>
      </c>
      <c r="G296" s="97" t="inlineStr">
        <is>
          <t>Pendek</t>
        </is>
      </c>
      <c r="H296" s="97" t="inlineStr">
        <is>
          <t>Gizi Baik</t>
        </is>
      </c>
      <c r="I296" s="97" t="inlineStr">
        <is>
          <t>Ya</t>
        </is>
      </c>
      <c r="J296" s="97" t="inlineStr">
        <is>
          <t>Potensi Stunting</t>
        </is>
      </c>
    </row>
    <row r="297" ht="15.75" customHeight="1" s="95">
      <c r="A297" s="97" t="inlineStr">
        <is>
          <t>anonymus0296</t>
        </is>
      </c>
      <c r="B297" s="97" t="inlineStr">
        <is>
          <t>L</t>
        </is>
      </c>
      <c r="C297" s="97" t="inlineStr">
        <is>
          <t>35-69 Bulan</t>
        </is>
      </c>
      <c r="D297" s="97" t="n">
        <v>12</v>
      </c>
      <c r="E297" s="97" t="n">
        <v>90</v>
      </c>
      <c r="F297" s="97" t="inlineStr">
        <is>
          <t>Normal</t>
        </is>
      </c>
      <c r="G297" s="97" t="inlineStr">
        <is>
          <t>Pendek</t>
        </is>
      </c>
      <c r="H297" s="97" t="inlineStr">
        <is>
          <t>Gizi Baik</t>
        </is>
      </c>
      <c r="I297" s="97" t="inlineStr">
        <is>
          <t>Ya</t>
        </is>
      </c>
      <c r="J297" s="97" t="inlineStr">
        <is>
          <t>Potensi Stunting</t>
        </is>
      </c>
    </row>
    <row r="298" ht="15.75" customHeight="1" s="95">
      <c r="A298" s="97" t="inlineStr">
        <is>
          <t>anonymus0297</t>
        </is>
      </c>
      <c r="B298" s="97" t="inlineStr">
        <is>
          <t>L</t>
        </is>
      </c>
      <c r="C298" s="97" t="inlineStr">
        <is>
          <t>1-34 Bulan</t>
        </is>
      </c>
      <c r="D298" s="97" t="n">
        <v>6.3</v>
      </c>
      <c r="E298" s="97" t="n">
        <v>70</v>
      </c>
      <c r="F298" s="97" t="inlineStr">
        <is>
          <t>Kurang</t>
        </is>
      </c>
      <c r="G298" s="97" t="inlineStr">
        <is>
          <t>Normal</t>
        </is>
      </c>
      <c r="H298" s="97" t="inlineStr">
        <is>
          <t>Gizi Kurang</t>
        </is>
      </c>
      <c r="I298" s="97" t="inlineStr">
        <is>
          <t>Ya</t>
        </is>
      </c>
      <c r="J298" s="97" t="inlineStr">
        <is>
          <t>Tidak</t>
        </is>
      </c>
    </row>
    <row r="299" ht="15.75" customHeight="1" s="95">
      <c r="A299" s="97" t="inlineStr">
        <is>
          <t>anonymus0298</t>
        </is>
      </c>
      <c r="B299" s="97" t="inlineStr">
        <is>
          <t>L</t>
        </is>
      </c>
      <c r="C299" s="97" t="inlineStr">
        <is>
          <t>1-34 Bulan</t>
        </is>
      </c>
      <c r="D299" s="97" t="n">
        <v>8.5</v>
      </c>
      <c r="E299" s="97" t="n">
        <v>99</v>
      </c>
      <c r="F299" s="97" t="inlineStr">
        <is>
          <t>Kurang</t>
        </is>
      </c>
      <c r="G299" s="97" t="inlineStr">
        <is>
          <t>Normal</t>
        </is>
      </c>
      <c r="H299" s="97" t="inlineStr">
        <is>
          <t>Gizi Kurang</t>
        </is>
      </c>
      <c r="I299" s="97" t="inlineStr">
        <is>
          <t>Ya</t>
        </is>
      </c>
      <c r="J299" s="97" t="inlineStr">
        <is>
          <t>Tidak</t>
        </is>
      </c>
    </row>
    <row r="300" ht="15.75" customHeight="1" s="95">
      <c r="A300" s="97" t="inlineStr">
        <is>
          <t>anonymus0299</t>
        </is>
      </c>
      <c r="B300" s="97" t="inlineStr">
        <is>
          <t>P</t>
        </is>
      </c>
      <c r="C300" s="97" t="inlineStr">
        <is>
          <t>35-69 Bulan</t>
        </is>
      </c>
      <c r="D300" s="97" t="n">
        <v>8.300000000000001</v>
      </c>
      <c r="E300" s="97" t="n">
        <v>78.90000000000001</v>
      </c>
      <c r="F300" s="97" t="inlineStr">
        <is>
          <t>Sangat Kurang</t>
        </is>
      </c>
      <c r="G300" s="97" t="inlineStr">
        <is>
          <t>Pendek</t>
        </is>
      </c>
      <c r="H300" s="97" t="inlineStr">
        <is>
          <t>Gizi Kurang</t>
        </is>
      </c>
      <c r="I300" s="97" t="inlineStr">
        <is>
          <t>Ya</t>
        </is>
      </c>
      <c r="J300" s="97" t="inlineStr">
        <is>
          <t>Potensi Stunting</t>
        </is>
      </c>
    </row>
    <row r="301" ht="15.75" customHeight="1" s="95">
      <c r="A301" s="97" t="inlineStr">
        <is>
          <t>anonymus0300</t>
        </is>
      </c>
      <c r="B301" s="97" t="inlineStr">
        <is>
          <t xml:space="preserve">L </t>
        </is>
      </c>
      <c r="C301" s="97" t="inlineStr">
        <is>
          <t>35-69 Bulan</t>
        </is>
      </c>
      <c r="D301" s="97" t="inlineStr">
        <is>
          <t>17.6</t>
        </is>
      </c>
      <c r="E301" s="97" t="n">
        <v>105</v>
      </c>
      <c r="F301" s="97" t="inlineStr">
        <is>
          <t>Normal</t>
        </is>
      </c>
      <c r="G301" s="97" t="inlineStr">
        <is>
          <t>Normal</t>
        </is>
      </c>
      <c r="H301" s="97" t="inlineStr">
        <is>
          <t>Gizi Baik</t>
        </is>
      </c>
      <c r="I301" s="97" t="inlineStr">
        <is>
          <t>Ya</t>
        </is>
      </c>
      <c r="J301" s="97" t="inlineStr">
        <is>
          <t>Tidak</t>
        </is>
      </c>
    </row>
    <row r="302" ht="15.75" customHeight="1" s="95">
      <c r="A302" s="97" t="inlineStr">
        <is>
          <t>anonymus0301</t>
        </is>
      </c>
      <c r="B302" s="97" t="inlineStr">
        <is>
          <t>L</t>
        </is>
      </c>
      <c r="C302" s="97" t="inlineStr">
        <is>
          <t>35-69 Bulan</t>
        </is>
      </c>
      <c r="D302" s="97" t="n">
        <v>10.3</v>
      </c>
      <c r="E302" s="97" t="n">
        <v>87</v>
      </c>
      <c r="F302" s="97" t="inlineStr">
        <is>
          <t>Kurang</t>
        </is>
      </c>
      <c r="G302" s="97" t="inlineStr">
        <is>
          <t>Pendek</t>
        </is>
      </c>
      <c r="H302" s="97" t="inlineStr">
        <is>
          <t>Gizi Kurang</t>
        </is>
      </c>
      <c r="I302" s="97" t="inlineStr">
        <is>
          <t>Ya</t>
        </is>
      </c>
      <c r="J302" s="97" t="inlineStr">
        <is>
          <t>Potensi Stunting</t>
        </is>
      </c>
    </row>
    <row r="303" ht="15.75" customHeight="1" s="95">
      <c r="A303" s="97" t="inlineStr">
        <is>
          <t>anonymus0302</t>
        </is>
      </c>
      <c r="B303" s="97" t="inlineStr">
        <is>
          <t>L</t>
        </is>
      </c>
      <c r="C303" s="97" t="inlineStr">
        <is>
          <t>1-34 Bulan</t>
        </is>
      </c>
      <c r="D303" s="97" t="n">
        <v>9.6</v>
      </c>
      <c r="E303" s="97" t="n">
        <v>99</v>
      </c>
      <c r="F303" s="97" t="inlineStr">
        <is>
          <t>Normal</t>
        </is>
      </c>
      <c r="G303" s="97" t="inlineStr">
        <is>
          <t>Normal</t>
        </is>
      </c>
      <c r="H303" s="97" t="inlineStr">
        <is>
          <t>Gizi Baik</t>
        </is>
      </c>
      <c r="I303" s="97" t="inlineStr">
        <is>
          <t>Ya</t>
        </is>
      </c>
      <c r="J303" s="97" t="inlineStr">
        <is>
          <t>Tidak</t>
        </is>
      </c>
    </row>
    <row r="304" ht="15.75" customHeight="1" s="95">
      <c r="A304" s="97" t="inlineStr">
        <is>
          <t>anonymus0303</t>
        </is>
      </c>
      <c r="B304" s="97" t="inlineStr">
        <is>
          <t>L</t>
        </is>
      </c>
      <c r="C304" s="97" t="inlineStr">
        <is>
          <t>1-34 Bulan</t>
        </is>
      </c>
      <c r="D304" s="97" t="n">
        <v>10</v>
      </c>
      <c r="E304" s="97" t="n">
        <v>97</v>
      </c>
      <c r="F304" s="97" t="inlineStr">
        <is>
          <t>Normal</t>
        </is>
      </c>
      <c r="G304" s="97" t="inlineStr">
        <is>
          <t>Normal</t>
        </is>
      </c>
      <c r="H304" s="97" t="inlineStr">
        <is>
          <t>Gizi Baik</t>
        </is>
      </c>
      <c r="I304" s="97" t="inlineStr">
        <is>
          <t>Ya</t>
        </is>
      </c>
      <c r="J304" s="97" t="inlineStr">
        <is>
          <t>Tidak</t>
        </is>
      </c>
    </row>
    <row r="305" ht="15.75" customHeight="1" s="95">
      <c r="A305" s="97" t="inlineStr">
        <is>
          <t>anonymus0304</t>
        </is>
      </c>
      <c r="B305" s="97" t="inlineStr">
        <is>
          <t xml:space="preserve">P </t>
        </is>
      </c>
      <c r="C305" s="97" t="inlineStr">
        <is>
          <t>1-34 Bulan</t>
        </is>
      </c>
      <c r="D305" s="97" t="inlineStr">
        <is>
          <t>3.2</t>
        </is>
      </c>
      <c r="E305" s="97" t="n">
        <v>50</v>
      </c>
      <c r="F305" s="97" t="inlineStr">
        <is>
          <t>Normal</t>
        </is>
      </c>
      <c r="G305" s="97" t="inlineStr">
        <is>
          <t>Normal</t>
        </is>
      </c>
      <c r="H305" s="97" t="inlineStr">
        <is>
          <t>Gizi Baik</t>
        </is>
      </c>
      <c r="I305" s="97" t="inlineStr">
        <is>
          <t>Ya</t>
        </is>
      </c>
      <c r="J305" s="97" t="inlineStr">
        <is>
          <t>Tidak</t>
        </is>
      </c>
    </row>
    <row r="306" ht="15.75" customHeight="1" s="95">
      <c r="A306" s="97" t="inlineStr">
        <is>
          <t>anonymus0305</t>
        </is>
      </c>
      <c r="B306" s="97" t="inlineStr">
        <is>
          <t>L</t>
        </is>
      </c>
      <c r="C306" s="97" t="inlineStr">
        <is>
          <t>35-69 Bulan</t>
        </is>
      </c>
      <c r="D306" s="97" t="n">
        <v>19.7</v>
      </c>
      <c r="E306" s="97" t="n">
        <v>113</v>
      </c>
      <c r="F306" s="97" t="inlineStr">
        <is>
          <t>Risiko Lebih</t>
        </is>
      </c>
      <c r="G306" s="97" t="inlineStr">
        <is>
          <t>Normal</t>
        </is>
      </c>
      <c r="H306" s="97" t="inlineStr">
        <is>
          <t>Gizi Lebih</t>
        </is>
      </c>
      <c r="I306" s="97" t="inlineStr">
        <is>
          <t>Ya</t>
        </is>
      </c>
      <c r="J306" s="97" t="inlineStr">
        <is>
          <t>Tidak</t>
        </is>
      </c>
    </row>
    <row r="307" ht="15.75" customHeight="1" s="95">
      <c r="A307" s="97" t="inlineStr">
        <is>
          <t>anonymus0306</t>
        </is>
      </c>
      <c r="B307" s="97" t="inlineStr">
        <is>
          <t>P</t>
        </is>
      </c>
      <c r="C307" s="97" t="inlineStr">
        <is>
          <t>35-69 Bulan</t>
        </is>
      </c>
      <c r="D307" s="97" t="n">
        <v>17.9</v>
      </c>
      <c r="E307" s="97" t="n">
        <v>116</v>
      </c>
      <c r="F307" s="97" t="inlineStr">
        <is>
          <t>Risiko Lebih</t>
        </is>
      </c>
      <c r="G307" s="97" t="inlineStr">
        <is>
          <t>Normal</t>
        </is>
      </c>
      <c r="H307" s="97" t="inlineStr">
        <is>
          <t>Gizi Lebih</t>
        </is>
      </c>
      <c r="I307" s="97" t="inlineStr">
        <is>
          <t>Ya</t>
        </is>
      </c>
      <c r="J307" s="97" t="inlineStr">
        <is>
          <t>Tidak</t>
        </is>
      </c>
    </row>
    <row r="308" ht="15.75" customHeight="1" s="95">
      <c r="A308" s="97" t="inlineStr">
        <is>
          <t>anonymus0307</t>
        </is>
      </c>
      <c r="B308" s="97" t="inlineStr">
        <is>
          <t>P</t>
        </is>
      </c>
      <c r="C308" s="97" t="inlineStr">
        <is>
          <t>1-34 Bulan</t>
        </is>
      </c>
      <c r="D308" s="97" t="n">
        <v>8.1</v>
      </c>
      <c r="E308" s="97" t="n">
        <v>94</v>
      </c>
      <c r="F308" s="97" t="inlineStr">
        <is>
          <t>Kurang</t>
        </is>
      </c>
      <c r="G308" s="97" t="inlineStr">
        <is>
          <t>Normal</t>
        </is>
      </c>
      <c r="H308" s="97" t="inlineStr">
        <is>
          <t>Gizi Kurang</t>
        </is>
      </c>
      <c r="I308" s="97" t="inlineStr">
        <is>
          <t>Ya</t>
        </is>
      </c>
      <c r="J308" s="97" t="inlineStr">
        <is>
          <t>Tidak</t>
        </is>
      </c>
    </row>
    <row r="309" ht="15.75" customHeight="1" s="95">
      <c r="A309" s="97" t="inlineStr">
        <is>
          <t>anonymus0308</t>
        </is>
      </c>
      <c r="B309" s="97" t="inlineStr">
        <is>
          <t>L</t>
        </is>
      </c>
      <c r="C309" s="97" t="inlineStr">
        <is>
          <t>1-34 Bulan</t>
        </is>
      </c>
      <c r="D309" s="97" t="n">
        <v>9.300000000000001</v>
      </c>
      <c r="E309" s="97" t="n">
        <v>88</v>
      </c>
      <c r="F309" s="97" t="inlineStr">
        <is>
          <t>Normal</t>
        </is>
      </c>
      <c r="G309" s="97" t="inlineStr">
        <is>
          <t>Normal</t>
        </is>
      </c>
      <c r="H309" s="97" t="inlineStr">
        <is>
          <t>Gizi Baik</t>
        </is>
      </c>
      <c r="I309" s="97" t="inlineStr">
        <is>
          <t>Ya</t>
        </is>
      </c>
      <c r="J309" s="97" t="inlineStr">
        <is>
          <t>Tidak</t>
        </is>
      </c>
    </row>
    <row r="310" ht="15.75" customHeight="1" s="95">
      <c r="A310" s="97" t="inlineStr">
        <is>
          <t>anonymus0309</t>
        </is>
      </c>
      <c r="B310" s="97" t="inlineStr">
        <is>
          <t>P</t>
        </is>
      </c>
      <c r="C310" s="97" t="inlineStr">
        <is>
          <t>35-69 Bulan</t>
        </is>
      </c>
      <c r="D310" s="97" t="n">
        <v>9.800000000000001</v>
      </c>
      <c r="E310" s="97" t="n">
        <v>86.2</v>
      </c>
      <c r="F310" s="97" t="inlineStr">
        <is>
          <t>Sangat Kurang</t>
        </is>
      </c>
      <c r="G310" s="97" t="inlineStr">
        <is>
          <t>Sangat Pendek</t>
        </is>
      </c>
      <c r="H310" s="97" t="inlineStr">
        <is>
          <t>Gizi Kurang</t>
        </is>
      </c>
      <c r="I310" s="97" t="inlineStr">
        <is>
          <t>Ya</t>
        </is>
      </c>
      <c r="J310" s="97" t="inlineStr">
        <is>
          <t>Stunting</t>
        </is>
      </c>
    </row>
    <row r="311" ht="15.75" customHeight="1" s="95">
      <c r="A311" s="97" t="inlineStr">
        <is>
          <t>anonymus0310</t>
        </is>
      </c>
      <c r="B311" s="97" t="inlineStr">
        <is>
          <t>L</t>
        </is>
      </c>
      <c r="C311" s="97" t="inlineStr">
        <is>
          <t>35-69 Bulan</t>
        </is>
      </c>
      <c r="D311" s="97" t="n">
        <v>9.699999999999999</v>
      </c>
      <c r="E311" s="97" t="n">
        <v>89</v>
      </c>
      <c r="F311" s="97" t="inlineStr">
        <is>
          <t>Sangat Kurang</t>
        </is>
      </c>
      <c r="G311" s="97" t="inlineStr">
        <is>
          <t>Pendek</t>
        </is>
      </c>
      <c r="H311" s="97" t="inlineStr">
        <is>
          <t>Gizi Buruk</t>
        </is>
      </c>
      <c r="I311" s="97" t="inlineStr">
        <is>
          <t>Ya</t>
        </is>
      </c>
      <c r="J311" s="97" t="inlineStr">
        <is>
          <t>Potensi Stunting</t>
        </is>
      </c>
    </row>
    <row r="312" ht="15.75" customHeight="1" s="95">
      <c r="A312" s="97" t="inlineStr">
        <is>
          <t>anonymus0311</t>
        </is>
      </c>
      <c r="B312" s="97" t="inlineStr">
        <is>
          <t xml:space="preserve">P </t>
        </is>
      </c>
      <c r="C312" s="97" t="inlineStr">
        <is>
          <t>1-34 Bulan</t>
        </is>
      </c>
      <c r="D312" s="97" t="inlineStr">
        <is>
          <t>7.5</t>
        </is>
      </c>
      <c r="E312" s="97" t="n">
        <v>72</v>
      </c>
      <c r="F312" s="97" t="inlineStr">
        <is>
          <t>Normal</t>
        </is>
      </c>
      <c r="G312" s="97" t="inlineStr">
        <is>
          <t>Normal</t>
        </is>
      </c>
      <c r="H312" s="97" t="inlineStr">
        <is>
          <t>Gizi Baik</t>
        </is>
      </c>
      <c r="I312" s="97" t="inlineStr">
        <is>
          <t>Ya</t>
        </is>
      </c>
      <c r="J312" s="97" t="inlineStr">
        <is>
          <t>Tidak</t>
        </is>
      </c>
    </row>
    <row r="313" ht="15.75" customHeight="1" s="95">
      <c r="A313" s="97" t="inlineStr">
        <is>
          <t>anonymus0312</t>
        </is>
      </c>
      <c r="B313" s="97" t="inlineStr">
        <is>
          <t xml:space="preserve">L </t>
        </is>
      </c>
      <c r="C313" s="97" t="inlineStr">
        <is>
          <t>35-69 Bulan</t>
        </is>
      </c>
      <c r="D313" s="97" t="inlineStr">
        <is>
          <t>17.5</t>
        </is>
      </c>
      <c r="E313" s="97" t="n">
        <v>106</v>
      </c>
      <c r="F313" s="97" t="inlineStr">
        <is>
          <t>Normal</t>
        </is>
      </c>
      <c r="G313" s="97" t="inlineStr">
        <is>
          <t>Normal</t>
        </is>
      </c>
      <c r="H313" s="97" t="inlineStr">
        <is>
          <t>Gizi Baik</t>
        </is>
      </c>
      <c r="I313" s="97" t="inlineStr">
        <is>
          <t>Ya</t>
        </is>
      </c>
      <c r="J313" s="97" t="inlineStr">
        <is>
          <t>Tidak</t>
        </is>
      </c>
    </row>
    <row r="314" ht="15.75" customHeight="1" s="95">
      <c r="A314" s="97" t="inlineStr">
        <is>
          <t>anonymus0313</t>
        </is>
      </c>
      <c r="B314" s="97" t="inlineStr">
        <is>
          <t>L</t>
        </is>
      </c>
      <c r="C314" s="97" t="inlineStr">
        <is>
          <t>35-69 Bulan</t>
        </is>
      </c>
      <c r="D314" s="97" t="n">
        <v>18.6</v>
      </c>
      <c r="E314" s="97" t="n">
        <v>109</v>
      </c>
      <c r="F314" s="97" t="inlineStr">
        <is>
          <t>Risiko Lebih</t>
        </is>
      </c>
      <c r="G314" s="97" t="inlineStr">
        <is>
          <t>Normal</t>
        </is>
      </c>
      <c r="H314" s="97" t="inlineStr">
        <is>
          <t>Gizi Lebih</t>
        </is>
      </c>
      <c r="I314" s="97" t="inlineStr">
        <is>
          <t>Ya</t>
        </is>
      </c>
      <c r="J314" s="97" t="inlineStr">
        <is>
          <t>Tidak</t>
        </is>
      </c>
    </row>
    <row r="315" ht="15.75" customHeight="1" s="95">
      <c r="A315" s="97" t="inlineStr">
        <is>
          <t>anonymus0314</t>
        </is>
      </c>
      <c r="B315" s="97" t="inlineStr">
        <is>
          <t>P</t>
        </is>
      </c>
      <c r="C315" s="97" t="inlineStr">
        <is>
          <t>35-69 Bulan</t>
        </is>
      </c>
      <c r="D315" s="97" t="n">
        <v>9.4</v>
      </c>
      <c r="E315" s="97" t="n">
        <v>87.59999999999999</v>
      </c>
      <c r="F315" s="97" t="inlineStr">
        <is>
          <t>Sangat Kurang</t>
        </is>
      </c>
      <c r="G315" s="97" t="inlineStr">
        <is>
          <t>Sangat Pendek</t>
        </is>
      </c>
      <c r="H315" s="97" t="inlineStr">
        <is>
          <t>Gizi Kurang</t>
        </is>
      </c>
      <c r="I315" s="97" t="inlineStr">
        <is>
          <t>Ya</t>
        </is>
      </c>
      <c r="J315" s="97" t="inlineStr">
        <is>
          <t>Stunting</t>
        </is>
      </c>
    </row>
    <row r="316" ht="15.75" customHeight="1" s="95">
      <c r="A316" s="97" t="inlineStr">
        <is>
          <t>anonymus0315</t>
        </is>
      </c>
      <c r="B316" s="97" t="inlineStr">
        <is>
          <t>P</t>
        </is>
      </c>
      <c r="C316" s="97" t="inlineStr">
        <is>
          <t>35-69 Bulan</t>
        </is>
      </c>
      <c r="D316" s="97" t="n">
        <v>14.6</v>
      </c>
      <c r="E316" s="97" t="n">
        <v>112</v>
      </c>
      <c r="F316" s="97" t="inlineStr">
        <is>
          <t>Normal</t>
        </is>
      </c>
      <c r="G316" s="97" t="inlineStr">
        <is>
          <t>Normal</t>
        </is>
      </c>
      <c r="H316" s="97" t="inlineStr">
        <is>
          <t>Gizi Baik</t>
        </is>
      </c>
      <c r="I316" s="97" t="inlineStr">
        <is>
          <t>Ya</t>
        </is>
      </c>
      <c r="J316" s="97" t="inlineStr">
        <is>
          <t>Tidak</t>
        </is>
      </c>
    </row>
    <row r="317" ht="15.75" customHeight="1" s="95">
      <c r="A317" s="97" t="inlineStr">
        <is>
          <t>anonymus0316</t>
        </is>
      </c>
      <c r="B317" s="97" t="inlineStr">
        <is>
          <t>P</t>
        </is>
      </c>
      <c r="C317" s="97" t="inlineStr">
        <is>
          <t>35-69 Bulan</t>
        </is>
      </c>
      <c r="D317" s="97" t="n">
        <v>16.6</v>
      </c>
      <c r="E317" s="97" t="n">
        <v>113</v>
      </c>
      <c r="F317" s="97" t="inlineStr">
        <is>
          <t>Normal</t>
        </is>
      </c>
      <c r="G317" s="97" t="inlineStr">
        <is>
          <t>Normal</t>
        </is>
      </c>
      <c r="H317" s="97" t="inlineStr">
        <is>
          <t>Gizi Baik</t>
        </is>
      </c>
      <c r="I317" s="97" t="inlineStr">
        <is>
          <t>Ya</t>
        </is>
      </c>
      <c r="J317" s="97" t="inlineStr">
        <is>
          <t>Tidak</t>
        </is>
      </c>
    </row>
    <row r="318" ht="15.75" customHeight="1" s="95">
      <c r="A318" s="97" t="inlineStr">
        <is>
          <t>anonymus0317</t>
        </is>
      </c>
      <c r="B318" s="97" t="inlineStr">
        <is>
          <t>P</t>
        </is>
      </c>
      <c r="C318" s="97" t="inlineStr">
        <is>
          <t>1-34 Bulan</t>
        </is>
      </c>
      <c r="D318" s="97" t="n">
        <v>4</v>
      </c>
      <c r="E318" s="97" t="n">
        <v>50</v>
      </c>
      <c r="F318" s="97" t="inlineStr">
        <is>
          <t>Sangat Kurang</t>
        </is>
      </c>
      <c r="G318" s="97" t="inlineStr">
        <is>
          <t>Sangat Pendek</t>
        </is>
      </c>
      <c r="H318" s="97" t="inlineStr">
        <is>
          <t>Risiko Gizi Lebih</t>
        </is>
      </c>
      <c r="I318" s="97" t="inlineStr">
        <is>
          <t>Ya</t>
        </is>
      </c>
      <c r="J318" s="97" t="inlineStr">
        <is>
          <t>Stunting</t>
        </is>
      </c>
    </row>
    <row r="319" ht="15.75" customHeight="1" s="95">
      <c r="A319" s="97" t="inlineStr">
        <is>
          <t>anonymus0318</t>
        </is>
      </c>
      <c r="B319" s="97" t="inlineStr">
        <is>
          <t>L</t>
        </is>
      </c>
      <c r="C319" s="97" t="inlineStr">
        <is>
          <t>35-69 Bulan</t>
        </is>
      </c>
      <c r="D319" s="97" t="n">
        <v>10.7</v>
      </c>
      <c r="E319" s="97" t="n">
        <v>116</v>
      </c>
      <c r="F319" s="97" t="inlineStr">
        <is>
          <t>Normal</t>
        </is>
      </c>
      <c r="G319" s="97" t="inlineStr">
        <is>
          <t>Normal</t>
        </is>
      </c>
      <c r="H319" s="97" t="inlineStr">
        <is>
          <t>Gizi Baik</t>
        </is>
      </c>
      <c r="I319" s="97" t="inlineStr">
        <is>
          <t>Ya</t>
        </is>
      </c>
      <c r="J319" s="97" t="inlineStr">
        <is>
          <t>Tidak</t>
        </is>
      </c>
    </row>
    <row r="320" ht="15.75" customHeight="1" s="95">
      <c r="A320" s="97" t="inlineStr">
        <is>
          <t>anonymus0319</t>
        </is>
      </c>
      <c r="B320" s="97" t="inlineStr">
        <is>
          <t xml:space="preserve">L </t>
        </is>
      </c>
      <c r="C320" s="97" t="inlineStr">
        <is>
          <t>35-69 Bulan</t>
        </is>
      </c>
      <c r="D320" s="97" t="inlineStr">
        <is>
          <t>14.1</t>
        </is>
      </c>
      <c r="E320" s="97" t="n">
        <v>90</v>
      </c>
      <c r="F320" s="97" t="inlineStr">
        <is>
          <t>Normal</t>
        </is>
      </c>
      <c r="G320" s="97" t="inlineStr">
        <is>
          <t>Normal</t>
        </is>
      </c>
      <c r="H320" s="97" t="inlineStr">
        <is>
          <t>Risiko Gizi Lebih</t>
        </is>
      </c>
      <c r="I320" s="97" t="inlineStr">
        <is>
          <t>Ya</t>
        </is>
      </c>
      <c r="J320" s="97" t="inlineStr">
        <is>
          <t>Tidak</t>
        </is>
      </c>
    </row>
    <row r="321" ht="15.75" customHeight="1" s="95">
      <c r="A321" s="97" t="inlineStr">
        <is>
          <t>anonymus0320</t>
        </is>
      </c>
      <c r="B321" s="97" t="inlineStr">
        <is>
          <t xml:space="preserve">P </t>
        </is>
      </c>
      <c r="C321" s="97" t="inlineStr">
        <is>
          <t>1-34 Bulan</t>
        </is>
      </c>
      <c r="D321" s="97" t="inlineStr">
        <is>
          <t>9.3</t>
        </is>
      </c>
      <c r="E321" s="97" t="n">
        <v>72</v>
      </c>
      <c r="F321" s="97" t="inlineStr">
        <is>
          <t>Normal</t>
        </is>
      </c>
      <c r="G321" s="97" t="inlineStr">
        <is>
          <t>Normal</t>
        </is>
      </c>
      <c r="H321" s="97" t="inlineStr">
        <is>
          <t>Gizi Baik</t>
        </is>
      </c>
      <c r="I321" s="97" t="inlineStr">
        <is>
          <t>Ya</t>
        </is>
      </c>
      <c r="J321" s="97" t="inlineStr">
        <is>
          <t>Tidak</t>
        </is>
      </c>
    </row>
    <row r="322" ht="15.75" customHeight="1" s="95">
      <c r="A322" s="97" t="inlineStr">
        <is>
          <t>anonymus0321</t>
        </is>
      </c>
      <c r="B322" s="97" t="inlineStr">
        <is>
          <t>L</t>
        </is>
      </c>
      <c r="C322" s="97" t="inlineStr">
        <is>
          <t>1-34 Bulan</t>
        </is>
      </c>
      <c r="D322" s="97" t="n">
        <v>8.300000000000001</v>
      </c>
      <c r="E322" s="97" t="n">
        <v>76.7</v>
      </c>
      <c r="F322" s="97" t="inlineStr">
        <is>
          <t>Normal</t>
        </is>
      </c>
      <c r="G322" s="97" t="inlineStr">
        <is>
          <t>Normal</t>
        </is>
      </c>
      <c r="H322" s="97" t="inlineStr">
        <is>
          <t>Gizi Kurang</t>
        </is>
      </c>
      <c r="I322" s="97" t="inlineStr">
        <is>
          <t>Ya</t>
        </is>
      </c>
      <c r="J322" s="97" t="inlineStr">
        <is>
          <t>Tidak</t>
        </is>
      </c>
    </row>
    <row r="323" ht="15.75" customHeight="1" s="95">
      <c r="A323" s="97" t="inlineStr">
        <is>
          <t>anonymus0322</t>
        </is>
      </c>
      <c r="B323" s="97" t="inlineStr">
        <is>
          <t>P</t>
        </is>
      </c>
      <c r="C323" s="97" t="inlineStr">
        <is>
          <t>1-34 Bulan</t>
        </is>
      </c>
      <c r="D323" s="97" t="n">
        <v>7</v>
      </c>
      <c r="E323" s="97" t="n">
        <v>85</v>
      </c>
      <c r="F323" s="97" t="inlineStr">
        <is>
          <t>Kurang</t>
        </is>
      </c>
      <c r="G323" s="97" t="inlineStr">
        <is>
          <t>Normal</t>
        </is>
      </c>
      <c r="H323" s="97" t="inlineStr">
        <is>
          <t>Gizi Kurang</t>
        </is>
      </c>
      <c r="I323" s="97" t="inlineStr">
        <is>
          <t>Ya</t>
        </is>
      </c>
      <c r="J323" s="97" t="inlineStr">
        <is>
          <t>Tidak</t>
        </is>
      </c>
    </row>
    <row r="324" ht="15.75" customHeight="1" s="95">
      <c r="A324" s="97" t="inlineStr">
        <is>
          <t>anonymus0323</t>
        </is>
      </c>
      <c r="B324" s="97" t="inlineStr">
        <is>
          <t>P</t>
        </is>
      </c>
      <c r="C324" s="97" t="inlineStr">
        <is>
          <t>1-34 Bulan</t>
        </is>
      </c>
      <c r="D324" s="97" t="n">
        <v>8.6</v>
      </c>
      <c r="E324" s="97" t="n">
        <v>81</v>
      </c>
      <c r="F324" s="97" t="inlineStr">
        <is>
          <t>Normal</t>
        </is>
      </c>
      <c r="G324" s="97" t="inlineStr">
        <is>
          <t>Normal</t>
        </is>
      </c>
      <c r="H324" s="97" t="inlineStr">
        <is>
          <t>Gizi Kurang</t>
        </is>
      </c>
      <c r="I324" s="97" t="inlineStr">
        <is>
          <t>Ya</t>
        </is>
      </c>
      <c r="J324" s="97" t="inlineStr">
        <is>
          <t>Tidak</t>
        </is>
      </c>
    </row>
    <row r="325" ht="15.75" customHeight="1" s="95">
      <c r="A325" s="97" t="inlineStr">
        <is>
          <t>anonymus0324</t>
        </is>
      </c>
      <c r="B325" s="97" t="inlineStr">
        <is>
          <t xml:space="preserve">L </t>
        </is>
      </c>
      <c r="C325" s="97" t="inlineStr">
        <is>
          <t>1-34 Bulan</t>
        </is>
      </c>
      <c r="D325" s="97" t="inlineStr">
        <is>
          <t>10.6</t>
        </is>
      </c>
      <c r="E325" s="97" t="n">
        <v>82</v>
      </c>
      <c r="F325" s="97" t="inlineStr">
        <is>
          <t>Normal</t>
        </is>
      </c>
      <c r="G325" s="97" t="inlineStr">
        <is>
          <t>Normal</t>
        </is>
      </c>
      <c r="H325" s="97" t="inlineStr">
        <is>
          <t>Gizi Baik</t>
        </is>
      </c>
      <c r="I325" s="97" t="inlineStr">
        <is>
          <t>Ya</t>
        </is>
      </c>
      <c r="J325" s="97" t="inlineStr">
        <is>
          <t>Tidak</t>
        </is>
      </c>
    </row>
    <row r="326" ht="15.75" customHeight="1" s="95">
      <c r="A326" s="97" t="inlineStr">
        <is>
          <t>anonymus0325</t>
        </is>
      </c>
      <c r="B326" s="97" t="inlineStr">
        <is>
          <t>L</t>
        </is>
      </c>
      <c r="C326" s="97" t="inlineStr">
        <is>
          <t>1-34 Bulan</t>
        </is>
      </c>
      <c r="D326" s="97" t="n">
        <v>9.5</v>
      </c>
      <c r="E326" s="97" t="n">
        <v>81</v>
      </c>
      <c r="F326" s="97" t="inlineStr">
        <is>
          <t>Normal</t>
        </is>
      </c>
      <c r="G326" s="97" t="inlineStr">
        <is>
          <t>Normal</t>
        </is>
      </c>
      <c r="H326" s="97" t="inlineStr">
        <is>
          <t>Gizi Baik</t>
        </is>
      </c>
      <c r="I326" s="97" t="inlineStr">
        <is>
          <t>Ya</t>
        </is>
      </c>
      <c r="J326" s="97" t="inlineStr">
        <is>
          <t>Tidak</t>
        </is>
      </c>
    </row>
    <row r="327" ht="15.75" customHeight="1" s="95">
      <c r="A327" s="97" t="inlineStr">
        <is>
          <t>anonymus0326</t>
        </is>
      </c>
      <c r="B327" s="97" t="inlineStr">
        <is>
          <t xml:space="preserve">L </t>
        </is>
      </c>
      <c r="C327" s="97" t="inlineStr">
        <is>
          <t>35-69 Bulan</t>
        </is>
      </c>
      <c r="D327" s="97" t="inlineStr">
        <is>
          <t>12.9</t>
        </is>
      </c>
      <c r="E327" s="97" t="n">
        <v>96</v>
      </c>
      <c r="F327" s="97" t="inlineStr">
        <is>
          <t>Normal</t>
        </is>
      </c>
      <c r="G327" s="97" t="inlineStr">
        <is>
          <t>Normal</t>
        </is>
      </c>
      <c r="H327" s="97" t="inlineStr">
        <is>
          <t>Gizi Baik</t>
        </is>
      </c>
      <c r="I327" s="97" t="inlineStr">
        <is>
          <t>Ya</t>
        </is>
      </c>
      <c r="J327" s="97" t="inlineStr">
        <is>
          <t>Tidak</t>
        </is>
      </c>
    </row>
    <row r="328" ht="15.75" customHeight="1" s="95">
      <c r="A328" s="97" t="inlineStr">
        <is>
          <t>anonymus0327</t>
        </is>
      </c>
      <c r="B328" s="97" t="inlineStr">
        <is>
          <t>P</t>
        </is>
      </c>
      <c r="C328" s="97" t="inlineStr">
        <is>
          <t>35-69 Bulan</t>
        </is>
      </c>
      <c r="D328" s="97" t="n">
        <v>11.5</v>
      </c>
      <c r="E328" s="97" t="n">
        <v>80</v>
      </c>
      <c r="F328" s="97" t="inlineStr">
        <is>
          <t>Normal</t>
        </is>
      </c>
      <c r="G328" s="97" t="inlineStr">
        <is>
          <t>Pendek</t>
        </is>
      </c>
      <c r="H328" s="97" t="inlineStr">
        <is>
          <t>Risiko Gizi Lebih</t>
        </is>
      </c>
      <c r="I328" s="97" t="inlineStr">
        <is>
          <t>Ya</t>
        </is>
      </c>
      <c r="J328" s="97" t="inlineStr">
        <is>
          <t>Potensi Stunting</t>
        </is>
      </c>
    </row>
    <row r="329" ht="15.75" customHeight="1" s="95">
      <c r="A329" s="97" t="inlineStr">
        <is>
          <t>anonymus0328</t>
        </is>
      </c>
      <c r="B329" s="97" t="inlineStr">
        <is>
          <t>L</t>
        </is>
      </c>
      <c r="C329" s="97" t="inlineStr">
        <is>
          <t>1-34 Bulan</t>
        </is>
      </c>
      <c r="D329" s="97" t="n">
        <v>10</v>
      </c>
      <c r="E329" s="97" t="n">
        <v>85.7</v>
      </c>
      <c r="F329" s="97" t="inlineStr">
        <is>
          <t>Kurang</t>
        </is>
      </c>
      <c r="G329" s="97" t="inlineStr">
        <is>
          <t>Normal</t>
        </is>
      </c>
      <c r="H329" s="97" t="inlineStr">
        <is>
          <t>Gizi Kurang</t>
        </is>
      </c>
      <c r="I329" s="97" t="inlineStr">
        <is>
          <t>Ya</t>
        </is>
      </c>
      <c r="J329" s="97" t="inlineStr">
        <is>
          <t>Tidak</t>
        </is>
      </c>
    </row>
    <row r="330" ht="15.75" customHeight="1" s="95">
      <c r="A330" s="97" t="inlineStr">
        <is>
          <t>anonymus0329</t>
        </is>
      </c>
      <c r="B330" s="97" t="inlineStr">
        <is>
          <t>L</t>
        </is>
      </c>
      <c r="C330" s="97" t="inlineStr">
        <is>
          <t>1-34 Bulan</t>
        </is>
      </c>
      <c r="D330" s="97" t="n">
        <v>3</v>
      </c>
      <c r="E330" s="97" t="n">
        <v>49</v>
      </c>
      <c r="F330" s="97" t="inlineStr">
        <is>
          <t>Kurang</t>
        </is>
      </c>
      <c r="G330" s="97" t="inlineStr">
        <is>
          <t>Pendek</t>
        </is>
      </c>
      <c r="H330" s="97" t="inlineStr">
        <is>
          <t>Gizi Baik</t>
        </is>
      </c>
      <c r="I330" s="97" t="inlineStr">
        <is>
          <t>Ya</t>
        </is>
      </c>
      <c r="J330" s="97" t="inlineStr">
        <is>
          <t>Potensi Stunting</t>
        </is>
      </c>
    </row>
    <row r="331" ht="15.75" customHeight="1" s="95">
      <c r="A331" s="97" t="inlineStr">
        <is>
          <t>anonymus0330</t>
        </is>
      </c>
      <c r="B331" s="97" t="inlineStr">
        <is>
          <t>L</t>
        </is>
      </c>
      <c r="C331" s="97" t="inlineStr">
        <is>
          <t>1-34 Bulan</t>
        </is>
      </c>
      <c r="D331" s="97" t="n">
        <v>9.800000000000001</v>
      </c>
      <c r="E331" s="97" t="n">
        <v>76</v>
      </c>
      <c r="F331" s="97" t="inlineStr">
        <is>
          <t>Normal</t>
        </is>
      </c>
      <c r="G331" s="97" t="inlineStr">
        <is>
          <t>Sangat Pendek</t>
        </is>
      </c>
      <c r="H331" s="97" t="inlineStr">
        <is>
          <t>Gizi Baik</t>
        </is>
      </c>
      <c r="I331" s="97" t="inlineStr">
        <is>
          <t>Ya</t>
        </is>
      </c>
      <c r="J331" s="97" t="inlineStr">
        <is>
          <t>Stunting</t>
        </is>
      </c>
    </row>
    <row r="332" ht="15.75" customHeight="1" s="95">
      <c r="A332" s="97" t="inlineStr">
        <is>
          <t>anonymus0331</t>
        </is>
      </c>
      <c r="B332" s="97" t="inlineStr">
        <is>
          <t>L</t>
        </is>
      </c>
      <c r="C332" s="97" t="inlineStr">
        <is>
          <t>1-34 Bulan</t>
        </is>
      </c>
      <c r="D332" s="97" t="n">
        <v>8.15</v>
      </c>
      <c r="E332" s="97" t="n">
        <v>75</v>
      </c>
      <c r="F332" s="97" t="inlineStr">
        <is>
          <t>Kurang</t>
        </is>
      </c>
      <c r="G332" s="97" t="inlineStr">
        <is>
          <t>Sangat Pendek</t>
        </is>
      </c>
      <c r="H332" s="97" t="inlineStr">
        <is>
          <t>Gizi Baik</t>
        </is>
      </c>
      <c r="I332" s="97" t="inlineStr">
        <is>
          <t>Ya</t>
        </is>
      </c>
      <c r="J332" s="97" t="inlineStr">
        <is>
          <t>Stunting</t>
        </is>
      </c>
    </row>
    <row r="333" ht="15.75" customHeight="1" s="95">
      <c r="A333" s="97" t="inlineStr">
        <is>
          <t>anonymus0332</t>
        </is>
      </c>
      <c r="B333" s="97" t="inlineStr">
        <is>
          <t xml:space="preserve">P </t>
        </is>
      </c>
      <c r="C333" s="97" t="inlineStr">
        <is>
          <t>35-69 Bulan</t>
        </is>
      </c>
      <c r="D333" s="97" t="n">
        <v>15</v>
      </c>
      <c r="E333" s="97" t="n">
        <v>105</v>
      </c>
      <c r="F333" s="97" t="inlineStr">
        <is>
          <t>Normal</t>
        </is>
      </c>
      <c r="G333" s="97" t="inlineStr">
        <is>
          <t>Normal</t>
        </is>
      </c>
      <c r="H333" s="97" t="inlineStr">
        <is>
          <t>Gizi Baik</t>
        </is>
      </c>
      <c r="I333" s="97" t="inlineStr">
        <is>
          <t>Ya</t>
        </is>
      </c>
      <c r="J333" s="97" t="inlineStr">
        <is>
          <t>Tidak</t>
        </is>
      </c>
    </row>
    <row r="334" ht="15.75" customHeight="1" s="95">
      <c r="A334" s="97" t="inlineStr">
        <is>
          <t>anonymus0333</t>
        </is>
      </c>
      <c r="B334" s="97" t="inlineStr">
        <is>
          <t>P</t>
        </is>
      </c>
      <c r="C334" s="97" t="inlineStr">
        <is>
          <t>35-69 Bulan</t>
        </is>
      </c>
      <c r="D334" s="97" t="n">
        <v>17.9</v>
      </c>
      <c r="E334" s="97" t="n">
        <v>94</v>
      </c>
      <c r="F334" s="97" t="inlineStr">
        <is>
          <t>Risiko Lebih</t>
        </is>
      </c>
      <c r="G334" s="97" t="inlineStr">
        <is>
          <t>Normal</t>
        </is>
      </c>
      <c r="H334" s="97" t="inlineStr">
        <is>
          <t>Gizi Lebih</t>
        </is>
      </c>
      <c r="I334" s="97" t="inlineStr">
        <is>
          <t>Ya</t>
        </is>
      </c>
      <c r="J334" s="97" t="inlineStr">
        <is>
          <t>Tidak</t>
        </is>
      </c>
    </row>
    <row r="335" ht="15.75" customHeight="1" s="95">
      <c r="A335" s="97" t="inlineStr">
        <is>
          <t>anonymus0334</t>
        </is>
      </c>
      <c r="B335" s="97" t="inlineStr">
        <is>
          <t xml:space="preserve">P </t>
        </is>
      </c>
      <c r="C335" s="97" t="inlineStr">
        <is>
          <t>35-69 Bulan</t>
        </is>
      </c>
      <c r="D335" s="97" t="inlineStr">
        <is>
          <t>16.8</t>
        </is>
      </c>
      <c r="E335" s="97" t="n">
        <v>99</v>
      </c>
      <c r="F335" s="97" t="inlineStr">
        <is>
          <t>Normal</t>
        </is>
      </c>
      <c r="G335" s="97" t="inlineStr">
        <is>
          <t>Pendek</t>
        </is>
      </c>
      <c r="H335" s="97" t="inlineStr">
        <is>
          <t>Risiko Gizi Lebih</t>
        </is>
      </c>
      <c r="I335" s="97" t="inlineStr">
        <is>
          <t>Ya</t>
        </is>
      </c>
      <c r="J335" s="97" t="inlineStr">
        <is>
          <t>Potensi Stunting</t>
        </is>
      </c>
    </row>
    <row r="336" ht="15.75" customHeight="1" s="95">
      <c r="A336" s="97" t="inlineStr">
        <is>
          <t>anonymus0335</t>
        </is>
      </c>
      <c r="B336" s="97" t="inlineStr">
        <is>
          <t>P</t>
        </is>
      </c>
      <c r="C336" s="97" t="inlineStr">
        <is>
          <t>1-34 Bulan</t>
        </is>
      </c>
      <c r="D336" s="97" t="n">
        <v>11</v>
      </c>
      <c r="E336" s="97" t="n">
        <v>74</v>
      </c>
      <c r="F336" s="97" t="inlineStr">
        <is>
          <t>Normal</t>
        </is>
      </c>
      <c r="G336" s="97" t="inlineStr">
        <is>
          <t>Normal</t>
        </is>
      </c>
      <c r="H336" s="97" t="inlineStr">
        <is>
          <t>Gizi Baik</t>
        </is>
      </c>
      <c r="I336" s="97" t="inlineStr">
        <is>
          <t>Ya</t>
        </is>
      </c>
      <c r="J336" s="97" t="inlineStr">
        <is>
          <t>Tidak</t>
        </is>
      </c>
    </row>
    <row r="337" ht="15.75" customHeight="1" s="95">
      <c r="A337" s="97" t="inlineStr">
        <is>
          <t>anonymus0336</t>
        </is>
      </c>
      <c r="B337" s="97" t="inlineStr">
        <is>
          <t>L</t>
        </is>
      </c>
      <c r="C337" s="97" t="inlineStr">
        <is>
          <t>1-34 Bulan</t>
        </is>
      </c>
      <c r="D337" s="97" t="n">
        <v>8.5</v>
      </c>
      <c r="E337" s="97" t="n">
        <v>79</v>
      </c>
      <c r="F337" s="97" t="inlineStr">
        <is>
          <t>Kurang</t>
        </is>
      </c>
      <c r="G337" s="97" t="inlineStr">
        <is>
          <t>Normal</t>
        </is>
      </c>
      <c r="H337" s="97" t="inlineStr">
        <is>
          <t>Gizi Kurang</t>
        </is>
      </c>
      <c r="I337" s="97" t="inlineStr">
        <is>
          <t>Ya</t>
        </is>
      </c>
      <c r="J337" s="97" t="inlineStr">
        <is>
          <t>Tidak</t>
        </is>
      </c>
    </row>
    <row r="338" ht="15.75" customHeight="1" s="95">
      <c r="A338" s="97" t="inlineStr">
        <is>
          <t>anonymus0337</t>
        </is>
      </c>
      <c r="B338" s="97" t="inlineStr">
        <is>
          <t xml:space="preserve">L </t>
        </is>
      </c>
      <c r="C338" s="97" t="inlineStr">
        <is>
          <t>1-34 Bulan</t>
        </is>
      </c>
      <c r="D338" s="97" t="inlineStr">
        <is>
          <t>8.8</t>
        </is>
      </c>
      <c r="E338" s="97" t="n">
        <v>84</v>
      </c>
      <c r="F338" s="97" t="inlineStr">
        <is>
          <t>Sangat Kurang</t>
        </is>
      </c>
      <c r="G338" s="97" t="inlineStr">
        <is>
          <t>Normal</t>
        </is>
      </c>
      <c r="H338" s="97" t="inlineStr">
        <is>
          <t>Gizi Buruk</t>
        </is>
      </c>
      <c r="I338" s="97" t="inlineStr">
        <is>
          <t>Ya</t>
        </is>
      </c>
      <c r="J338" s="97" t="inlineStr">
        <is>
          <t>Tidak</t>
        </is>
      </c>
    </row>
    <row r="339" ht="15.75" customHeight="1" s="95">
      <c r="A339" s="97" t="inlineStr">
        <is>
          <t>anonymus0338</t>
        </is>
      </c>
      <c r="B339" s="97" t="inlineStr">
        <is>
          <t xml:space="preserve">L </t>
        </is>
      </c>
      <c r="C339" s="97" t="inlineStr">
        <is>
          <t>1-34 Bulan</t>
        </is>
      </c>
      <c r="D339" s="97" t="inlineStr">
        <is>
          <t>6.8</t>
        </is>
      </c>
      <c r="E339" s="97" t="n">
        <v>65</v>
      </c>
      <c r="F339" s="97" t="inlineStr">
        <is>
          <t>Normal</t>
        </is>
      </c>
      <c r="G339" s="97" t="inlineStr">
        <is>
          <t>Normal</t>
        </is>
      </c>
      <c r="H339" s="97" t="inlineStr">
        <is>
          <t>Gizi Baik</t>
        </is>
      </c>
      <c r="I339" s="97" t="inlineStr">
        <is>
          <t>Ya</t>
        </is>
      </c>
      <c r="J339" s="97" t="inlineStr">
        <is>
          <t>Tidak</t>
        </is>
      </c>
    </row>
    <row r="340" ht="15.75" customHeight="1" s="95">
      <c r="A340" s="97" t="inlineStr">
        <is>
          <t>anonymus0339</t>
        </is>
      </c>
      <c r="B340" s="97" t="inlineStr">
        <is>
          <t>P</t>
        </is>
      </c>
      <c r="C340" s="97" t="inlineStr">
        <is>
          <t>35-69 Bulan</t>
        </is>
      </c>
      <c r="D340" s="97" t="n">
        <v>11.1</v>
      </c>
      <c r="E340" s="97" t="n">
        <v>96</v>
      </c>
      <c r="F340" s="97" t="inlineStr">
        <is>
          <t>Kurang</t>
        </is>
      </c>
      <c r="G340" s="97" t="inlineStr">
        <is>
          <t>Normal</t>
        </is>
      </c>
      <c r="H340" s="97" t="inlineStr">
        <is>
          <t>Gizi Kurang</t>
        </is>
      </c>
      <c r="I340" s="97" t="inlineStr">
        <is>
          <t>Ya</t>
        </is>
      </c>
      <c r="J340" s="97" t="inlineStr">
        <is>
          <t>Tidak</t>
        </is>
      </c>
    </row>
    <row r="341" ht="15.75" customHeight="1" s="95">
      <c r="A341" s="97" t="inlineStr">
        <is>
          <t>anonymus0340</t>
        </is>
      </c>
      <c r="B341" s="97" t="inlineStr">
        <is>
          <t>P</t>
        </is>
      </c>
      <c r="C341" s="97" t="inlineStr">
        <is>
          <t>35-69 Bulan</t>
        </is>
      </c>
      <c r="D341" s="97" t="n">
        <v>16.2</v>
      </c>
      <c r="E341" s="97" t="n">
        <v>94</v>
      </c>
      <c r="F341" s="97" t="inlineStr">
        <is>
          <t>Normal</t>
        </is>
      </c>
      <c r="G341" s="97" t="inlineStr">
        <is>
          <t>Normal</t>
        </is>
      </c>
      <c r="H341" s="97" t="inlineStr">
        <is>
          <t>Gizi Baik</t>
        </is>
      </c>
      <c r="I341" s="97" t="inlineStr">
        <is>
          <t>Ya</t>
        </is>
      </c>
      <c r="J341" s="97" t="inlineStr">
        <is>
          <t>Tidak</t>
        </is>
      </c>
    </row>
    <row r="342" ht="15.75" customHeight="1" s="95">
      <c r="A342" s="97" t="inlineStr">
        <is>
          <t>anonymus0341</t>
        </is>
      </c>
      <c r="B342" s="97" t="inlineStr">
        <is>
          <t>P</t>
        </is>
      </c>
      <c r="C342" s="97" t="inlineStr">
        <is>
          <t>35-69 Bulan</t>
        </is>
      </c>
      <c r="D342" s="97" t="n">
        <v>12.7</v>
      </c>
      <c r="E342" s="97" t="n">
        <v>101</v>
      </c>
      <c r="F342" s="97" t="inlineStr">
        <is>
          <t>Normal</t>
        </is>
      </c>
      <c r="G342" s="97" t="inlineStr">
        <is>
          <t>Normal</t>
        </is>
      </c>
      <c r="H342" s="97" t="inlineStr">
        <is>
          <t>Gizi Kurang</t>
        </is>
      </c>
      <c r="I342" s="97" t="inlineStr">
        <is>
          <t>Ya</t>
        </is>
      </c>
      <c r="J342" s="97" t="inlineStr">
        <is>
          <t>Tidak</t>
        </is>
      </c>
    </row>
    <row r="343" ht="15.75" customHeight="1" s="95">
      <c r="A343" s="97" t="inlineStr">
        <is>
          <t>anonymus0342</t>
        </is>
      </c>
      <c r="B343" s="97" t="inlineStr">
        <is>
          <t>P</t>
        </is>
      </c>
      <c r="C343" s="97" t="inlineStr">
        <is>
          <t>35-69 Bulan</t>
        </is>
      </c>
      <c r="D343" s="97" t="n">
        <v>13.1</v>
      </c>
      <c r="E343" s="97" t="n">
        <v>104</v>
      </c>
      <c r="F343" s="97" t="inlineStr">
        <is>
          <t>Normal</t>
        </is>
      </c>
      <c r="G343" s="97" t="inlineStr">
        <is>
          <t>Normal</t>
        </is>
      </c>
      <c r="H343" s="97" t="inlineStr">
        <is>
          <t>Gizi Kurang</t>
        </is>
      </c>
      <c r="I343" s="97" t="inlineStr">
        <is>
          <t>Ya</t>
        </is>
      </c>
      <c r="J343" s="97" t="inlineStr">
        <is>
          <t>Tidak</t>
        </is>
      </c>
    </row>
    <row r="344" ht="15.75" customHeight="1" s="95">
      <c r="A344" s="97" t="inlineStr">
        <is>
          <t>anonymus0343</t>
        </is>
      </c>
      <c r="B344" s="97" t="inlineStr">
        <is>
          <t>P</t>
        </is>
      </c>
      <c r="C344" s="97" t="inlineStr">
        <is>
          <t>1-34 Bulan</t>
        </is>
      </c>
      <c r="D344" s="97" t="n">
        <v>6.7</v>
      </c>
      <c r="E344" s="97" t="n">
        <v>62</v>
      </c>
      <c r="F344" s="97" t="inlineStr">
        <is>
          <t>Kurang</t>
        </is>
      </c>
      <c r="G344" s="97" t="inlineStr">
        <is>
          <t>Sangat Pendek</t>
        </is>
      </c>
      <c r="H344" s="97" t="inlineStr">
        <is>
          <t>Gizi Baik</t>
        </is>
      </c>
      <c r="I344" s="97" t="inlineStr">
        <is>
          <t>Ya</t>
        </is>
      </c>
      <c r="J344" s="97" t="inlineStr">
        <is>
          <t>Stunting</t>
        </is>
      </c>
    </row>
    <row r="345" ht="15.75" customHeight="1" s="95">
      <c r="A345" s="97" t="inlineStr">
        <is>
          <t>anonymus0344</t>
        </is>
      </c>
      <c r="B345" s="97" t="inlineStr">
        <is>
          <t>L</t>
        </is>
      </c>
      <c r="C345" s="97" t="inlineStr">
        <is>
          <t>35-69 Bulan</t>
        </is>
      </c>
      <c r="D345" s="97" t="n">
        <v>12.8</v>
      </c>
      <c r="E345" s="97" t="n">
        <v>99.5</v>
      </c>
      <c r="F345" s="97" t="inlineStr">
        <is>
          <t>Kurang</t>
        </is>
      </c>
      <c r="G345" s="97" t="inlineStr">
        <is>
          <t>Normal</t>
        </is>
      </c>
      <c r="H345" s="97" t="inlineStr">
        <is>
          <t>Gizi Kurang</t>
        </is>
      </c>
      <c r="I345" s="97" t="inlineStr">
        <is>
          <t>Ya</t>
        </is>
      </c>
      <c r="J345" s="97" t="inlineStr">
        <is>
          <t>Tidak</t>
        </is>
      </c>
    </row>
    <row r="346" ht="15.75" customHeight="1" s="95">
      <c r="A346" s="97" t="inlineStr">
        <is>
          <t>anonymus0345</t>
        </is>
      </c>
      <c r="B346" s="97" t="inlineStr">
        <is>
          <t xml:space="preserve">P </t>
        </is>
      </c>
      <c r="C346" s="97" t="inlineStr">
        <is>
          <t>35-69 Bulan</t>
        </is>
      </c>
      <c r="D346" s="97" t="inlineStr">
        <is>
          <t>9.8</t>
        </is>
      </c>
      <c r="E346" s="97" t="n">
        <v>85</v>
      </c>
      <c r="F346" s="97" t="inlineStr">
        <is>
          <t>Normal</t>
        </is>
      </c>
      <c r="G346" s="97" t="inlineStr">
        <is>
          <t>Normal</t>
        </is>
      </c>
      <c r="H346" s="97" t="inlineStr">
        <is>
          <t>Gizi Baik</t>
        </is>
      </c>
      <c r="I346" s="97" t="inlineStr">
        <is>
          <t>Ya</t>
        </is>
      </c>
      <c r="J346" s="97" t="inlineStr">
        <is>
          <t>Tidak</t>
        </is>
      </c>
    </row>
    <row r="347" ht="15.75" customHeight="1" s="95">
      <c r="A347" s="97" t="inlineStr">
        <is>
          <t>anonymus0346</t>
        </is>
      </c>
      <c r="B347" s="97" t="inlineStr">
        <is>
          <t>L</t>
        </is>
      </c>
      <c r="C347" s="97" t="inlineStr">
        <is>
          <t>35-69 Bulan</t>
        </is>
      </c>
      <c r="D347" s="97" t="n">
        <v>12.5</v>
      </c>
      <c r="E347" s="97" t="n">
        <v>97.7</v>
      </c>
      <c r="F347" s="97" t="inlineStr">
        <is>
          <t>Kurang</t>
        </is>
      </c>
      <c r="G347" s="97" t="inlineStr">
        <is>
          <t>Pendek</t>
        </is>
      </c>
      <c r="H347" s="97" t="inlineStr">
        <is>
          <t>Gizi Kurang</t>
        </is>
      </c>
      <c r="I347" s="97" t="inlineStr">
        <is>
          <t>Ya</t>
        </is>
      </c>
      <c r="J347" s="97" t="inlineStr">
        <is>
          <t>Potensi Stunting</t>
        </is>
      </c>
    </row>
    <row r="348" ht="15.75" customHeight="1" s="95">
      <c r="A348" s="97" t="inlineStr">
        <is>
          <t>anonymus0347</t>
        </is>
      </c>
      <c r="B348" s="97" t="inlineStr">
        <is>
          <t>L</t>
        </is>
      </c>
      <c r="C348" s="97" t="inlineStr">
        <is>
          <t>35-69 Bulan</t>
        </is>
      </c>
      <c r="D348" s="97" t="n">
        <v>14.5</v>
      </c>
      <c r="E348" s="97" t="n">
        <v>105</v>
      </c>
      <c r="F348" s="97" t="inlineStr">
        <is>
          <t>Normal</t>
        </is>
      </c>
      <c r="G348" s="97" t="inlineStr">
        <is>
          <t>Normal</t>
        </is>
      </c>
      <c r="H348" s="97" t="inlineStr">
        <is>
          <t>Gizi Baik</t>
        </is>
      </c>
      <c r="I348" s="97" t="inlineStr">
        <is>
          <t>Ya</t>
        </is>
      </c>
      <c r="J348" s="97" t="inlineStr">
        <is>
          <t>Tidak</t>
        </is>
      </c>
    </row>
    <row r="349" ht="15.75" customHeight="1" s="95">
      <c r="A349" s="97" t="inlineStr">
        <is>
          <t>anonymus0348</t>
        </is>
      </c>
      <c r="B349" s="97" t="inlineStr">
        <is>
          <t xml:space="preserve">P </t>
        </is>
      </c>
      <c r="C349" s="97" t="inlineStr">
        <is>
          <t>1-34 Bulan</t>
        </is>
      </c>
      <c r="D349" s="97" t="inlineStr">
        <is>
          <t>7.1</t>
        </is>
      </c>
      <c r="E349" s="97" t="n">
        <v>68</v>
      </c>
      <c r="F349" s="97" t="inlineStr">
        <is>
          <t>Normal</t>
        </is>
      </c>
      <c r="G349" s="97" t="inlineStr">
        <is>
          <t>Normal</t>
        </is>
      </c>
      <c r="H349" s="97" t="inlineStr">
        <is>
          <t>Gizi Baik</t>
        </is>
      </c>
      <c r="I349" s="97" t="inlineStr">
        <is>
          <t>Ya</t>
        </is>
      </c>
      <c r="J349" s="97" t="inlineStr">
        <is>
          <t>Tidak</t>
        </is>
      </c>
    </row>
    <row r="350" ht="15.75" customHeight="1" s="95">
      <c r="A350" s="97" t="inlineStr">
        <is>
          <t>anonymus0349</t>
        </is>
      </c>
      <c r="B350" s="97" t="inlineStr">
        <is>
          <t>L</t>
        </is>
      </c>
      <c r="C350" s="97" t="inlineStr">
        <is>
          <t>35-69 Bulan</t>
        </is>
      </c>
      <c r="D350" s="97" t="n">
        <v>10.4</v>
      </c>
      <c r="E350" s="97" t="n">
        <v>82.3</v>
      </c>
      <c r="F350" s="97" t="inlineStr">
        <is>
          <t>Kurang</t>
        </is>
      </c>
      <c r="G350" s="97" t="inlineStr">
        <is>
          <t>Sangat Pendek</t>
        </is>
      </c>
      <c r="H350" s="97" t="inlineStr">
        <is>
          <t>Gizi Baik</t>
        </is>
      </c>
      <c r="I350" s="97" t="inlineStr">
        <is>
          <t>Ya</t>
        </is>
      </c>
      <c r="J350" s="97" t="inlineStr">
        <is>
          <t>Stunting</t>
        </is>
      </c>
    </row>
    <row r="351" ht="15.75" customHeight="1" s="95">
      <c r="A351" s="97" t="inlineStr">
        <is>
          <t>anonymus0350</t>
        </is>
      </c>
      <c r="B351" s="97" t="inlineStr">
        <is>
          <t xml:space="preserve">L </t>
        </is>
      </c>
      <c r="C351" s="97" t="inlineStr">
        <is>
          <t>35-69 Bulan</t>
        </is>
      </c>
      <c r="D351" s="97" t="inlineStr">
        <is>
          <t>13.6</t>
        </is>
      </c>
      <c r="E351" s="97" t="n">
        <v>98</v>
      </c>
      <c r="F351" s="97" t="inlineStr">
        <is>
          <t>Normal</t>
        </is>
      </c>
      <c r="G351" s="97" t="inlineStr">
        <is>
          <t>Normal</t>
        </is>
      </c>
      <c r="H351" s="97" t="inlineStr">
        <is>
          <t>Gizi Baik</t>
        </is>
      </c>
      <c r="I351" s="97" t="inlineStr">
        <is>
          <t>Ya</t>
        </is>
      </c>
      <c r="J351" s="97" t="inlineStr">
        <is>
          <t>Tidak</t>
        </is>
      </c>
    </row>
    <row r="352" ht="15.75" customHeight="1" s="95">
      <c r="A352" s="97" t="inlineStr">
        <is>
          <t>anonymus0351</t>
        </is>
      </c>
      <c r="B352" s="97" t="inlineStr">
        <is>
          <t xml:space="preserve">L </t>
        </is>
      </c>
      <c r="C352" s="97" t="inlineStr">
        <is>
          <t>1-34 Bulan</t>
        </is>
      </c>
      <c r="D352" s="97" t="inlineStr">
        <is>
          <t>14.2</t>
        </is>
      </c>
      <c r="E352" s="97" t="n">
        <v>94</v>
      </c>
      <c r="F352" s="97" t="inlineStr">
        <is>
          <t>Normal</t>
        </is>
      </c>
      <c r="G352" s="97" t="inlineStr">
        <is>
          <t>Normal</t>
        </is>
      </c>
      <c r="H352" s="97" t="inlineStr">
        <is>
          <t>Gizi Baik</t>
        </is>
      </c>
      <c r="I352" s="97" t="inlineStr">
        <is>
          <t>Ya</t>
        </is>
      </c>
      <c r="J352" s="97" t="inlineStr">
        <is>
          <t>Tidak</t>
        </is>
      </c>
    </row>
    <row r="353" ht="15.75" customHeight="1" s="95">
      <c r="A353" s="97" t="inlineStr">
        <is>
          <t>anonymus0352</t>
        </is>
      </c>
      <c r="B353" s="97" t="inlineStr">
        <is>
          <t>L</t>
        </is>
      </c>
      <c r="C353" s="97" t="inlineStr">
        <is>
          <t>35-69 Bulan</t>
        </is>
      </c>
      <c r="D353" s="97" t="n">
        <v>9.800000000000001</v>
      </c>
      <c r="E353" s="97" t="n">
        <v>83</v>
      </c>
      <c r="F353" s="97" t="inlineStr">
        <is>
          <t>Kurang</t>
        </is>
      </c>
      <c r="G353" s="97" t="inlineStr">
        <is>
          <t>Pendek</t>
        </is>
      </c>
      <c r="H353" s="97" t="inlineStr">
        <is>
          <t>Gizi Baik</t>
        </is>
      </c>
      <c r="I353" s="97" t="inlineStr">
        <is>
          <t>Ya</t>
        </is>
      </c>
      <c r="J353" s="97" t="inlineStr">
        <is>
          <t>Potensi Stunting</t>
        </is>
      </c>
    </row>
    <row r="354" ht="15.75" customHeight="1" s="95">
      <c r="A354" s="97" t="inlineStr">
        <is>
          <t>anonymus0353</t>
        </is>
      </c>
      <c r="B354" s="97" t="inlineStr">
        <is>
          <t>L</t>
        </is>
      </c>
      <c r="C354" s="97" t="inlineStr">
        <is>
          <t>35-69 Bulan</t>
        </is>
      </c>
      <c r="D354" s="97" t="n">
        <v>13</v>
      </c>
      <c r="E354" s="97" t="n">
        <v>101</v>
      </c>
      <c r="F354" s="97" t="inlineStr">
        <is>
          <t>Normal</t>
        </is>
      </c>
      <c r="G354" s="97" t="inlineStr">
        <is>
          <t>Normal</t>
        </is>
      </c>
      <c r="H354" s="97" t="inlineStr">
        <is>
          <t>Gizi Kurang</t>
        </is>
      </c>
      <c r="I354" s="97" t="inlineStr">
        <is>
          <t>Ya</t>
        </is>
      </c>
      <c r="J354" s="97" t="inlineStr">
        <is>
          <t>Tidak</t>
        </is>
      </c>
    </row>
    <row r="355" ht="15.75" customHeight="1" s="95">
      <c r="A355" s="97" t="inlineStr">
        <is>
          <t>anonymus0354</t>
        </is>
      </c>
      <c r="B355" s="97" t="inlineStr">
        <is>
          <t>L</t>
        </is>
      </c>
      <c r="C355" s="97" t="inlineStr">
        <is>
          <t>35-69 Bulan</t>
        </is>
      </c>
      <c r="D355" s="97" t="n">
        <v>10.5</v>
      </c>
      <c r="E355" s="97" t="n">
        <v>91.2</v>
      </c>
      <c r="F355" s="97" t="inlineStr">
        <is>
          <t>Sangat Kurang</t>
        </is>
      </c>
      <c r="G355" s="97" t="inlineStr">
        <is>
          <t>Pendek</t>
        </is>
      </c>
      <c r="H355" s="97" t="inlineStr">
        <is>
          <t>Gizi Kurang</t>
        </is>
      </c>
      <c r="I355" s="97" t="inlineStr">
        <is>
          <t>Ya</t>
        </is>
      </c>
      <c r="J355" s="97" t="inlineStr">
        <is>
          <t>Potensi Stunting</t>
        </is>
      </c>
    </row>
    <row r="356" ht="15.75" customHeight="1" s="95">
      <c r="A356" s="97" t="inlineStr">
        <is>
          <t>anonymus0355</t>
        </is>
      </c>
      <c r="B356" s="97" t="inlineStr">
        <is>
          <t xml:space="preserve">P </t>
        </is>
      </c>
      <c r="C356" s="97" t="inlineStr">
        <is>
          <t>1-34 Bulan</t>
        </is>
      </c>
      <c r="D356" s="97" t="inlineStr">
        <is>
          <t>11.1</t>
        </is>
      </c>
      <c r="E356" s="97" t="n">
        <v>79</v>
      </c>
      <c r="F356" s="97" t="inlineStr">
        <is>
          <t>Normal</t>
        </is>
      </c>
      <c r="G356" s="97" t="inlineStr">
        <is>
          <t>Normal</t>
        </is>
      </c>
      <c r="H356" s="97" t="inlineStr">
        <is>
          <t>Risiko Gizi Lebih</t>
        </is>
      </c>
      <c r="I356" s="97" t="inlineStr">
        <is>
          <t>Ya</t>
        </is>
      </c>
      <c r="J356" s="97" t="inlineStr">
        <is>
          <t>Tidak</t>
        </is>
      </c>
    </row>
    <row r="357" ht="15.75" customHeight="1" s="95">
      <c r="A357" s="97" t="inlineStr">
        <is>
          <t>anonymus0356</t>
        </is>
      </c>
      <c r="B357" s="97" t="inlineStr">
        <is>
          <t xml:space="preserve">L </t>
        </is>
      </c>
      <c r="C357" s="97" t="inlineStr">
        <is>
          <t>35-69 Bulan</t>
        </is>
      </c>
      <c r="D357" s="97" t="n">
        <v>16</v>
      </c>
      <c r="E357" s="97" t="n">
        <v>100</v>
      </c>
      <c r="F357" s="97" t="inlineStr">
        <is>
          <t>Normal</t>
        </is>
      </c>
      <c r="G357" s="97" t="inlineStr">
        <is>
          <t>Normal</t>
        </is>
      </c>
      <c r="H357" s="97" t="inlineStr">
        <is>
          <t>Gizi Baik</t>
        </is>
      </c>
      <c r="I357" s="97" t="inlineStr">
        <is>
          <t>Ya</t>
        </is>
      </c>
      <c r="J357" s="97" t="inlineStr">
        <is>
          <t>Tidak</t>
        </is>
      </c>
    </row>
    <row r="358" ht="15.75" customHeight="1" s="95">
      <c r="A358" s="97" t="inlineStr">
        <is>
          <t>anonymus0357</t>
        </is>
      </c>
      <c r="B358" s="97" t="inlineStr">
        <is>
          <t>P</t>
        </is>
      </c>
      <c r="C358" s="97" t="inlineStr">
        <is>
          <t>35-69 Bulan</t>
        </is>
      </c>
      <c r="D358" s="97" t="n">
        <v>12.6</v>
      </c>
      <c r="E358" s="97" t="n">
        <v>103</v>
      </c>
      <c r="F358" s="97" t="inlineStr">
        <is>
          <t>Normal</t>
        </is>
      </c>
      <c r="G358" s="97" t="inlineStr">
        <is>
          <t>Normal</t>
        </is>
      </c>
      <c r="H358" s="97" t="inlineStr">
        <is>
          <t>Gizi Baik</t>
        </is>
      </c>
      <c r="I358" s="97" t="inlineStr">
        <is>
          <t>Ya</t>
        </is>
      </c>
      <c r="J358" s="97" t="inlineStr">
        <is>
          <t>Tidak</t>
        </is>
      </c>
    </row>
    <row r="359" ht="15.75" customHeight="1" s="95">
      <c r="A359" s="97" t="inlineStr">
        <is>
          <t>anonymus0358</t>
        </is>
      </c>
      <c r="B359" s="97" t="inlineStr">
        <is>
          <t xml:space="preserve">P </t>
        </is>
      </c>
      <c r="C359" s="97" t="inlineStr">
        <is>
          <t>1-34 Bulan</t>
        </is>
      </c>
      <c r="D359" s="97" t="inlineStr">
        <is>
          <t>9.1</t>
        </is>
      </c>
      <c r="E359" s="97" t="n">
        <v>79</v>
      </c>
      <c r="F359" s="97" t="inlineStr">
        <is>
          <t>Normal</t>
        </is>
      </c>
      <c r="G359" s="97" t="inlineStr">
        <is>
          <t>Normal</t>
        </is>
      </c>
      <c r="H359" s="97" t="inlineStr">
        <is>
          <t>Gizi Baik</t>
        </is>
      </c>
      <c r="I359" s="97" t="inlineStr">
        <is>
          <t>Ya</t>
        </is>
      </c>
      <c r="J359" s="97" t="inlineStr">
        <is>
          <t>Tidak</t>
        </is>
      </c>
    </row>
    <row r="360" ht="15.75" customHeight="1" s="95">
      <c r="A360" s="97" t="inlineStr">
        <is>
          <t>anonymus0359</t>
        </is>
      </c>
      <c r="B360" s="97" t="inlineStr">
        <is>
          <t xml:space="preserve">L </t>
        </is>
      </c>
      <c r="C360" s="97" t="inlineStr">
        <is>
          <t>35-69 Bulan</t>
        </is>
      </c>
      <c r="D360" s="97" t="inlineStr">
        <is>
          <t>19.6</t>
        </is>
      </c>
      <c r="E360" s="97" t="n">
        <v>105</v>
      </c>
      <c r="F360" s="97" t="inlineStr">
        <is>
          <t>Risiko Lebih</t>
        </is>
      </c>
      <c r="G360" s="97" t="inlineStr">
        <is>
          <t>Normal</t>
        </is>
      </c>
      <c r="H360" s="97" t="inlineStr">
        <is>
          <t>Risiko Gizi Lebih</t>
        </is>
      </c>
      <c r="I360" s="97" t="inlineStr">
        <is>
          <t>Ya</t>
        </is>
      </c>
      <c r="J360" s="97" t="inlineStr">
        <is>
          <t>Tidak</t>
        </is>
      </c>
    </row>
    <row r="361" ht="15.75" customHeight="1" s="95">
      <c r="A361" s="97" t="inlineStr">
        <is>
          <t>anonymus0360</t>
        </is>
      </c>
      <c r="B361" s="97" t="inlineStr">
        <is>
          <t xml:space="preserve">L </t>
        </is>
      </c>
      <c r="C361" s="97" t="inlineStr">
        <is>
          <t>1-34 Bulan</t>
        </is>
      </c>
      <c r="D361" s="97" t="inlineStr">
        <is>
          <t>9.8</t>
        </is>
      </c>
      <c r="E361" s="97" t="n">
        <v>78</v>
      </c>
      <c r="F361" s="97" t="inlineStr">
        <is>
          <t>Normal</t>
        </is>
      </c>
      <c r="G361" s="97" t="inlineStr">
        <is>
          <t>Normal</t>
        </is>
      </c>
      <c r="H361" s="97" t="inlineStr">
        <is>
          <t>Gizi Baik</t>
        </is>
      </c>
      <c r="I361" s="97" t="inlineStr">
        <is>
          <t>Ya</t>
        </is>
      </c>
      <c r="J361" s="97" t="inlineStr">
        <is>
          <t>Tidak</t>
        </is>
      </c>
    </row>
    <row r="362" ht="15.75" customHeight="1" s="95">
      <c r="A362" s="97" t="inlineStr">
        <is>
          <t>anonymus0361</t>
        </is>
      </c>
      <c r="B362" s="97" t="inlineStr">
        <is>
          <t xml:space="preserve">P </t>
        </is>
      </c>
      <c r="C362" s="97" t="inlineStr">
        <is>
          <t>1-34 Bulan</t>
        </is>
      </c>
      <c r="D362" s="97" t="inlineStr">
        <is>
          <t>8.2</t>
        </is>
      </c>
      <c r="E362" s="97" t="n">
        <v>78</v>
      </c>
      <c r="F362" s="97" t="inlineStr">
        <is>
          <t>Normal</t>
        </is>
      </c>
      <c r="G362" s="97" t="inlineStr">
        <is>
          <t>Normal</t>
        </is>
      </c>
      <c r="H362" s="97" t="inlineStr">
        <is>
          <t>Gizi Baik</t>
        </is>
      </c>
      <c r="I362" s="97" t="inlineStr">
        <is>
          <t>Ya</t>
        </is>
      </c>
      <c r="J362" s="97" t="inlineStr">
        <is>
          <t>Tidak</t>
        </is>
      </c>
    </row>
    <row r="363" ht="15.75" customHeight="1" s="95">
      <c r="A363" s="97" t="inlineStr">
        <is>
          <t>anonymus0362</t>
        </is>
      </c>
      <c r="B363" s="97" t="inlineStr">
        <is>
          <t xml:space="preserve">P </t>
        </is>
      </c>
      <c r="C363" s="97" t="inlineStr">
        <is>
          <t>1-34 Bulan</t>
        </is>
      </c>
      <c r="D363" s="97" t="inlineStr">
        <is>
          <t>8.3</t>
        </is>
      </c>
      <c r="E363" s="97" t="n">
        <v>61</v>
      </c>
      <c r="F363" s="97" t="inlineStr">
        <is>
          <t>Risiko Lebih</t>
        </is>
      </c>
      <c r="G363" s="97" t="inlineStr">
        <is>
          <t>Normal</t>
        </is>
      </c>
      <c r="H363" s="97" t="inlineStr">
        <is>
          <t>Obesitas</t>
        </is>
      </c>
      <c r="I363" s="97" t="inlineStr">
        <is>
          <t>Ya</t>
        </is>
      </c>
      <c r="J363" s="97" t="inlineStr">
        <is>
          <t>Tidak</t>
        </is>
      </c>
    </row>
    <row r="364" ht="15.75" customHeight="1" s="95">
      <c r="A364" s="97" t="inlineStr">
        <is>
          <t>anonymus0363</t>
        </is>
      </c>
      <c r="B364" s="97" t="inlineStr">
        <is>
          <t>P</t>
        </is>
      </c>
      <c r="C364" s="97" t="inlineStr">
        <is>
          <t>1-34 Bulan</t>
        </is>
      </c>
      <c r="D364" s="97" t="n">
        <v>10.8</v>
      </c>
      <c r="E364" s="97" t="n">
        <v>77</v>
      </c>
      <c r="F364" s="97" t="inlineStr">
        <is>
          <t>Normal</t>
        </is>
      </c>
      <c r="G364" s="97" t="inlineStr">
        <is>
          <t>Normal</t>
        </is>
      </c>
      <c r="H364" s="97" t="inlineStr">
        <is>
          <t>Gizi Baik</t>
        </is>
      </c>
      <c r="I364" s="97" t="inlineStr">
        <is>
          <t>Ya</t>
        </is>
      </c>
      <c r="J364" s="97" t="inlineStr">
        <is>
          <t>Tidak</t>
        </is>
      </c>
    </row>
    <row r="365" ht="15.75" customHeight="1" s="95">
      <c r="A365" s="97" t="inlineStr">
        <is>
          <t>anonymus0364</t>
        </is>
      </c>
      <c r="B365" s="97" t="inlineStr">
        <is>
          <t xml:space="preserve">P </t>
        </is>
      </c>
      <c r="C365" s="97" t="inlineStr">
        <is>
          <t>35-69 Bulan</t>
        </is>
      </c>
      <c r="D365" s="97" t="n">
        <v>16</v>
      </c>
      <c r="E365" s="97" t="n">
        <v>100</v>
      </c>
      <c r="F365" s="97" t="inlineStr">
        <is>
          <t>Normal</t>
        </is>
      </c>
      <c r="G365" s="97" t="inlineStr">
        <is>
          <t>Normal</t>
        </is>
      </c>
      <c r="H365" s="97" t="inlineStr">
        <is>
          <t>Gizi Baik</t>
        </is>
      </c>
      <c r="I365" s="97" t="inlineStr">
        <is>
          <t>Ya</t>
        </is>
      </c>
      <c r="J365" s="97" t="inlineStr">
        <is>
          <t>Tidak</t>
        </is>
      </c>
    </row>
    <row r="366" ht="15.75" customHeight="1" s="95">
      <c r="A366" s="97" t="inlineStr">
        <is>
          <t>anonymus0365</t>
        </is>
      </c>
      <c r="B366" s="97" t="inlineStr">
        <is>
          <t>L</t>
        </is>
      </c>
      <c r="C366" s="97" t="inlineStr">
        <is>
          <t>35-69 Bulan</t>
        </is>
      </c>
      <c r="D366" s="97" t="n">
        <v>10.7</v>
      </c>
      <c r="E366" s="97" t="n">
        <v>110</v>
      </c>
      <c r="F366" s="97" t="inlineStr">
        <is>
          <t>Normal</t>
        </is>
      </c>
      <c r="G366" s="97" t="inlineStr">
        <is>
          <t>Normal</t>
        </is>
      </c>
      <c r="H366" s="97" t="inlineStr">
        <is>
          <t>Gizi Baik</t>
        </is>
      </c>
      <c r="I366" s="97" t="inlineStr">
        <is>
          <t>Ya</t>
        </is>
      </c>
      <c r="J366" s="97" t="inlineStr">
        <is>
          <t>Tidak</t>
        </is>
      </c>
    </row>
    <row r="367" ht="15.75" customHeight="1" s="95">
      <c r="A367" s="97" t="inlineStr">
        <is>
          <t>anonymus0366</t>
        </is>
      </c>
      <c r="B367" s="97" t="inlineStr">
        <is>
          <t>P</t>
        </is>
      </c>
      <c r="C367" s="97" t="inlineStr">
        <is>
          <t>35-69 Bulan</t>
        </is>
      </c>
      <c r="D367" s="97" t="n">
        <v>8.800000000000001</v>
      </c>
      <c r="E367" s="97" t="n">
        <v>75</v>
      </c>
      <c r="F367" s="97" t="inlineStr">
        <is>
          <t>Kurang</t>
        </is>
      </c>
      <c r="G367" s="97" t="inlineStr">
        <is>
          <t>Sangat Pendek</t>
        </is>
      </c>
      <c r="H367" s="97" t="inlineStr">
        <is>
          <t>Gizi Baik</t>
        </is>
      </c>
      <c r="I367" s="97" t="inlineStr">
        <is>
          <t>Ya</t>
        </is>
      </c>
      <c r="J367" s="97" t="inlineStr">
        <is>
          <t>Stunting</t>
        </is>
      </c>
    </row>
    <row r="368" ht="15.75" customHeight="1" s="95">
      <c r="A368" s="97" t="inlineStr">
        <is>
          <t>anonymus0367</t>
        </is>
      </c>
      <c r="B368" s="97" t="inlineStr">
        <is>
          <t xml:space="preserve">L </t>
        </is>
      </c>
      <c r="C368" s="97" t="inlineStr">
        <is>
          <t>1-34 Bulan</t>
        </is>
      </c>
      <c r="D368" s="97" t="inlineStr">
        <is>
          <t>12.4</t>
        </is>
      </c>
      <c r="E368" s="97" t="n">
        <v>88</v>
      </c>
      <c r="F368" s="97" t="inlineStr">
        <is>
          <t>Normal</t>
        </is>
      </c>
      <c r="G368" s="97" t="inlineStr">
        <is>
          <t>Normal</t>
        </is>
      </c>
      <c r="H368" s="97" t="inlineStr">
        <is>
          <t>Gizi Baik</t>
        </is>
      </c>
      <c r="I368" s="97" t="inlineStr">
        <is>
          <t>Ya</t>
        </is>
      </c>
      <c r="J368" s="97" t="inlineStr">
        <is>
          <t>Tidak</t>
        </is>
      </c>
    </row>
    <row r="369" ht="15.75" customHeight="1" s="95">
      <c r="A369" s="97" t="inlineStr">
        <is>
          <t>anonymus0368</t>
        </is>
      </c>
      <c r="B369" s="97" t="inlineStr">
        <is>
          <t>L</t>
        </is>
      </c>
      <c r="C369" s="97" t="inlineStr">
        <is>
          <t>1-34 Bulan</t>
        </is>
      </c>
      <c r="D369" s="97" t="n">
        <v>13.6</v>
      </c>
      <c r="E369" s="97" t="n">
        <v>80</v>
      </c>
      <c r="F369" s="97" t="inlineStr">
        <is>
          <t>Normal</t>
        </is>
      </c>
      <c r="G369" s="97" t="inlineStr">
        <is>
          <t>Normal</t>
        </is>
      </c>
      <c r="H369" s="97" t="inlineStr">
        <is>
          <t>Gizi Baik</t>
        </is>
      </c>
      <c r="I369" s="97" t="inlineStr">
        <is>
          <t>Ya</t>
        </is>
      </c>
      <c r="J369" s="97" t="inlineStr">
        <is>
          <t>Tidak</t>
        </is>
      </c>
    </row>
    <row r="370" ht="15.75" customHeight="1" s="95">
      <c r="A370" s="97" t="inlineStr">
        <is>
          <t>anonymus0369</t>
        </is>
      </c>
      <c r="B370" s="97" t="inlineStr">
        <is>
          <t>P</t>
        </is>
      </c>
      <c r="C370" s="97" t="inlineStr">
        <is>
          <t>35-69 Bulan</t>
        </is>
      </c>
      <c r="D370" s="97" t="n">
        <v>12</v>
      </c>
      <c r="E370" s="97" t="n">
        <v>97</v>
      </c>
      <c r="F370" s="97" t="inlineStr">
        <is>
          <t>Normal</t>
        </is>
      </c>
      <c r="G370" s="97" t="inlineStr">
        <is>
          <t>Normal</t>
        </is>
      </c>
      <c r="H370" s="97" t="inlineStr">
        <is>
          <t>Gizi Kurang</t>
        </is>
      </c>
      <c r="I370" s="97" t="inlineStr">
        <is>
          <t>Ya</t>
        </is>
      </c>
      <c r="J370" s="97" t="inlineStr">
        <is>
          <t>Tidak</t>
        </is>
      </c>
    </row>
    <row r="371" ht="15.75" customHeight="1" s="95">
      <c r="A371" s="97" t="inlineStr">
        <is>
          <t>anonymus0370</t>
        </is>
      </c>
      <c r="B371" s="97" t="inlineStr">
        <is>
          <t>P</t>
        </is>
      </c>
      <c r="C371" s="97" t="inlineStr">
        <is>
          <t>1-34 Bulan</t>
        </is>
      </c>
      <c r="D371" s="97" t="n">
        <v>8.6</v>
      </c>
      <c r="E371" s="97" t="n">
        <v>90</v>
      </c>
      <c r="F371" s="97" t="inlineStr">
        <is>
          <t>Kurang</t>
        </is>
      </c>
      <c r="G371" s="97" t="inlineStr">
        <is>
          <t>Normal</t>
        </is>
      </c>
      <c r="H371" s="97" t="inlineStr">
        <is>
          <t>Gizi Kurang</t>
        </is>
      </c>
      <c r="I371" s="97" t="inlineStr">
        <is>
          <t>Ya</t>
        </is>
      </c>
      <c r="J371" s="97" t="inlineStr">
        <is>
          <t>Tidak</t>
        </is>
      </c>
    </row>
    <row r="372" ht="15.75" customHeight="1" s="95">
      <c r="A372" s="97" t="inlineStr">
        <is>
          <t>anonymus0371</t>
        </is>
      </c>
      <c r="B372" s="97" t="inlineStr">
        <is>
          <t>P</t>
        </is>
      </c>
      <c r="C372" s="97" t="inlineStr">
        <is>
          <t>35-69 Bulan</t>
        </is>
      </c>
      <c r="D372" s="97" t="n">
        <v>13.2</v>
      </c>
      <c r="E372" s="97" t="n">
        <v>87</v>
      </c>
      <c r="F372" s="97" t="inlineStr">
        <is>
          <t>Normal</t>
        </is>
      </c>
      <c r="G372" s="97" t="inlineStr">
        <is>
          <t>Sangat Pendek</t>
        </is>
      </c>
      <c r="H372" s="97" t="inlineStr">
        <is>
          <t>Gizi Baik</t>
        </is>
      </c>
      <c r="I372" s="97" t="inlineStr">
        <is>
          <t>Ya</t>
        </is>
      </c>
      <c r="J372" s="97" t="inlineStr">
        <is>
          <t>Stunting</t>
        </is>
      </c>
    </row>
    <row r="373" ht="15.75" customHeight="1" s="95">
      <c r="A373" s="97" t="inlineStr">
        <is>
          <t>anonymus0372</t>
        </is>
      </c>
      <c r="B373" s="97" t="inlineStr">
        <is>
          <t>P</t>
        </is>
      </c>
      <c r="C373" s="97" t="inlineStr">
        <is>
          <t>35-69 Bulan</t>
        </is>
      </c>
      <c r="D373" s="97" t="n">
        <v>13</v>
      </c>
      <c r="E373" s="97" t="n">
        <v>113</v>
      </c>
      <c r="F373" s="97" t="inlineStr">
        <is>
          <t>Normal</t>
        </is>
      </c>
      <c r="G373" s="97" t="inlineStr">
        <is>
          <t>Normal</t>
        </is>
      </c>
      <c r="H373" s="97" t="inlineStr">
        <is>
          <t>Gizi Baik</t>
        </is>
      </c>
      <c r="I373" s="97" t="inlineStr">
        <is>
          <t>Ya</t>
        </is>
      </c>
      <c r="J373" s="97" t="inlineStr">
        <is>
          <t>Tidak</t>
        </is>
      </c>
    </row>
    <row r="374" ht="15.75" customHeight="1" s="95">
      <c r="A374" s="97" t="inlineStr">
        <is>
          <t>anonymus0373</t>
        </is>
      </c>
      <c r="B374" s="97" t="inlineStr">
        <is>
          <t>L</t>
        </is>
      </c>
      <c r="C374" s="97" t="inlineStr">
        <is>
          <t>35-69 Bulan</t>
        </is>
      </c>
      <c r="D374" s="97" t="n">
        <v>9.199999999999999</v>
      </c>
      <c r="E374" s="97" t="n">
        <v>79.5</v>
      </c>
      <c r="F374" s="97" t="inlineStr">
        <is>
          <t>Kurang</t>
        </is>
      </c>
      <c r="G374" s="97" t="inlineStr">
        <is>
          <t>Pendek</t>
        </is>
      </c>
      <c r="H374" s="97" t="inlineStr">
        <is>
          <t>Gizi Baik</t>
        </is>
      </c>
      <c r="I374" s="97" t="inlineStr">
        <is>
          <t>Ya</t>
        </is>
      </c>
      <c r="J374" s="97" t="inlineStr">
        <is>
          <t>Potensi Stunting</t>
        </is>
      </c>
    </row>
    <row r="375" ht="15.75" customHeight="1" s="95">
      <c r="A375" s="97" t="inlineStr">
        <is>
          <t>anonymus0374</t>
        </is>
      </c>
      <c r="B375" s="97" t="inlineStr">
        <is>
          <t>P</t>
        </is>
      </c>
      <c r="C375" s="97" t="inlineStr">
        <is>
          <t>35-69 Bulan</t>
        </is>
      </c>
      <c r="D375" s="97" t="n">
        <v>11.5</v>
      </c>
      <c r="E375" s="97" t="n">
        <v>96</v>
      </c>
      <c r="F375" s="97" t="inlineStr">
        <is>
          <t>Kurang</t>
        </is>
      </c>
      <c r="G375" s="97" t="inlineStr">
        <is>
          <t>Normal</t>
        </is>
      </c>
      <c r="H375" s="97" t="inlineStr">
        <is>
          <t>Gizi Kurang</t>
        </is>
      </c>
      <c r="I375" s="97" t="inlineStr">
        <is>
          <t>Ya</t>
        </is>
      </c>
      <c r="J375" s="97" t="inlineStr">
        <is>
          <t>Tidak</t>
        </is>
      </c>
    </row>
    <row r="376" ht="15.75" customHeight="1" s="95">
      <c r="A376" s="97" t="inlineStr">
        <is>
          <t>anonymus0375</t>
        </is>
      </c>
      <c r="B376" s="97" t="inlineStr">
        <is>
          <t>P</t>
        </is>
      </c>
      <c r="C376" s="97" t="inlineStr">
        <is>
          <t>35-69 Bulan</t>
        </is>
      </c>
      <c r="D376" s="97" t="n">
        <v>9.9</v>
      </c>
      <c r="E376" s="97" t="n">
        <v>86.5</v>
      </c>
      <c r="F376" s="97" t="inlineStr">
        <is>
          <t>Sangat Kurang</t>
        </is>
      </c>
      <c r="G376" s="97" t="inlineStr">
        <is>
          <t>Pendek</t>
        </is>
      </c>
      <c r="H376" s="97" t="inlineStr">
        <is>
          <t>Gizi Kurang</t>
        </is>
      </c>
      <c r="I376" s="97" t="inlineStr">
        <is>
          <t>Ya</t>
        </is>
      </c>
      <c r="J376" s="97" t="inlineStr">
        <is>
          <t>Potensi Stunting</t>
        </is>
      </c>
    </row>
    <row r="377" ht="15.75" customHeight="1" s="95">
      <c r="A377" s="97" t="inlineStr">
        <is>
          <t>anonymus0376</t>
        </is>
      </c>
      <c r="B377" s="97" t="inlineStr">
        <is>
          <t>L</t>
        </is>
      </c>
      <c r="C377" s="97" t="inlineStr">
        <is>
          <t>35-69 Bulan</t>
        </is>
      </c>
      <c r="D377" s="97" t="n">
        <v>15.4</v>
      </c>
      <c r="E377" s="97" t="n">
        <v>105</v>
      </c>
      <c r="F377" s="97" t="inlineStr">
        <is>
          <t>Normal</t>
        </is>
      </c>
      <c r="G377" s="97" t="inlineStr">
        <is>
          <t>Normal</t>
        </is>
      </c>
      <c r="H377" s="97" t="inlineStr">
        <is>
          <t>Gizi Baik</t>
        </is>
      </c>
      <c r="I377" s="97" t="inlineStr">
        <is>
          <t>Ya</t>
        </is>
      </c>
      <c r="J377" s="97" t="inlineStr">
        <is>
          <t>Tidak</t>
        </is>
      </c>
    </row>
    <row r="378" ht="15.75" customHeight="1" s="95">
      <c r="A378" s="97" t="inlineStr">
        <is>
          <t>anonymus0377</t>
        </is>
      </c>
      <c r="B378" s="97" t="inlineStr">
        <is>
          <t>L</t>
        </is>
      </c>
      <c r="C378" s="97" t="inlineStr">
        <is>
          <t>35-69 Bulan</t>
        </is>
      </c>
      <c r="D378" s="97" t="n">
        <v>8.800000000000001</v>
      </c>
      <c r="E378" s="97" t="n">
        <v>76.5</v>
      </c>
      <c r="F378" s="97" t="inlineStr">
        <is>
          <t>Sangat Kurang</t>
        </is>
      </c>
      <c r="G378" s="97" t="inlineStr">
        <is>
          <t>Sangat Pendek</t>
        </is>
      </c>
      <c r="H378" s="97" t="inlineStr">
        <is>
          <t>Gizi Baik</t>
        </is>
      </c>
      <c r="I378" s="97" t="inlineStr">
        <is>
          <t>Ya</t>
        </is>
      </c>
      <c r="J378" s="97" t="inlineStr">
        <is>
          <t>Stunting</t>
        </is>
      </c>
    </row>
    <row r="379" ht="15.75" customHeight="1" s="95">
      <c r="A379" s="97" t="inlineStr">
        <is>
          <t>anonymus0378</t>
        </is>
      </c>
      <c r="B379" s="97" t="inlineStr">
        <is>
          <t xml:space="preserve">L </t>
        </is>
      </c>
      <c r="C379" s="97" t="inlineStr">
        <is>
          <t>1-34 Bulan</t>
        </is>
      </c>
      <c r="D379" s="97" t="inlineStr">
        <is>
          <t>13.8</t>
        </is>
      </c>
      <c r="E379" s="97" t="n">
        <v>78</v>
      </c>
      <c r="F379" s="97" t="inlineStr">
        <is>
          <t>Risiko Lebih</t>
        </is>
      </c>
      <c r="G379" s="97" t="inlineStr">
        <is>
          <t>Normal</t>
        </is>
      </c>
      <c r="H379" s="97" t="inlineStr">
        <is>
          <t>Obesitas</t>
        </is>
      </c>
      <c r="I379" s="97" t="inlineStr">
        <is>
          <t>Ya</t>
        </is>
      </c>
      <c r="J379" s="97" t="inlineStr">
        <is>
          <t>Tidak</t>
        </is>
      </c>
    </row>
    <row r="380" ht="15.75" customHeight="1" s="95">
      <c r="A380" s="97" t="inlineStr">
        <is>
          <t>anonymus0379</t>
        </is>
      </c>
      <c r="B380" s="97" t="inlineStr">
        <is>
          <t xml:space="preserve">L </t>
        </is>
      </c>
      <c r="C380" s="97" t="inlineStr">
        <is>
          <t>1-34 Bulan</t>
        </is>
      </c>
      <c r="D380" s="97" t="inlineStr">
        <is>
          <t>7.8</t>
        </is>
      </c>
      <c r="E380" s="97" t="inlineStr">
        <is>
          <t>70.5</t>
        </is>
      </c>
      <c r="F380" s="97" t="inlineStr">
        <is>
          <t>Normal</t>
        </is>
      </c>
      <c r="G380" s="97" t="inlineStr">
        <is>
          <t>Normal</t>
        </is>
      </c>
      <c r="H380" s="97" t="inlineStr">
        <is>
          <t>Gizi Baik</t>
        </is>
      </c>
      <c r="I380" s="97" t="inlineStr">
        <is>
          <t>Ya</t>
        </is>
      </c>
      <c r="J380" s="97" t="inlineStr">
        <is>
          <t>Tidak</t>
        </is>
      </c>
    </row>
    <row r="381" ht="15.75" customHeight="1" s="95">
      <c r="A381" s="97" t="inlineStr">
        <is>
          <t>anonymus0380</t>
        </is>
      </c>
      <c r="B381" s="97" t="inlineStr">
        <is>
          <t>L</t>
        </is>
      </c>
      <c r="C381" s="97" t="inlineStr">
        <is>
          <t>1-34 Bulan</t>
        </is>
      </c>
      <c r="D381" s="97" t="n">
        <v>8.199999999999999</v>
      </c>
      <c r="E381" s="97" t="n">
        <v>76</v>
      </c>
      <c r="F381" s="97" t="inlineStr">
        <is>
          <t>Normal</t>
        </is>
      </c>
      <c r="G381" s="97" t="inlineStr">
        <is>
          <t>Normal</t>
        </is>
      </c>
      <c r="H381" s="97" t="inlineStr">
        <is>
          <t>Gizi Kurang</t>
        </is>
      </c>
      <c r="I381" s="97" t="inlineStr">
        <is>
          <t>Ya</t>
        </is>
      </c>
      <c r="J381" s="97" t="inlineStr">
        <is>
          <t>Tidak</t>
        </is>
      </c>
    </row>
    <row r="382" ht="15.75" customHeight="1" s="95">
      <c r="A382" s="97" t="inlineStr">
        <is>
          <t>anonymus0381</t>
        </is>
      </c>
      <c r="B382" s="97" t="inlineStr">
        <is>
          <t>P</t>
        </is>
      </c>
      <c r="C382" s="97" t="inlineStr">
        <is>
          <t>35-69 Bulan</t>
        </is>
      </c>
      <c r="D382" s="97" t="n">
        <v>12.4</v>
      </c>
      <c r="E382" s="97" t="n">
        <v>110</v>
      </c>
      <c r="F382" s="97" t="inlineStr">
        <is>
          <t>Normal</t>
        </is>
      </c>
      <c r="G382" s="97" t="inlineStr">
        <is>
          <t>Normal</t>
        </is>
      </c>
      <c r="H382" s="97" t="inlineStr">
        <is>
          <t>Gizi Baik</t>
        </is>
      </c>
      <c r="I382" s="97" t="inlineStr">
        <is>
          <t>Ya</t>
        </is>
      </c>
      <c r="J382" s="97" t="inlineStr">
        <is>
          <t>Tidak</t>
        </is>
      </c>
    </row>
    <row r="383" ht="15.75" customHeight="1" s="95">
      <c r="A383" s="97" t="inlineStr">
        <is>
          <t>anonymus0382</t>
        </is>
      </c>
      <c r="B383" s="97" t="inlineStr">
        <is>
          <t>L</t>
        </is>
      </c>
      <c r="C383" s="97" t="inlineStr">
        <is>
          <t>35-69 Bulan</t>
        </is>
      </c>
      <c r="D383" s="97" t="n">
        <v>13.3</v>
      </c>
      <c r="E383" s="97" t="n">
        <v>92</v>
      </c>
      <c r="F383" s="97" t="inlineStr">
        <is>
          <t>Normal</t>
        </is>
      </c>
      <c r="G383" s="97" t="inlineStr">
        <is>
          <t>Normal</t>
        </is>
      </c>
      <c r="H383" s="97" t="inlineStr">
        <is>
          <t>Gizi Baik</t>
        </is>
      </c>
      <c r="I383" s="97" t="inlineStr">
        <is>
          <t>Ya</t>
        </is>
      </c>
      <c r="J383" s="97" t="inlineStr">
        <is>
          <t>Tidak</t>
        </is>
      </c>
    </row>
    <row r="384" ht="15.75" customHeight="1" s="95">
      <c r="A384" s="97" t="inlineStr">
        <is>
          <t>anonymus0383</t>
        </is>
      </c>
      <c r="B384" s="97" t="inlineStr">
        <is>
          <t xml:space="preserve">P </t>
        </is>
      </c>
      <c r="C384" s="97" t="inlineStr">
        <is>
          <t>1-34 Bulan</t>
        </is>
      </c>
      <c r="D384" s="97" t="inlineStr">
        <is>
          <t>13.6</t>
        </is>
      </c>
      <c r="E384" s="97" t="n">
        <v>91</v>
      </c>
      <c r="F384" s="97" t="inlineStr">
        <is>
          <t>Normal</t>
        </is>
      </c>
      <c r="G384" s="97" t="inlineStr">
        <is>
          <t>Normal</t>
        </is>
      </c>
      <c r="H384" s="97" t="inlineStr">
        <is>
          <t>Gizi Baik</t>
        </is>
      </c>
      <c r="I384" s="97" t="inlineStr">
        <is>
          <t>Ya</t>
        </is>
      </c>
      <c r="J384" s="97" t="inlineStr">
        <is>
          <t>Tidak</t>
        </is>
      </c>
    </row>
    <row r="385" ht="15.75" customHeight="1" s="95">
      <c r="A385" s="97" t="inlineStr">
        <is>
          <t>anonymus0384</t>
        </is>
      </c>
      <c r="B385" s="97" t="inlineStr">
        <is>
          <t xml:space="preserve">P </t>
        </is>
      </c>
      <c r="C385" s="97" t="inlineStr">
        <is>
          <t>35-69 Bulan</t>
        </is>
      </c>
      <c r="D385" s="97" t="inlineStr">
        <is>
          <t>16.5</t>
        </is>
      </c>
      <c r="E385" s="97" t="n">
        <v>105</v>
      </c>
      <c r="F385" s="97" t="inlineStr">
        <is>
          <t>Normal</t>
        </is>
      </c>
      <c r="G385" s="97" t="inlineStr">
        <is>
          <t>Normal</t>
        </is>
      </c>
      <c r="H385" s="97" t="inlineStr">
        <is>
          <t>Gizi Baik</t>
        </is>
      </c>
      <c r="I385" s="97" t="inlineStr">
        <is>
          <t>Ya</t>
        </is>
      </c>
      <c r="J385" s="97" t="inlineStr">
        <is>
          <t>Tidak</t>
        </is>
      </c>
    </row>
    <row r="386" ht="15.75" customHeight="1" s="95">
      <c r="A386" s="97" t="inlineStr">
        <is>
          <t>anonymus0385</t>
        </is>
      </c>
      <c r="B386" s="97" t="inlineStr">
        <is>
          <t>L</t>
        </is>
      </c>
      <c r="C386" s="97" t="inlineStr">
        <is>
          <t>35-69 Bulan</t>
        </is>
      </c>
      <c r="D386" s="97" t="n">
        <v>19.9</v>
      </c>
      <c r="E386" s="97" t="n">
        <v>104</v>
      </c>
      <c r="F386" s="97" t="inlineStr">
        <is>
          <t>Risiko Lebih</t>
        </is>
      </c>
      <c r="G386" s="97" t="inlineStr">
        <is>
          <t>Normal</t>
        </is>
      </c>
      <c r="H386" s="97" t="inlineStr">
        <is>
          <t>Gizi Lebih</t>
        </is>
      </c>
      <c r="I386" s="97" t="inlineStr">
        <is>
          <t>Ya</t>
        </is>
      </c>
      <c r="J386" s="97" t="inlineStr">
        <is>
          <t>Tidak</t>
        </is>
      </c>
    </row>
    <row r="387" ht="15.75" customHeight="1" s="95">
      <c r="A387" s="97" t="inlineStr">
        <is>
          <t>anonymus0386</t>
        </is>
      </c>
      <c r="B387" s="97" t="inlineStr">
        <is>
          <t>P</t>
        </is>
      </c>
      <c r="C387" s="97" t="inlineStr">
        <is>
          <t>35-69 Bulan</t>
        </is>
      </c>
      <c r="D387" s="97" t="n">
        <v>13</v>
      </c>
      <c r="E387" s="97" t="n">
        <v>118</v>
      </c>
      <c r="F387" s="97" t="inlineStr">
        <is>
          <t>Normal</t>
        </is>
      </c>
      <c r="G387" s="97" t="inlineStr">
        <is>
          <t>Normal</t>
        </is>
      </c>
      <c r="H387" s="97" t="inlineStr">
        <is>
          <t>Gizi Baik</t>
        </is>
      </c>
      <c r="I387" s="97" t="inlineStr">
        <is>
          <t>Ya</t>
        </is>
      </c>
      <c r="J387" s="97" t="inlineStr">
        <is>
          <t>Tidak</t>
        </is>
      </c>
    </row>
    <row r="388" ht="15.75" customHeight="1" s="95">
      <c r="A388" s="97" t="inlineStr">
        <is>
          <t>anonymus0387</t>
        </is>
      </c>
      <c r="B388" s="97" t="inlineStr">
        <is>
          <t>L</t>
        </is>
      </c>
      <c r="C388" s="97" t="inlineStr">
        <is>
          <t>35-69 Bulan</t>
        </is>
      </c>
      <c r="D388" s="97" t="n">
        <v>10</v>
      </c>
      <c r="E388" s="97" t="n">
        <v>100</v>
      </c>
      <c r="F388" s="97" t="inlineStr">
        <is>
          <t>Normal</t>
        </is>
      </c>
      <c r="G388" s="97" t="inlineStr">
        <is>
          <t>Normal</t>
        </is>
      </c>
      <c r="H388" s="97" t="inlineStr">
        <is>
          <t>Gizi Baik</t>
        </is>
      </c>
      <c r="I388" s="97" t="inlineStr">
        <is>
          <t>Ya</t>
        </is>
      </c>
      <c r="J388" s="97" t="inlineStr">
        <is>
          <t>Tidak</t>
        </is>
      </c>
    </row>
    <row r="389" ht="15.75" customHeight="1" s="95">
      <c r="A389" s="97" t="inlineStr">
        <is>
          <t>anonymus0388</t>
        </is>
      </c>
      <c r="B389" s="97" t="inlineStr">
        <is>
          <t>P</t>
        </is>
      </c>
      <c r="C389" s="97" t="inlineStr">
        <is>
          <t>35-69 Bulan</t>
        </is>
      </c>
      <c r="D389" s="97" t="n">
        <v>13.3</v>
      </c>
      <c r="E389" s="97" t="n">
        <v>112</v>
      </c>
      <c r="F389" s="97" t="inlineStr">
        <is>
          <t>Normal</t>
        </is>
      </c>
      <c r="G389" s="97" t="inlineStr">
        <is>
          <t>Normal</t>
        </is>
      </c>
      <c r="H389" s="97" t="inlineStr">
        <is>
          <t>Gizi Baik</t>
        </is>
      </c>
      <c r="I389" s="97" t="inlineStr">
        <is>
          <t>Ya</t>
        </is>
      </c>
      <c r="J389" s="97" t="inlineStr">
        <is>
          <t>Tidak</t>
        </is>
      </c>
    </row>
    <row r="390" ht="15.75" customHeight="1" s="95">
      <c r="A390" s="97" t="inlineStr">
        <is>
          <t>anonymus0389</t>
        </is>
      </c>
      <c r="B390" s="97" t="inlineStr">
        <is>
          <t>L</t>
        </is>
      </c>
      <c r="C390" s="97" t="inlineStr">
        <is>
          <t>1-34 Bulan</t>
        </is>
      </c>
      <c r="D390" s="97" t="n">
        <v>7.05</v>
      </c>
      <c r="E390" s="97" t="n">
        <v>71</v>
      </c>
      <c r="F390" s="97" t="inlineStr">
        <is>
          <t>Kurang</t>
        </is>
      </c>
      <c r="G390" s="97" t="inlineStr">
        <is>
          <t>Normal</t>
        </is>
      </c>
      <c r="H390" s="97" t="inlineStr">
        <is>
          <t>Gizi Kurang</t>
        </is>
      </c>
      <c r="I390" s="97" t="inlineStr">
        <is>
          <t>Ya</t>
        </is>
      </c>
      <c r="J390" s="97" t="inlineStr">
        <is>
          <t>Tidak</t>
        </is>
      </c>
    </row>
    <row r="391" ht="15.75" customHeight="1" s="95">
      <c r="A391" s="97" t="inlineStr">
        <is>
          <t>anonymus0390</t>
        </is>
      </c>
      <c r="B391" s="97" t="inlineStr">
        <is>
          <t>P</t>
        </is>
      </c>
      <c r="C391" s="97" t="inlineStr">
        <is>
          <t>35-69 Bulan</t>
        </is>
      </c>
      <c r="D391" s="97" t="n">
        <v>10.1</v>
      </c>
      <c r="E391" s="97" t="n">
        <v>104</v>
      </c>
      <c r="F391" s="97" t="inlineStr">
        <is>
          <t>Normal</t>
        </is>
      </c>
      <c r="G391" s="97" t="inlineStr">
        <is>
          <t>Normal</t>
        </is>
      </c>
      <c r="H391" s="97" t="inlineStr">
        <is>
          <t>Gizi Baik</t>
        </is>
      </c>
      <c r="I391" s="97" t="inlineStr">
        <is>
          <t>Ya</t>
        </is>
      </c>
      <c r="J391" s="97" t="inlineStr">
        <is>
          <t>Tidak</t>
        </is>
      </c>
    </row>
    <row r="392" ht="15.75" customHeight="1" s="95">
      <c r="A392" s="97" t="inlineStr">
        <is>
          <t>anonymus0391</t>
        </is>
      </c>
      <c r="B392" s="97" t="inlineStr">
        <is>
          <t>L</t>
        </is>
      </c>
      <c r="C392" s="97" t="inlineStr">
        <is>
          <t>35-69 Bulan</t>
        </is>
      </c>
      <c r="D392" s="97" t="n">
        <v>10.7</v>
      </c>
      <c r="E392" s="97" t="n">
        <v>101</v>
      </c>
      <c r="F392" s="97" t="inlineStr">
        <is>
          <t>Normal</t>
        </is>
      </c>
      <c r="G392" s="97" t="inlineStr">
        <is>
          <t>Normal</t>
        </is>
      </c>
      <c r="H392" s="97" t="inlineStr">
        <is>
          <t>Gizi Baik</t>
        </is>
      </c>
      <c r="I392" s="97" t="inlineStr">
        <is>
          <t>Ya</t>
        </is>
      </c>
      <c r="J392" s="97" t="inlineStr">
        <is>
          <t>Tidak</t>
        </is>
      </c>
    </row>
    <row r="393" ht="15.75" customHeight="1" s="95">
      <c r="A393" s="97" t="inlineStr">
        <is>
          <t>anonymus0392</t>
        </is>
      </c>
      <c r="B393" s="97" t="inlineStr">
        <is>
          <t>L</t>
        </is>
      </c>
      <c r="C393" s="97" t="inlineStr">
        <is>
          <t>1-34 Bulan</t>
        </is>
      </c>
      <c r="D393" s="97" t="n">
        <v>10</v>
      </c>
      <c r="E393" s="97" t="n">
        <v>87</v>
      </c>
      <c r="F393" s="97" t="inlineStr">
        <is>
          <t>Kurang</t>
        </is>
      </c>
      <c r="G393" s="97" t="inlineStr">
        <is>
          <t>Normal</t>
        </is>
      </c>
      <c r="H393" s="97" t="inlineStr">
        <is>
          <t>Gizi Kurang</t>
        </is>
      </c>
      <c r="I393" s="97" t="inlineStr">
        <is>
          <t>Ya</t>
        </is>
      </c>
      <c r="J393" s="97" t="inlineStr">
        <is>
          <t>Tidak</t>
        </is>
      </c>
    </row>
    <row r="394" ht="15.75" customHeight="1" s="95">
      <c r="A394" s="97" t="inlineStr">
        <is>
          <t>anonymus0393</t>
        </is>
      </c>
      <c r="B394" s="97" t="inlineStr">
        <is>
          <t xml:space="preserve">L </t>
        </is>
      </c>
      <c r="C394" s="97" t="inlineStr">
        <is>
          <t>35-69 Bulan</t>
        </is>
      </c>
      <c r="D394" s="97" t="inlineStr">
        <is>
          <t>15.2</t>
        </is>
      </c>
      <c r="E394" s="97" t="n">
        <v>100</v>
      </c>
      <c r="F394" s="97" t="inlineStr">
        <is>
          <t>Normal</t>
        </is>
      </c>
      <c r="G394" s="97" t="inlineStr">
        <is>
          <t>Normal</t>
        </is>
      </c>
      <c r="H394" s="97" t="inlineStr">
        <is>
          <t>Gizi Baik</t>
        </is>
      </c>
      <c r="I394" s="97" t="inlineStr">
        <is>
          <t>Ya</t>
        </is>
      </c>
      <c r="J394" s="97" t="inlineStr">
        <is>
          <t>Tidak</t>
        </is>
      </c>
    </row>
    <row r="395" ht="15.75" customHeight="1" s="95">
      <c r="A395" s="97" t="inlineStr">
        <is>
          <t>anonymus0394</t>
        </is>
      </c>
      <c r="B395" s="97" t="inlineStr">
        <is>
          <t>L</t>
        </is>
      </c>
      <c r="C395" s="97" t="inlineStr">
        <is>
          <t>35-69 Bulan</t>
        </is>
      </c>
      <c r="D395" s="97" t="n">
        <v>10.4</v>
      </c>
      <c r="E395" s="97" t="n">
        <v>98</v>
      </c>
      <c r="F395" s="97" t="inlineStr">
        <is>
          <t>Normal</t>
        </is>
      </c>
      <c r="G395" s="97" t="inlineStr">
        <is>
          <t>Normal</t>
        </is>
      </c>
      <c r="H395" s="97" t="inlineStr">
        <is>
          <t>Gizi Baik</t>
        </is>
      </c>
      <c r="I395" s="97" t="inlineStr">
        <is>
          <t>Ya</t>
        </is>
      </c>
      <c r="J395" s="97" t="inlineStr">
        <is>
          <t>Tidak</t>
        </is>
      </c>
    </row>
    <row r="396" ht="15.75" customHeight="1" s="95">
      <c r="A396" s="97" t="inlineStr">
        <is>
          <t>anonymus0395</t>
        </is>
      </c>
      <c r="B396" s="97" t="inlineStr">
        <is>
          <t>L</t>
        </is>
      </c>
      <c r="C396" s="97" t="inlineStr">
        <is>
          <t>35-69 Bulan</t>
        </is>
      </c>
      <c r="D396" s="97" t="n">
        <v>12.6</v>
      </c>
      <c r="E396" s="97" t="n">
        <v>91.5</v>
      </c>
      <c r="F396" s="97" t="inlineStr">
        <is>
          <t>Normal</t>
        </is>
      </c>
      <c r="G396" s="97" t="inlineStr">
        <is>
          <t>Pendek</t>
        </is>
      </c>
      <c r="H396" s="97" t="inlineStr">
        <is>
          <t>Gizi Baik</t>
        </is>
      </c>
      <c r="I396" s="97" t="inlineStr">
        <is>
          <t>Ya</t>
        </is>
      </c>
      <c r="J396" s="97" t="inlineStr">
        <is>
          <t>Potensi Stunting</t>
        </is>
      </c>
    </row>
    <row r="397" ht="15.75" customHeight="1" s="95">
      <c r="A397" s="97" t="inlineStr">
        <is>
          <t>anonymus0396</t>
        </is>
      </c>
      <c r="B397" s="97" t="inlineStr">
        <is>
          <t>P</t>
        </is>
      </c>
      <c r="C397" s="97" t="inlineStr">
        <is>
          <t>35-69 Bulan</t>
        </is>
      </c>
      <c r="D397" s="97" t="n">
        <v>14.3</v>
      </c>
      <c r="E397" s="97" t="n">
        <v>102</v>
      </c>
      <c r="F397" s="97" t="inlineStr">
        <is>
          <t>Normal</t>
        </is>
      </c>
      <c r="G397" s="97" t="inlineStr">
        <is>
          <t>Normal</t>
        </is>
      </c>
      <c r="H397" s="97" t="inlineStr">
        <is>
          <t>Gizi Baik</t>
        </is>
      </c>
      <c r="I397" s="97" t="inlineStr">
        <is>
          <t>Ya</t>
        </is>
      </c>
      <c r="J397" s="97" t="inlineStr">
        <is>
          <t>Tidak</t>
        </is>
      </c>
    </row>
    <row r="398" ht="15.75" customHeight="1" s="95">
      <c r="A398" s="97" t="inlineStr">
        <is>
          <t>anonymus0397</t>
        </is>
      </c>
      <c r="B398" s="97" t="inlineStr">
        <is>
          <t>L</t>
        </is>
      </c>
      <c r="C398" s="97" t="inlineStr">
        <is>
          <t>1-34 Bulan</t>
        </is>
      </c>
      <c r="D398" s="97" t="n">
        <v>9.35</v>
      </c>
      <c r="E398" s="97" t="n">
        <v>84</v>
      </c>
      <c r="F398" s="97" t="inlineStr">
        <is>
          <t>Normal</t>
        </is>
      </c>
      <c r="G398" s="97" t="inlineStr">
        <is>
          <t>Normal</t>
        </is>
      </c>
      <c r="H398" s="97" t="inlineStr">
        <is>
          <t>Gizi Kurang</t>
        </is>
      </c>
      <c r="I398" s="97" t="inlineStr">
        <is>
          <t>Ya</t>
        </is>
      </c>
      <c r="J398" s="97" t="inlineStr">
        <is>
          <t>Tidak</t>
        </is>
      </c>
    </row>
    <row r="399" ht="15.75" customHeight="1" s="95">
      <c r="A399" s="97" t="inlineStr">
        <is>
          <t>anonymus0398</t>
        </is>
      </c>
      <c r="B399" s="97" t="inlineStr">
        <is>
          <t>L</t>
        </is>
      </c>
      <c r="C399" s="97" t="inlineStr">
        <is>
          <t>35-69 Bulan</t>
        </is>
      </c>
      <c r="D399" s="97" t="n">
        <v>14.4</v>
      </c>
      <c r="E399" s="97" t="n">
        <v>113</v>
      </c>
      <c r="F399" s="97" t="inlineStr">
        <is>
          <t>Normal</t>
        </is>
      </c>
      <c r="G399" s="97" t="inlineStr">
        <is>
          <t>Normal</t>
        </is>
      </c>
      <c r="H399" s="97" t="inlineStr">
        <is>
          <t>Gizi Baik</t>
        </is>
      </c>
      <c r="I399" s="97" t="inlineStr">
        <is>
          <t>Ya</t>
        </is>
      </c>
      <c r="J399" s="97" t="inlineStr">
        <is>
          <t>Tidak</t>
        </is>
      </c>
    </row>
    <row r="400" ht="15.75" customHeight="1" s="95">
      <c r="A400" s="97" t="inlineStr">
        <is>
          <t>anonymus0399</t>
        </is>
      </c>
      <c r="B400" s="97" t="inlineStr">
        <is>
          <t xml:space="preserve">P </t>
        </is>
      </c>
      <c r="C400" s="97" t="inlineStr">
        <is>
          <t>1-34 Bulan</t>
        </is>
      </c>
      <c r="D400" s="97" t="inlineStr">
        <is>
          <t>8.3</t>
        </is>
      </c>
      <c r="E400" s="97" t="n">
        <v>74</v>
      </c>
      <c r="F400" s="97" t="inlineStr">
        <is>
          <t>Normal</t>
        </is>
      </c>
      <c r="G400" s="97" t="inlineStr">
        <is>
          <t>Normal</t>
        </is>
      </c>
      <c r="H400" s="97" t="inlineStr">
        <is>
          <t>Gizi Baik</t>
        </is>
      </c>
      <c r="I400" s="97" t="inlineStr">
        <is>
          <t>Ya</t>
        </is>
      </c>
      <c r="J400" s="97" t="inlineStr">
        <is>
          <t>Tidak</t>
        </is>
      </c>
    </row>
    <row r="401" ht="15.75" customHeight="1" s="95">
      <c r="A401" s="97" t="inlineStr">
        <is>
          <t>anonymus0400</t>
        </is>
      </c>
      <c r="B401" s="97" t="inlineStr">
        <is>
          <t xml:space="preserve">L </t>
        </is>
      </c>
      <c r="C401" s="97" t="inlineStr">
        <is>
          <t>1-34 Bulan</t>
        </is>
      </c>
      <c r="D401" s="97" t="inlineStr">
        <is>
          <t>9.9</t>
        </is>
      </c>
      <c r="E401" s="97" t="n">
        <v>79</v>
      </c>
      <c r="F401" s="97" t="inlineStr">
        <is>
          <t>Normal</t>
        </is>
      </c>
      <c r="G401" s="97" t="inlineStr">
        <is>
          <t>Normal</t>
        </is>
      </c>
      <c r="H401" s="97" t="inlineStr">
        <is>
          <t>Gizi Baik</t>
        </is>
      </c>
      <c r="I401" s="97" t="inlineStr">
        <is>
          <t>Ya</t>
        </is>
      </c>
      <c r="J401" s="97" t="inlineStr">
        <is>
          <t>Tidak</t>
        </is>
      </c>
    </row>
    <row r="402" ht="15.75" customHeight="1" s="95">
      <c r="A402" s="97" t="inlineStr">
        <is>
          <t>anonymus0401</t>
        </is>
      </c>
      <c r="B402" s="97" t="inlineStr">
        <is>
          <t>L</t>
        </is>
      </c>
      <c r="C402" s="97" t="inlineStr">
        <is>
          <t>35-69 Bulan</t>
        </is>
      </c>
      <c r="D402" s="97" t="n">
        <v>8.300000000000001</v>
      </c>
      <c r="E402" s="97" t="n">
        <v>71</v>
      </c>
      <c r="F402" s="97" t="inlineStr">
        <is>
          <t>Normal</t>
        </is>
      </c>
      <c r="G402" s="97" t="inlineStr">
        <is>
          <t>Pendek</t>
        </is>
      </c>
      <c r="H402" s="97" t="inlineStr">
        <is>
          <t>Gizi Baik</t>
        </is>
      </c>
      <c r="I402" s="97" t="inlineStr">
        <is>
          <t>Ya</t>
        </is>
      </c>
      <c r="J402" s="97" t="inlineStr">
        <is>
          <t>Potensi Stunting</t>
        </is>
      </c>
    </row>
    <row r="403" ht="15.75" customHeight="1" s="95">
      <c r="A403" s="97" t="inlineStr">
        <is>
          <t>anonymus0402</t>
        </is>
      </c>
      <c r="B403" s="97" t="inlineStr">
        <is>
          <t>L</t>
        </is>
      </c>
      <c r="C403" s="97" t="inlineStr">
        <is>
          <t>1-34 Bulan</t>
        </is>
      </c>
      <c r="D403" s="97" t="n">
        <v>10.8</v>
      </c>
      <c r="E403" s="97" t="n">
        <v>90</v>
      </c>
      <c r="F403" s="97" t="inlineStr">
        <is>
          <t>Normal</t>
        </is>
      </c>
      <c r="G403" s="97" t="inlineStr">
        <is>
          <t>Normal</t>
        </is>
      </c>
      <c r="H403" s="97" t="inlineStr">
        <is>
          <t>Gizi Kurang</t>
        </is>
      </c>
      <c r="I403" s="97" t="inlineStr">
        <is>
          <t>Ya</t>
        </is>
      </c>
      <c r="J403" s="97" t="inlineStr">
        <is>
          <t>Tidak</t>
        </is>
      </c>
    </row>
    <row r="404" ht="15.75" customHeight="1" s="95">
      <c r="A404" s="97" t="inlineStr">
        <is>
          <t>anonymus0403</t>
        </is>
      </c>
      <c r="B404" s="97" t="inlineStr">
        <is>
          <t xml:space="preserve">L </t>
        </is>
      </c>
      <c r="C404" s="97" t="inlineStr">
        <is>
          <t>1-34 Bulan</t>
        </is>
      </c>
      <c r="D404" s="97" t="inlineStr">
        <is>
          <t>10.2</t>
        </is>
      </c>
      <c r="E404" s="97" t="n">
        <v>79</v>
      </c>
      <c r="F404" s="97" t="inlineStr">
        <is>
          <t>Normal</t>
        </is>
      </c>
      <c r="G404" s="97" t="inlineStr">
        <is>
          <t>Normal</t>
        </is>
      </c>
      <c r="H404" s="97" t="inlineStr">
        <is>
          <t>Gizi Baik</t>
        </is>
      </c>
      <c r="I404" s="97" t="inlineStr">
        <is>
          <t>Ya</t>
        </is>
      </c>
      <c r="J404" s="97" t="inlineStr">
        <is>
          <t>Tidak</t>
        </is>
      </c>
    </row>
    <row r="405" ht="15.75" customHeight="1" s="95">
      <c r="A405" s="97" t="inlineStr">
        <is>
          <t>anonymus0404</t>
        </is>
      </c>
      <c r="B405" s="97" t="inlineStr">
        <is>
          <t xml:space="preserve">P </t>
        </is>
      </c>
      <c r="C405" s="97" t="inlineStr">
        <is>
          <t>35-69 Bulan</t>
        </is>
      </c>
      <c r="D405" s="97" t="inlineStr">
        <is>
          <t>11.9</t>
        </is>
      </c>
      <c r="E405" s="97" t="n">
        <v>96</v>
      </c>
      <c r="F405" s="97" t="inlineStr">
        <is>
          <t>Kurang</t>
        </is>
      </c>
      <c r="G405" s="97" t="inlineStr">
        <is>
          <t>Pendek</t>
        </is>
      </c>
      <c r="H405" s="97" t="inlineStr">
        <is>
          <t>Gizi Baik</t>
        </is>
      </c>
      <c r="I405" s="97" t="inlineStr">
        <is>
          <t>Ya</t>
        </is>
      </c>
      <c r="J405" s="97" t="inlineStr">
        <is>
          <t>Potensi Stunting</t>
        </is>
      </c>
    </row>
    <row r="406" ht="15.75" customHeight="1" s="95">
      <c r="A406" s="97" t="inlineStr">
        <is>
          <t>anonymus0405</t>
        </is>
      </c>
      <c r="B406" s="97" t="inlineStr">
        <is>
          <t>P</t>
        </is>
      </c>
      <c r="C406" s="97" t="inlineStr">
        <is>
          <t>1-34 Bulan</t>
        </is>
      </c>
      <c r="D406" s="97" t="n">
        <v>13.1</v>
      </c>
      <c r="E406" s="97" t="n">
        <v>92</v>
      </c>
      <c r="F406" s="97" t="inlineStr">
        <is>
          <t>Normal</t>
        </is>
      </c>
      <c r="G406" s="97" t="inlineStr">
        <is>
          <t>Normal</t>
        </is>
      </c>
      <c r="H406" s="97" t="inlineStr">
        <is>
          <t>Gizi Baik</t>
        </is>
      </c>
      <c r="I406" s="97" t="inlineStr">
        <is>
          <t>Ya</t>
        </is>
      </c>
      <c r="J406" s="97" t="inlineStr">
        <is>
          <t>Tidak</t>
        </is>
      </c>
    </row>
    <row r="407" ht="15.75" customHeight="1" s="95">
      <c r="A407" s="97" t="inlineStr">
        <is>
          <t>anonymus0406</t>
        </is>
      </c>
      <c r="B407" s="97" t="inlineStr">
        <is>
          <t xml:space="preserve">L </t>
        </is>
      </c>
      <c r="C407" s="97" t="inlineStr">
        <is>
          <t>1-34 Bulan</t>
        </is>
      </c>
      <c r="D407" s="97" t="inlineStr">
        <is>
          <t>12.4</t>
        </is>
      </c>
      <c r="E407" s="97" t="n">
        <v>91</v>
      </c>
      <c r="F407" s="97" t="inlineStr">
        <is>
          <t>Normal</t>
        </is>
      </c>
      <c r="G407" s="97" t="inlineStr">
        <is>
          <t>Normal</t>
        </is>
      </c>
      <c r="H407" s="97" t="inlineStr">
        <is>
          <t>Gizi Baik</t>
        </is>
      </c>
      <c r="I407" s="97" t="inlineStr">
        <is>
          <t>Ya</t>
        </is>
      </c>
      <c r="J407" s="97" t="inlineStr">
        <is>
          <t>Tidak</t>
        </is>
      </c>
    </row>
    <row r="408" ht="15.75" customHeight="1" s="95">
      <c r="A408" s="97" t="inlineStr">
        <is>
          <t>anonymus0407</t>
        </is>
      </c>
      <c r="B408" s="97" t="inlineStr">
        <is>
          <t xml:space="preserve">L </t>
        </is>
      </c>
      <c r="C408" s="97" t="inlineStr">
        <is>
          <t>35-69 Bulan</t>
        </is>
      </c>
      <c r="D408" s="97" t="inlineStr">
        <is>
          <t>17.3</t>
        </is>
      </c>
      <c r="E408" s="97" t="n">
        <v>104</v>
      </c>
      <c r="F408" s="97" t="inlineStr">
        <is>
          <t>Normal</t>
        </is>
      </c>
      <c r="G408" s="97" t="inlineStr">
        <is>
          <t>Normal</t>
        </is>
      </c>
      <c r="H408" s="97" t="inlineStr">
        <is>
          <t>Gizi Baik</t>
        </is>
      </c>
      <c r="I408" s="97" t="inlineStr">
        <is>
          <t>Ya</t>
        </is>
      </c>
      <c r="J408" s="97" t="inlineStr">
        <is>
          <t>Tidak</t>
        </is>
      </c>
    </row>
    <row r="409" ht="15.75" customHeight="1" s="95">
      <c r="A409" s="97" t="inlineStr">
        <is>
          <t>anonymus0408</t>
        </is>
      </c>
      <c r="B409" s="97" t="inlineStr">
        <is>
          <t xml:space="preserve">P </t>
        </is>
      </c>
      <c r="C409" s="97" t="inlineStr">
        <is>
          <t>35-69 Bulan</t>
        </is>
      </c>
      <c r="D409" s="97" t="inlineStr">
        <is>
          <t>13.3</t>
        </is>
      </c>
      <c r="E409" s="97" t="n">
        <v>99</v>
      </c>
      <c r="F409" s="97" t="inlineStr">
        <is>
          <t>Normal</t>
        </is>
      </c>
      <c r="G409" s="97" t="inlineStr">
        <is>
          <t>Normal</t>
        </is>
      </c>
      <c r="H409" s="97" t="inlineStr">
        <is>
          <t>Gizi Baik</t>
        </is>
      </c>
      <c r="I409" s="97" t="inlineStr">
        <is>
          <t>Ya</t>
        </is>
      </c>
      <c r="J409" s="97" t="inlineStr">
        <is>
          <t>Tidak</t>
        </is>
      </c>
    </row>
    <row r="410" ht="15.75" customHeight="1" s="95">
      <c r="A410" s="97" t="inlineStr">
        <is>
          <t>anonymus0409</t>
        </is>
      </c>
      <c r="B410" s="97" t="inlineStr">
        <is>
          <t>L</t>
        </is>
      </c>
      <c r="C410" s="97" t="inlineStr">
        <is>
          <t>35-69 Bulan</t>
        </is>
      </c>
      <c r="D410" s="97" t="n">
        <v>11.3</v>
      </c>
      <c r="E410" s="97" t="n">
        <v>84</v>
      </c>
      <c r="F410" s="97" t="inlineStr">
        <is>
          <t>Normal</t>
        </is>
      </c>
      <c r="G410" s="97" t="inlineStr">
        <is>
          <t>Pendek</t>
        </is>
      </c>
      <c r="H410" s="97" t="inlineStr">
        <is>
          <t>Gizi Baik</t>
        </is>
      </c>
      <c r="I410" s="97" t="inlineStr">
        <is>
          <t>Ya</t>
        </is>
      </c>
      <c r="J410" s="97" t="inlineStr">
        <is>
          <t>Potensi Stunting</t>
        </is>
      </c>
    </row>
    <row r="411" ht="15.75" customHeight="1" s="95">
      <c r="A411" s="97" t="inlineStr">
        <is>
          <t>anonymus0410</t>
        </is>
      </c>
      <c r="B411" s="97" t="inlineStr">
        <is>
          <t>L</t>
        </is>
      </c>
      <c r="C411" s="97" t="inlineStr">
        <is>
          <t>35-69 Bulan</t>
        </is>
      </c>
      <c r="D411" s="97" t="n">
        <v>16.9</v>
      </c>
      <c r="E411" s="97" t="n">
        <v>111</v>
      </c>
      <c r="F411" s="97" t="inlineStr">
        <is>
          <t>Normal</t>
        </is>
      </c>
      <c r="G411" s="97" t="inlineStr">
        <is>
          <t>Normal</t>
        </is>
      </c>
      <c r="H411" s="97" t="inlineStr">
        <is>
          <t>Gizi Baik</t>
        </is>
      </c>
      <c r="I411" s="97" t="inlineStr">
        <is>
          <t>Ya</t>
        </is>
      </c>
      <c r="J411" s="97" t="inlineStr">
        <is>
          <t>Tidak</t>
        </is>
      </c>
    </row>
    <row r="412" ht="15.75" customHeight="1" s="95">
      <c r="A412" s="97" t="inlineStr">
        <is>
          <t>anonymus0411</t>
        </is>
      </c>
      <c r="B412" s="97" t="inlineStr">
        <is>
          <t>L</t>
        </is>
      </c>
      <c r="C412" s="97" t="inlineStr">
        <is>
          <t>1-34 Bulan</t>
        </is>
      </c>
      <c r="D412" s="97" t="n">
        <v>9.800000000000001</v>
      </c>
      <c r="E412" s="97" t="n">
        <v>94</v>
      </c>
      <c r="F412" s="97" t="inlineStr">
        <is>
          <t>Normal</t>
        </is>
      </c>
      <c r="G412" s="97" t="inlineStr">
        <is>
          <t>Normal</t>
        </is>
      </c>
      <c r="H412" s="97" t="inlineStr">
        <is>
          <t>Gizi Baik</t>
        </is>
      </c>
      <c r="I412" s="97" t="inlineStr">
        <is>
          <t>Ya</t>
        </is>
      </c>
      <c r="J412" s="97" t="inlineStr">
        <is>
          <t>Tidak</t>
        </is>
      </c>
    </row>
    <row r="413" ht="15.75" customHeight="1" s="95">
      <c r="A413" s="97" t="inlineStr">
        <is>
          <t>anonymus0412</t>
        </is>
      </c>
      <c r="B413" s="97" t="inlineStr">
        <is>
          <t xml:space="preserve">P </t>
        </is>
      </c>
      <c r="C413" s="97" t="inlineStr">
        <is>
          <t>35-69 Bulan</t>
        </is>
      </c>
      <c r="D413" s="97" t="inlineStr">
        <is>
          <t>14.1</t>
        </is>
      </c>
      <c r="E413" s="97" t="n">
        <v>100</v>
      </c>
      <c r="F413" s="97" t="inlineStr">
        <is>
          <t>Normal</t>
        </is>
      </c>
      <c r="G413" s="97" t="inlineStr">
        <is>
          <t>Normal</t>
        </is>
      </c>
      <c r="H413" s="97" t="inlineStr">
        <is>
          <t>Gizi Baik</t>
        </is>
      </c>
      <c r="I413" s="97" t="inlineStr">
        <is>
          <t>Ya</t>
        </is>
      </c>
      <c r="J413" s="97" t="inlineStr">
        <is>
          <t>Tidak</t>
        </is>
      </c>
    </row>
    <row r="414" ht="15.75" customHeight="1" s="95">
      <c r="A414" s="97" t="inlineStr">
        <is>
          <t>anonymus0413</t>
        </is>
      </c>
      <c r="B414" s="97" t="inlineStr">
        <is>
          <t>P</t>
        </is>
      </c>
      <c r="C414" s="97" t="inlineStr">
        <is>
          <t>1-34 Bulan</t>
        </is>
      </c>
      <c r="D414" s="97" t="n">
        <v>11.7</v>
      </c>
      <c r="E414" s="97" t="n">
        <v>87</v>
      </c>
      <c r="F414" s="97" t="inlineStr">
        <is>
          <t>Normal</t>
        </is>
      </c>
      <c r="G414" s="97" t="inlineStr">
        <is>
          <t>Normal</t>
        </is>
      </c>
      <c r="H414" s="97" t="inlineStr">
        <is>
          <t>Gizi Baik</t>
        </is>
      </c>
      <c r="I414" s="97" t="inlineStr">
        <is>
          <t>Ya</t>
        </is>
      </c>
      <c r="J414" s="97" t="inlineStr">
        <is>
          <t>Tidak</t>
        </is>
      </c>
    </row>
    <row r="415" ht="15.75" customHeight="1" s="95">
      <c r="A415" s="97" t="inlineStr">
        <is>
          <t>anonymus0414</t>
        </is>
      </c>
      <c r="B415" s="97" t="inlineStr">
        <is>
          <t xml:space="preserve">L </t>
        </is>
      </c>
      <c r="C415" s="97" t="inlineStr">
        <is>
          <t>35-69 Bulan</t>
        </is>
      </c>
      <c r="D415" s="97" t="inlineStr">
        <is>
          <t>13.5</t>
        </is>
      </c>
      <c r="E415" s="97" t="n">
        <v>97</v>
      </c>
      <c r="F415" s="97" t="inlineStr">
        <is>
          <t>Normal</t>
        </is>
      </c>
      <c r="G415" s="97" t="inlineStr">
        <is>
          <t>Normal</t>
        </is>
      </c>
      <c r="H415" s="97" t="inlineStr">
        <is>
          <t>Gizi Baik</t>
        </is>
      </c>
      <c r="I415" s="97" t="inlineStr">
        <is>
          <t>Ya</t>
        </is>
      </c>
      <c r="J415" s="97" t="inlineStr">
        <is>
          <t>Tidak</t>
        </is>
      </c>
    </row>
    <row r="416" ht="15.75" customHeight="1" s="95">
      <c r="A416" s="97" t="inlineStr">
        <is>
          <t>anonymus0415</t>
        </is>
      </c>
      <c r="B416" s="97" t="inlineStr">
        <is>
          <t>L</t>
        </is>
      </c>
      <c r="C416" s="97" t="inlineStr">
        <is>
          <t>35-69 Bulan</t>
        </is>
      </c>
      <c r="D416" s="97" t="n">
        <v>10.4</v>
      </c>
      <c r="E416" s="97" t="n">
        <v>100</v>
      </c>
      <c r="F416" s="97" t="inlineStr">
        <is>
          <t>Normal</t>
        </is>
      </c>
      <c r="G416" s="97" t="inlineStr">
        <is>
          <t>Normal</t>
        </is>
      </c>
      <c r="H416" s="97" t="inlineStr">
        <is>
          <t>Gizi Baik</t>
        </is>
      </c>
      <c r="I416" s="97" t="inlineStr">
        <is>
          <t>Ya</t>
        </is>
      </c>
      <c r="J416" s="97" t="inlineStr">
        <is>
          <t>Tidak</t>
        </is>
      </c>
    </row>
    <row r="417" ht="15.75" customHeight="1" s="95">
      <c r="A417" s="97" t="inlineStr">
        <is>
          <t>anonymus0416</t>
        </is>
      </c>
      <c r="B417" s="97" t="inlineStr">
        <is>
          <t>L</t>
        </is>
      </c>
      <c r="C417" s="97" t="inlineStr">
        <is>
          <t>1-34 Bulan</t>
        </is>
      </c>
      <c r="D417" s="97" t="n">
        <v>2.3</v>
      </c>
      <c r="E417" s="97" t="n">
        <v>47</v>
      </c>
      <c r="F417" s="97" t="inlineStr">
        <is>
          <t>Kurang</t>
        </is>
      </c>
      <c r="G417" s="97" t="inlineStr">
        <is>
          <t>Normal</t>
        </is>
      </c>
      <c r="H417" s="97" t="inlineStr">
        <is>
          <t>Gizi Kurang</t>
        </is>
      </c>
      <c r="I417" s="97" t="inlineStr">
        <is>
          <t>Ya</t>
        </is>
      </c>
      <c r="J417" s="97" t="inlineStr">
        <is>
          <t>Tidak</t>
        </is>
      </c>
    </row>
    <row r="418" ht="15.75" customHeight="1" s="95">
      <c r="A418" s="97" t="inlineStr">
        <is>
          <t>anonymus0417</t>
        </is>
      </c>
      <c r="B418" s="97" t="inlineStr">
        <is>
          <t xml:space="preserve">L </t>
        </is>
      </c>
      <c r="C418" s="97" t="inlineStr">
        <is>
          <t>1-34 Bulan</t>
        </is>
      </c>
      <c r="D418" s="97" t="n">
        <v>12</v>
      </c>
      <c r="E418" s="97" t="n">
        <v>86</v>
      </c>
      <c r="F418" s="97" t="inlineStr">
        <is>
          <t>Normal</t>
        </is>
      </c>
      <c r="G418" s="97" t="inlineStr">
        <is>
          <t>Normal</t>
        </is>
      </c>
      <c r="H418" s="97" t="inlineStr">
        <is>
          <t>Gizi Baik</t>
        </is>
      </c>
      <c r="I418" s="97" t="inlineStr">
        <is>
          <t>Ya</t>
        </is>
      </c>
      <c r="J418" s="97" t="inlineStr">
        <is>
          <t>Tidak</t>
        </is>
      </c>
    </row>
    <row r="419" ht="15.75" customHeight="1" s="95">
      <c r="A419" s="97" t="inlineStr">
        <is>
          <t>anonymus0418</t>
        </is>
      </c>
      <c r="B419" s="97" t="inlineStr">
        <is>
          <t>P</t>
        </is>
      </c>
      <c r="C419" s="97" t="inlineStr">
        <is>
          <t>35-69 Bulan</t>
        </is>
      </c>
      <c r="D419" s="97" t="n">
        <v>10.2</v>
      </c>
      <c r="E419" s="97" t="n">
        <v>85</v>
      </c>
      <c r="F419" s="97" t="inlineStr">
        <is>
          <t>Kurang</t>
        </is>
      </c>
      <c r="G419" s="97" t="inlineStr">
        <is>
          <t>Pendek</t>
        </is>
      </c>
      <c r="H419" s="97" t="inlineStr">
        <is>
          <t>Gizi Baik</t>
        </is>
      </c>
      <c r="I419" s="97" t="inlineStr">
        <is>
          <t>Ya</t>
        </is>
      </c>
      <c r="J419" s="97" t="inlineStr">
        <is>
          <t>Potensi Stunting</t>
        </is>
      </c>
    </row>
    <row r="420" ht="15.75" customHeight="1" s="95">
      <c r="A420" s="97" t="inlineStr">
        <is>
          <t>anonymus0419</t>
        </is>
      </c>
      <c r="B420" s="97" t="inlineStr">
        <is>
          <t>P</t>
        </is>
      </c>
      <c r="C420" s="97" t="inlineStr">
        <is>
          <t>1-34 Bulan</t>
        </is>
      </c>
      <c r="D420" s="97" t="n">
        <v>13.3</v>
      </c>
      <c r="E420" s="97" t="n">
        <v>96</v>
      </c>
      <c r="F420" s="97" t="inlineStr">
        <is>
          <t>Normal</t>
        </is>
      </c>
      <c r="G420" s="97" t="inlineStr">
        <is>
          <t>Normal</t>
        </is>
      </c>
      <c r="H420" s="97" t="inlineStr">
        <is>
          <t>Gizi Baik</t>
        </is>
      </c>
      <c r="I420" s="97" t="inlineStr">
        <is>
          <t>Ya</t>
        </is>
      </c>
      <c r="J420" s="97" t="inlineStr">
        <is>
          <t>Tidak</t>
        </is>
      </c>
    </row>
    <row r="421" ht="15.75" customHeight="1" s="95">
      <c r="A421" s="97" t="inlineStr">
        <is>
          <t>anonymus0420</t>
        </is>
      </c>
      <c r="B421" s="97" t="inlineStr">
        <is>
          <t>L</t>
        </is>
      </c>
      <c r="C421" s="97" t="inlineStr">
        <is>
          <t>1-34 Bulan</t>
        </is>
      </c>
      <c r="D421" s="97" t="n">
        <v>7.2</v>
      </c>
      <c r="E421" s="97" t="n">
        <v>88</v>
      </c>
      <c r="F421" s="97" t="inlineStr">
        <is>
          <t>Kurang</t>
        </is>
      </c>
      <c r="G421" s="97" t="inlineStr">
        <is>
          <t>Normal</t>
        </is>
      </c>
      <c r="H421" s="97" t="inlineStr">
        <is>
          <t>Gizi Kurang</t>
        </is>
      </c>
      <c r="I421" s="97" t="inlineStr">
        <is>
          <t>Ya</t>
        </is>
      </c>
      <c r="J421" s="97" t="inlineStr">
        <is>
          <t>Tidak</t>
        </is>
      </c>
    </row>
    <row r="422" ht="15.75" customHeight="1" s="95">
      <c r="A422" s="97" t="inlineStr">
        <is>
          <t>anonymus0421</t>
        </is>
      </c>
      <c r="B422" s="97" t="inlineStr">
        <is>
          <t>P</t>
        </is>
      </c>
      <c r="C422" s="97" t="inlineStr">
        <is>
          <t>35-69 Bulan</t>
        </is>
      </c>
      <c r="D422" s="97" t="n">
        <v>14.3</v>
      </c>
      <c r="E422" s="97" t="n">
        <v>103</v>
      </c>
      <c r="F422" s="97" t="inlineStr">
        <is>
          <t>Normal</t>
        </is>
      </c>
      <c r="G422" s="97" t="inlineStr">
        <is>
          <t>Normal</t>
        </is>
      </c>
      <c r="H422" s="97" t="inlineStr">
        <is>
          <t>Gizi Baik</t>
        </is>
      </c>
      <c r="I422" s="97" t="inlineStr">
        <is>
          <t>Ya</t>
        </is>
      </c>
      <c r="J422" s="97" t="inlineStr">
        <is>
          <t>Tidak</t>
        </is>
      </c>
    </row>
    <row r="423" ht="15.75" customHeight="1" s="95">
      <c r="A423" s="97" t="inlineStr">
        <is>
          <t>anonymus0422</t>
        </is>
      </c>
      <c r="B423" s="97" t="inlineStr">
        <is>
          <t>P</t>
        </is>
      </c>
      <c r="C423" s="97" t="inlineStr">
        <is>
          <t>35-69 Bulan</t>
        </is>
      </c>
      <c r="D423" s="97" t="n">
        <v>13.6</v>
      </c>
      <c r="E423" s="97" t="n">
        <v>103.4</v>
      </c>
      <c r="F423" s="97" t="inlineStr">
        <is>
          <t>Normal</t>
        </is>
      </c>
      <c r="G423" s="97" t="inlineStr">
        <is>
          <t>Normal</t>
        </is>
      </c>
      <c r="H423" s="97" t="inlineStr">
        <is>
          <t>Gizi Kurang</t>
        </is>
      </c>
      <c r="I423" s="97" t="inlineStr">
        <is>
          <t>Ya</t>
        </is>
      </c>
      <c r="J423" s="97" t="inlineStr">
        <is>
          <t>Tidak</t>
        </is>
      </c>
    </row>
    <row r="424" ht="15.75" customHeight="1" s="95">
      <c r="A424" s="97" t="inlineStr">
        <is>
          <t>anonymus0423</t>
        </is>
      </c>
      <c r="B424" s="97" t="inlineStr">
        <is>
          <t>L</t>
        </is>
      </c>
      <c r="C424" s="97" t="inlineStr">
        <is>
          <t>35-69 Bulan</t>
        </is>
      </c>
      <c r="D424" s="97" t="n">
        <v>10.7</v>
      </c>
      <c r="E424" s="97" t="n">
        <v>76</v>
      </c>
      <c r="F424" s="97" t="inlineStr">
        <is>
          <t>Normal</t>
        </is>
      </c>
      <c r="G424" s="97" t="inlineStr">
        <is>
          <t>Sangat Pendek</t>
        </is>
      </c>
      <c r="H424" s="97" t="inlineStr">
        <is>
          <t>Risiko Gizi Lebih</t>
        </is>
      </c>
      <c r="I424" s="97" t="inlineStr">
        <is>
          <t>Ya</t>
        </is>
      </c>
      <c r="J424" s="97" t="inlineStr">
        <is>
          <t>Stunting</t>
        </is>
      </c>
    </row>
    <row r="425" ht="15.75" customHeight="1" s="95">
      <c r="A425" s="97" t="inlineStr">
        <is>
          <t>anonymus0424</t>
        </is>
      </c>
      <c r="B425" s="97" t="inlineStr">
        <is>
          <t>L</t>
        </is>
      </c>
      <c r="C425" s="97" t="inlineStr">
        <is>
          <t>35-69 Bulan</t>
        </is>
      </c>
      <c r="D425" s="97" t="n">
        <v>12.4</v>
      </c>
      <c r="E425" s="97" t="n">
        <v>100</v>
      </c>
      <c r="F425" s="97" t="inlineStr">
        <is>
          <t>Kurang</t>
        </is>
      </c>
      <c r="G425" s="97" t="inlineStr">
        <is>
          <t>Normal</t>
        </is>
      </c>
      <c r="H425" s="97" t="inlineStr">
        <is>
          <t>Gizi Kurang</t>
        </is>
      </c>
      <c r="I425" s="97" t="inlineStr">
        <is>
          <t>Ya</t>
        </is>
      </c>
      <c r="J425" s="97" t="inlineStr">
        <is>
          <t>Tidak</t>
        </is>
      </c>
    </row>
    <row r="426" ht="15.75" customHeight="1" s="95">
      <c r="A426" s="97" t="inlineStr">
        <is>
          <t>anonymus0425</t>
        </is>
      </c>
      <c r="B426" s="97" t="inlineStr">
        <is>
          <t>P</t>
        </is>
      </c>
      <c r="C426" s="97" t="inlineStr">
        <is>
          <t>35-69 Bulan</t>
        </is>
      </c>
      <c r="D426" s="97" t="n">
        <v>13.8</v>
      </c>
      <c r="E426" s="97" t="n">
        <v>107</v>
      </c>
      <c r="F426" s="97" t="inlineStr">
        <is>
          <t>Normal</t>
        </is>
      </c>
      <c r="G426" s="97" t="inlineStr">
        <is>
          <t>Normal</t>
        </is>
      </c>
      <c r="H426" s="97" t="inlineStr">
        <is>
          <t>Gizi Baik</t>
        </is>
      </c>
      <c r="I426" s="97" t="inlineStr">
        <is>
          <t>Ya</t>
        </is>
      </c>
      <c r="J426" s="97" t="inlineStr">
        <is>
          <t>Tidak</t>
        </is>
      </c>
    </row>
    <row r="427" ht="15.75" customHeight="1" s="95">
      <c r="A427" s="97" t="inlineStr">
        <is>
          <t>anonymus0426</t>
        </is>
      </c>
      <c r="B427" s="97" t="inlineStr">
        <is>
          <t>P</t>
        </is>
      </c>
      <c r="C427" s="97" t="inlineStr">
        <is>
          <t>35-69 Bulan</t>
        </is>
      </c>
      <c r="D427" s="97" t="n">
        <v>15.7</v>
      </c>
      <c r="E427" s="97" t="n">
        <v>91</v>
      </c>
      <c r="F427" s="97" t="inlineStr">
        <is>
          <t>Normal</t>
        </is>
      </c>
      <c r="G427" s="97" t="inlineStr">
        <is>
          <t>Normal</t>
        </is>
      </c>
      <c r="H427" s="97" t="inlineStr">
        <is>
          <t>Gizi Baik</t>
        </is>
      </c>
      <c r="I427" s="97" t="inlineStr">
        <is>
          <t>Ya</t>
        </is>
      </c>
      <c r="J427" s="97" t="inlineStr">
        <is>
          <t>Tidak</t>
        </is>
      </c>
    </row>
    <row r="428" ht="15.75" customHeight="1" s="95">
      <c r="A428" s="97" t="inlineStr">
        <is>
          <t>anonymus0427</t>
        </is>
      </c>
      <c r="B428" s="97" t="inlineStr">
        <is>
          <t>P</t>
        </is>
      </c>
      <c r="C428" s="97" t="inlineStr">
        <is>
          <t>35-69 Bulan</t>
        </is>
      </c>
      <c r="D428" s="97" t="n">
        <v>17.6</v>
      </c>
      <c r="E428" s="97" t="n">
        <v>109</v>
      </c>
      <c r="F428" s="97" t="inlineStr">
        <is>
          <t>Risiko Lebih</t>
        </is>
      </c>
      <c r="G428" s="97" t="inlineStr">
        <is>
          <t>Normal</t>
        </is>
      </c>
      <c r="H428" s="97" t="inlineStr">
        <is>
          <t>Gizi Lebih</t>
        </is>
      </c>
      <c r="I428" s="97" t="inlineStr">
        <is>
          <t>Ya</t>
        </is>
      </c>
      <c r="J428" s="97" t="inlineStr">
        <is>
          <t>Tidak</t>
        </is>
      </c>
    </row>
    <row r="429" ht="15.75" customHeight="1" s="95">
      <c r="A429" s="97" t="inlineStr">
        <is>
          <t>anonymus0428</t>
        </is>
      </c>
      <c r="B429" s="97" t="inlineStr">
        <is>
          <t>P</t>
        </is>
      </c>
      <c r="C429" s="97" t="inlineStr">
        <is>
          <t>35-69 Bulan</t>
        </is>
      </c>
      <c r="D429" s="97" t="n">
        <v>17.9</v>
      </c>
      <c r="E429" s="97" t="n">
        <v>97</v>
      </c>
      <c r="F429" s="97" t="inlineStr">
        <is>
          <t>Risiko Lebih</t>
        </is>
      </c>
      <c r="G429" s="97" t="inlineStr">
        <is>
          <t>Normal</t>
        </is>
      </c>
      <c r="H429" s="97" t="inlineStr">
        <is>
          <t>Gizi Lebih</t>
        </is>
      </c>
      <c r="I429" s="97" t="inlineStr">
        <is>
          <t>Ya</t>
        </is>
      </c>
      <c r="J429" s="97" t="inlineStr">
        <is>
          <t>Tidak</t>
        </is>
      </c>
    </row>
    <row r="430" ht="15.75" customHeight="1" s="95">
      <c r="A430" s="97" t="inlineStr">
        <is>
          <t>anonymus0429</t>
        </is>
      </c>
      <c r="B430" s="97" t="inlineStr">
        <is>
          <t>P</t>
        </is>
      </c>
      <c r="C430" s="97" t="inlineStr">
        <is>
          <t>35-69 Bulan</t>
        </is>
      </c>
      <c r="D430" s="97" t="n">
        <v>10.6</v>
      </c>
      <c r="E430" s="97" t="n">
        <v>73</v>
      </c>
      <c r="F430" s="97" t="inlineStr">
        <is>
          <t>Normal</t>
        </is>
      </c>
      <c r="G430" s="97" t="inlineStr">
        <is>
          <t>Sangat Pendek</t>
        </is>
      </c>
      <c r="H430" s="97" t="inlineStr">
        <is>
          <t>Risiko Gizi Lebih</t>
        </is>
      </c>
      <c r="I430" s="97" t="inlineStr">
        <is>
          <t>Ya</t>
        </is>
      </c>
      <c r="J430" s="97" t="inlineStr">
        <is>
          <t>Stunting</t>
        </is>
      </c>
    </row>
    <row r="431" ht="15.75" customHeight="1" s="95">
      <c r="A431" s="97" t="inlineStr">
        <is>
          <t>anonymus0430</t>
        </is>
      </c>
      <c r="B431" s="97" t="inlineStr">
        <is>
          <t>L</t>
        </is>
      </c>
      <c r="C431" s="97" t="inlineStr">
        <is>
          <t>35-69 Bulan</t>
        </is>
      </c>
      <c r="D431" s="97" t="n">
        <v>11</v>
      </c>
      <c r="E431" s="97" t="n">
        <v>91.5</v>
      </c>
      <c r="F431" s="97" t="inlineStr">
        <is>
          <t>Kurang</t>
        </is>
      </c>
      <c r="G431" s="97" t="inlineStr">
        <is>
          <t>Pendek</t>
        </is>
      </c>
      <c r="H431" s="97" t="inlineStr">
        <is>
          <t>Gizi Kurang</t>
        </is>
      </c>
      <c r="I431" s="97" t="inlineStr">
        <is>
          <t>Ya</t>
        </is>
      </c>
      <c r="J431" s="97" t="inlineStr">
        <is>
          <t>Potensi Stunting</t>
        </is>
      </c>
    </row>
    <row r="432" ht="15.75" customHeight="1" s="95">
      <c r="A432" s="97" t="inlineStr">
        <is>
          <t>anonymus0431</t>
        </is>
      </c>
      <c r="B432" s="97" t="inlineStr">
        <is>
          <t>L</t>
        </is>
      </c>
      <c r="C432" s="97" t="inlineStr">
        <is>
          <t>35-69 Bulan</t>
        </is>
      </c>
      <c r="D432" s="97" t="n">
        <v>10.3</v>
      </c>
      <c r="E432" s="97" t="n">
        <v>99</v>
      </c>
      <c r="F432" s="97" t="inlineStr">
        <is>
          <t>Normal</t>
        </is>
      </c>
      <c r="G432" s="97" t="inlineStr">
        <is>
          <t>Normal</t>
        </is>
      </c>
      <c r="H432" s="97" t="inlineStr">
        <is>
          <t>Gizi Baik</t>
        </is>
      </c>
      <c r="I432" s="97" t="inlineStr">
        <is>
          <t>Ya</t>
        </is>
      </c>
      <c r="J432" s="97" t="inlineStr">
        <is>
          <t>Tidak</t>
        </is>
      </c>
    </row>
    <row r="433" ht="15.75" customHeight="1" s="95">
      <c r="A433" s="97" t="inlineStr">
        <is>
          <t>anonymus0432</t>
        </is>
      </c>
      <c r="B433" s="97" t="inlineStr">
        <is>
          <t>P</t>
        </is>
      </c>
      <c r="C433" s="97" t="inlineStr">
        <is>
          <t>1-34 Bulan</t>
        </is>
      </c>
      <c r="D433" s="97" t="n">
        <v>10.8</v>
      </c>
      <c r="E433" s="97" t="n">
        <v>96</v>
      </c>
      <c r="F433" s="97" t="inlineStr">
        <is>
          <t>Normal</t>
        </is>
      </c>
      <c r="G433" s="97" t="inlineStr">
        <is>
          <t>Normal</t>
        </is>
      </c>
      <c r="H433" s="97" t="inlineStr">
        <is>
          <t>Gizi Baik</t>
        </is>
      </c>
      <c r="I433" s="97" t="inlineStr">
        <is>
          <t>Ya</t>
        </is>
      </c>
      <c r="J433" s="97" t="inlineStr">
        <is>
          <t>Tidak</t>
        </is>
      </c>
    </row>
    <row r="434" ht="15.75" customHeight="1" s="95">
      <c r="A434" s="97" t="inlineStr">
        <is>
          <t>anonymus0433</t>
        </is>
      </c>
      <c r="B434" s="97" t="inlineStr">
        <is>
          <t>P</t>
        </is>
      </c>
      <c r="C434" s="97" t="inlineStr">
        <is>
          <t>1-34 Bulan</t>
        </is>
      </c>
      <c r="D434" s="97" t="n">
        <v>10.6</v>
      </c>
      <c r="E434" s="97" t="n">
        <v>91</v>
      </c>
      <c r="F434" s="97" t="inlineStr">
        <is>
          <t>Normal</t>
        </is>
      </c>
      <c r="G434" s="97" t="inlineStr">
        <is>
          <t>Normal</t>
        </is>
      </c>
      <c r="H434" s="97" t="inlineStr">
        <is>
          <t>Gizi Kurang</t>
        </is>
      </c>
      <c r="I434" s="97" t="inlineStr">
        <is>
          <t>Ya</t>
        </is>
      </c>
      <c r="J434" s="97" t="inlineStr">
        <is>
          <t>Tidak</t>
        </is>
      </c>
    </row>
    <row r="435" ht="15.75" customHeight="1" s="95">
      <c r="A435" s="97" t="inlineStr">
        <is>
          <t>anonymus0434</t>
        </is>
      </c>
      <c r="B435" s="97" t="inlineStr">
        <is>
          <t>L</t>
        </is>
      </c>
      <c r="C435" s="97" t="inlineStr">
        <is>
          <t>35-69 Bulan</t>
        </is>
      </c>
      <c r="D435" s="97" t="n">
        <v>11.3</v>
      </c>
      <c r="E435" s="97" t="n">
        <v>92</v>
      </c>
      <c r="F435" s="97" t="inlineStr">
        <is>
          <t>Kurang</t>
        </is>
      </c>
      <c r="G435" s="97" t="inlineStr">
        <is>
          <t>Pendek</t>
        </is>
      </c>
      <c r="H435" s="97" t="inlineStr">
        <is>
          <t>Gizi Baik</t>
        </is>
      </c>
      <c r="I435" s="97" t="inlineStr">
        <is>
          <t>Ya</t>
        </is>
      </c>
      <c r="J435" s="97" t="inlineStr">
        <is>
          <t>Potensi Stunting</t>
        </is>
      </c>
    </row>
    <row r="436" ht="15.75" customHeight="1" s="95">
      <c r="A436" s="97" t="inlineStr">
        <is>
          <t>anonymus0435</t>
        </is>
      </c>
      <c r="B436" s="97" t="inlineStr">
        <is>
          <t>L</t>
        </is>
      </c>
      <c r="C436" s="97" t="inlineStr">
        <is>
          <t>1-34 Bulan</t>
        </is>
      </c>
      <c r="D436" s="97" t="n">
        <v>12.5</v>
      </c>
      <c r="E436" s="97" t="n">
        <v>96</v>
      </c>
      <c r="F436" s="97" t="inlineStr">
        <is>
          <t>Normal</t>
        </is>
      </c>
      <c r="G436" s="97" t="inlineStr">
        <is>
          <t>Normal</t>
        </is>
      </c>
      <c r="H436" s="97" t="inlineStr">
        <is>
          <t>Gizi Baik</t>
        </is>
      </c>
      <c r="I436" s="97" t="inlineStr">
        <is>
          <t>Ya</t>
        </is>
      </c>
      <c r="J436" s="97" t="inlineStr">
        <is>
          <t>Tidak</t>
        </is>
      </c>
    </row>
    <row r="437" ht="15.75" customHeight="1" s="95">
      <c r="A437" s="97" t="inlineStr">
        <is>
          <t>anonymus0436</t>
        </is>
      </c>
      <c r="B437" s="97" t="inlineStr">
        <is>
          <t>P</t>
        </is>
      </c>
      <c r="C437" s="97" t="inlineStr">
        <is>
          <t>35-69 Bulan</t>
        </is>
      </c>
      <c r="D437" s="97" t="n">
        <v>13.3</v>
      </c>
      <c r="E437" s="97" t="n">
        <v>97</v>
      </c>
      <c r="F437" s="97" t="inlineStr">
        <is>
          <t>Normal</t>
        </is>
      </c>
      <c r="G437" s="97" t="inlineStr">
        <is>
          <t>Pendek</t>
        </is>
      </c>
      <c r="H437" s="97" t="inlineStr">
        <is>
          <t>Gizi Baik</t>
        </is>
      </c>
      <c r="I437" s="97" t="inlineStr">
        <is>
          <t>Ya</t>
        </is>
      </c>
      <c r="J437" s="97" t="inlineStr">
        <is>
          <t>Potensi Stunting</t>
        </is>
      </c>
    </row>
    <row r="438" ht="15.75" customHeight="1" s="95">
      <c r="A438" s="97" t="inlineStr">
        <is>
          <t>anonymus0437</t>
        </is>
      </c>
      <c r="B438" s="97" t="inlineStr">
        <is>
          <t xml:space="preserve">P </t>
        </is>
      </c>
      <c r="C438" s="97" t="inlineStr">
        <is>
          <t>35-69 Bulan</t>
        </is>
      </c>
      <c r="D438" s="97" t="inlineStr">
        <is>
          <t>15.8</t>
        </is>
      </c>
      <c r="E438" s="97" t="n">
        <v>101</v>
      </c>
      <c r="F438" s="97" t="inlineStr">
        <is>
          <t>Normal</t>
        </is>
      </c>
      <c r="G438" s="97" t="inlineStr">
        <is>
          <t>Normal</t>
        </is>
      </c>
      <c r="H438" s="97" t="inlineStr">
        <is>
          <t>Gizi Baik</t>
        </is>
      </c>
      <c r="I438" s="97" t="inlineStr">
        <is>
          <t>Ya</t>
        </is>
      </c>
      <c r="J438" s="97" t="inlineStr">
        <is>
          <t>Tidak</t>
        </is>
      </c>
    </row>
    <row r="439" ht="15.75" customHeight="1" s="95">
      <c r="A439" s="97" t="inlineStr">
        <is>
          <t>anonymus0438</t>
        </is>
      </c>
      <c r="B439" s="97" t="inlineStr">
        <is>
          <t xml:space="preserve">L </t>
        </is>
      </c>
      <c r="C439" s="97" t="inlineStr">
        <is>
          <t>1-34 Bulan</t>
        </is>
      </c>
      <c r="D439" s="97" t="inlineStr">
        <is>
          <t>7.5</t>
        </is>
      </c>
      <c r="E439" s="97" t="n">
        <v>64</v>
      </c>
      <c r="F439" s="97" t="inlineStr">
        <is>
          <t>Normal</t>
        </is>
      </c>
      <c r="G439" s="97" t="inlineStr">
        <is>
          <t>Normal</t>
        </is>
      </c>
      <c r="H439" s="97" t="inlineStr">
        <is>
          <t>Gizi Baik</t>
        </is>
      </c>
      <c r="I439" s="97" t="inlineStr">
        <is>
          <t>Ya</t>
        </is>
      </c>
      <c r="J439" s="97" t="inlineStr">
        <is>
          <t>Tidak</t>
        </is>
      </c>
    </row>
    <row r="440" ht="15.75" customHeight="1" s="95">
      <c r="A440" s="97" t="inlineStr">
        <is>
          <t>anonymus0439</t>
        </is>
      </c>
      <c r="B440" s="97" t="inlineStr">
        <is>
          <t>P</t>
        </is>
      </c>
      <c r="C440" s="97" t="inlineStr">
        <is>
          <t>35-69 Bulan</t>
        </is>
      </c>
      <c r="D440" s="97" t="n">
        <v>16.2</v>
      </c>
      <c r="E440" s="97" t="n">
        <v>112</v>
      </c>
      <c r="F440" s="97" t="inlineStr">
        <is>
          <t>Normal</t>
        </is>
      </c>
      <c r="G440" s="97" t="inlineStr">
        <is>
          <t>Normal</t>
        </is>
      </c>
      <c r="H440" s="97" t="inlineStr">
        <is>
          <t>Gizi Baik</t>
        </is>
      </c>
      <c r="I440" s="97" t="inlineStr">
        <is>
          <t>Ya</t>
        </is>
      </c>
      <c r="J440" s="97" t="inlineStr">
        <is>
          <t>Tidak</t>
        </is>
      </c>
    </row>
    <row r="441" ht="15.75" customHeight="1" s="95">
      <c r="A441" s="97" t="inlineStr">
        <is>
          <t>anonymus0440</t>
        </is>
      </c>
      <c r="B441" s="97" t="inlineStr">
        <is>
          <t xml:space="preserve">P </t>
        </is>
      </c>
      <c r="C441" s="97" t="inlineStr">
        <is>
          <t>35-69 Bulan</t>
        </is>
      </c>
      <c r="D441" s="97" t="n">
        <v>10</v>
      </c>
      <c r="E441" s="97" t="n">
        <v>83</v>
      </c>
      <c r="F441" s="97" t="inlineStr">
        <is>
          <t>Kurang</t>
        </is>
      </c>
      <c r="G441" s="97" t="inlineStr">
        <is>
          <t>Pendek</t>
        </is>
      </c>
      <c r="H441" s="97" t="inlineStr">
        <is>
          <t>Gizi Baik</t>
        </is>
      </c>
      <c r="I441" s="97" t="inlineStr">
        <is>
          <t>Ya</t>
        </is>
      </c>
      <c r="J441" s="97" t="inlineStr">
        <is>
          <t>Potensi Stunting</t>
        </is>
      </c>
    </row>
    <row r="442" ht="15.75" customHeight="1" s="95">
      <c r="A442" s="97" t="inlineStr">
        <is>
          <t>anonymus0441</t>
        </is>
      </c>
      <c r="B442" s="97" t="inlineStr">
        <is>
          <t xml:space="preserve">L </t>
        </is>
      </c>
      <c r="C442" s="97" t="inlineStr">
        <is>
          <t>35-69 Bulan</t>
        </is>
      </c>
      <c r="D442" s="97" t="n">
        <v>17</v>
      </c>
      <c r="E442" s="97" t="n">
        <v>107</v>
      </c>
      <c r="F442" s="97" t="inlineStr">
        <is>
          <t>Normal</t>
        </is>
      </c>
      <c r="G442" s="97" t="inlineStr">
        <is>
          <t>Normal</t>
        </is>
      </c>
      <c r="H442" s="97" t="inlineStr">
        <is>
          <t>Gizi Baik</t>
        </is>
      </c>
      <c r="I442" s="97" t="inlineStr">
        <is>
          <t>Ya</t>
        </is>
      </c>
      <c r="J442" s="97" t="inlineStr">
        <is>
          <t>Tidak</t>
        </is>
      </c>
    </row>
    <row r="443" ht="15.75" customHeight="1" s="95">
      <c r="A443" s="97" t="inlineStr">
        <is>
          <t>anonymus0442</t>
        </is>
      </c>
      <c r="B443" s="97" t="inlineStr">
        <is>
          <t>P</t>
        </is>
      </c>
      <c r="C443" s="97" t="inlineStr">
        <is>
          <t>1-34 Bulan</t>
        </is>
      </c>
      <c r="D443" s="97" t="n">
        <v>11.7</v>
      </c>
      <c r="E443" s="97" t="n">
        <v>95</v>
      </c>
      <c r="F443" s="97" t="inlineStr">
        <is>
          <t>Normal</t>
        </is>
      </c>
      <c r="G443" s="97" t="inlineStr">
        <is>
          <t>Normal</t>
        </is>
      </c>
      <c r="H443" s="97" t="inlineStr">
        <is>
          <t>Gizi Baik</t>
        </is>
      </c>
      <c r="I443" s="97" t="inlineStr">
        <is>
          <t>Ya</t>
        </is>
      </c>
      <c r="J443" s="97" t="inlineStr">
        <is>
          <t>Tidak</t>
        </is>
      </c>
    </row>
    <row r="444" ht="15.75" customHeight="1" s="95">
      <c r="A444" s="97" t="inlineStr">
        <is>
          <t>anonymus0443</t>
        </is>
      </c>
      <c r="B444" s="97" t="inlineStr">
        <is>
          <t>P</t>
        </is>
      </c>
      <c r="C444" s="97" t="inlineStr">
        <is>
          <t>35-69 Bulan</t>
        </is>
      </c>
      <c r="D444" s="97" t="n">
        <v>13.4</v>
      </c>
      <c r="E444" s="97" t="n">
        <v>89.3</v>
      </c>
      <c r="F444" s="97" t="inlineStr">
        <is>
          <t>Normal</t>
        </is>
      </c>
      <c r="G444" s="97" t="inlineStr">
        <is>
          <t>Pendek</t>
        </is>
      </c>
      <c r="H444" s="97" t="inlineStr">
        <is>
          <t>Gizi Baik</t>
        </is>
      </c>
      <c r="I444" s="97" t="inlineStr">
        <is>
          <t>Ya</t>
        </is>
      </c>
      <c r="J444" s="97" t="inlineStr">
        <is>
          <t>Potensi Stunting</t>
        </is>
      </c>
    </row>
    <row r="445" ht="15.75" customHeight="1" s="95">
      <c r="A445" s="97" t="inlineStr">
        <is>
          <t>anonymus0444</t>
        </is>
      </c>
      <c r="B445" s="97" t="inlineStr">
        <is>
          <t>L</t>
        </is>
      </c>
      <c r="C445" s="97" t="inlineStr">
        <is>
          <t>1-34 Bulan</t>
        </is>
      </c>
      <c r="D445" s="97" t="n">
        <v>9.4</v>
      </c>
      <c r="E445" s="97" t="n">
        <v>81</v>
      </c>
      <c r="F445" s="97" t="inlineStr">
        <is>
          <t>Normal</t>
        </is>
      </c>
      <c r="G445" s="97" t="inlineStr">
        <is>
          <t>Normal</t>
        </is>
      </c>
      <c r="H445" s="97" t="inlineStr">
        <is>
          <t>Gizi Baik</t>
        </is>
      </c>
      <c r="I445" s="97" t="inlineStr">
        <is>
          <t>Ya</t>
        </is>
      </c>
      <c r="J445" s="97" t="inlineStr">
        <is>
          <t>Tidak</t>
        </is>
      </c>
    </row>
    <row r="446" ht="15.75" customHeight="1" s="95">
      <c r="A446" s="97" t="inlineStr">
        <is>
          <t>anonymus0445</t>
        </is>
      </c>
      <c r="B446" s="97" t="inlineStr">
        <is>
          <t xml:space="preserve">P </t>
        </is>
      </c>
      <c r="C446" s="97" t="inlineStr">
        <is>
          <t>35-69 Bulan</t>
        </is>
      </c>
      <c r="D446" s="97" t="inlineStr">
        <is>
          <t>16.7</t>
        </is>
      </c>
      <c r="E446" s="97" t="n">
        <v>98</v>
      </c>
      <c r="F446" s="97" t="inlineStr">
        <is>
          <t>Normal</t>
        </is>
      </c>
      <c r="G446" s="97" t="inlineStr">
        <is>
          <t>Normal</t>
        </is>
      </c>
      <c r="H446" s="97" t="inlineStr">
        <is>
          <t>Risiko Gizi Lebih</t>
        </is>
      </c>
      <c r="I446" s="97" t="inlineStr">
        <is>
          <t>Ya</t>
        </is>
      </c>
      <c r="J446" s="97" t="inlineStr">
        <is>
          <t>Tidak</t>
        </is>
      </c>
    </row>
    <row r="447" ht="15.75" customHeight="1" s="95">
      <c r="A447" s="97" t="inlineStr">
        <is>
          <t>anonymus0446</t>
        </is>
      </c>
      <c r="B447" s="97" t="inlineStr">
        <is>
          <t>L</t>
        </is>
      </c>
      <c r="C447" s="97" t="inlineStr">
        <is>
          <t>35-69 Bulan</t>
        </is>
      </c>
      <c r="D447" s="97" t="n">
        <v>12.6</v>
      </c>
      <c r="E447" s="97" t="n">
        <v>112</v>
      </c>
      <c r="F447" s="97" t="inlineStr">
        <is>
          <t>Normal</t>
        </is>
      </c>
      <c r="G447" s="97" t="inlineStr">
        <is>
          <t>Normal</t>
        </is>
      </c>
      <c r="H447" s="97" t="inlineStr">
        <is>
          <t>Gizi Baik</t>
        </is>
      </c>
      <c r="I447" s="97" t="inlineStr">
        <is>
          <t>Ya</t>
        </is>
      </c>
      <c r="J447" s="97" t="inlineStr">
        <is>
          <t>Tidak</t>
        </is>
      </c>
    </row>
    <row r="448" ht="15.75" customHeight="1" s="95">
      <c r="A448" s="97" t="inlineStr">
        <is>
          <t>anonymus0447</t>
        </is>
      </c>
      <c r="B448" s="97" t="inlineStr">
        <is>
          <t xml:space="preserve">L </t>
        </is>
      </c>
      <c r="C448" s="97" t="inlineStr">
        <is>
          <t>1-34 Bulan</t>
        </is>
      </c>
      <c r="D448" s="97" t="inlineStr">
        <is>
          <t>8.5</t>
        </is>
      </c>
      <c r="E448" s="97" t="n">
        <v>69</v>
      </c>
      <c r="F448" s="97" t="inlineStr">
        <is>
          <t>Normal</t>
        </is>
      </c>
      <c r="G448" s="97" t="inlineStr">
        <is>
          <t>Normal</t>
        </is>
      </c>
      <c r="H448" s="97" t="inlineStr">
        <is>
          <t>Gizi Baik</t>
        </is>
      </c>
      <c r="I448" s="97" t="inlineStr">
        <is>
          <t>Ya</t>
        </is>
      </c>
      <c r="J448" s="97" t="inlineStr">
        <is>
          <t>Tidak</t>
        </is>
      </c>
    </row>
    <row r="449" ht="15.75" customHeight="1" s="95">
      <c r="A449" s="97" t="inlineStr">
        <is>
          <t>anonymus0448</t>
        </is>
      </c>
      <c r="B449" s="97" t="inlineStr">
        <is>
          <t xml:space="preserve">L </t>
        </is>
      </c>
      <c r="C449" s="97" t="inlineStr">
        <is>
          <t>35-69 Bulan</t>
        </is>
      </c>
      <c r="D449" s="97" t="inlineStr">
        <is>
          <t>18.9</t>
        </is>
      </c>
      <c r="E449" s="97" t="n">
        <v>105</v>
      </c>
      <c r="F449" s="97" t="inlineStr">
        <is>
          <t>Normal</t>
        </is>
      </c>
      <c r="G449" s="97" t="inlineStr">
        <is>
          <t>Normal</t>
        </is>
      </c>
      <c r="H449" s="97" t="inlineStr">
        <is>
          <t>Risiko Gizi Lebih</t>
        </is>
      </c>
      <c r="I449" s="97" t="inlineStr">
        <is>
          <t>Ya</t>
        </is>
      </c>
      <c r="J449" s="97" t="inlineStr">
        <is>
          <t>Tidak</t>
        </is>
      </c>
    </row>
    <row r="450" ht="15.75" customHeight="1" s="95">
      <c r="A450" s="97" t="inlineStr">
        <is>
          <t>anonymus0449</t>
        </is>
      </c>
      <c r="B450" s="97" t="inlineStr">
        <is>
          <t>L</t>
        </is>
      </c>
      <c r="C450" s="97" t="inlineStr">
        <is>
          <t>35-69 Bulan</t>
        </is>
      </c>
      <c r="D450" s="97" t="n">
        <v>10.9</v>
      </c>
      <c r="E450" s="97" t="n">
        <v>82</v>
      </c>
      <c r="F450" s="97" t="inlineStr">
        <is>
          <t>Normal</t>
        </is>
      </c>
      <c r="G450" s="97" t="inlineStr">
        <is>
          <t>Sangat Pendek</t>
        </is>
      </c>
      <c r="H450" s="97" t="inlineStr">
        <is>
          <t>Gizi Baik</t>
        </is>
      </c>
      <c r="I450" s="97" t="inlineStr">
        <is>
          <t>Ya</t>
        </is>
      </c>
      <c r="J450" s="97" t="inlineStr">
        <is>
          <t>Stunting</t>
        </is>
      </c>
    </row>
    <row r="451" ht="15.75" customHeight="1" s="95">
      <c r="A451" s="97" t="inlineStr">
        <is>
          <t>anonymus0450</t>
        </is>
      </c>
      <c r="B451" s="97" t="inlineStr">
        <is>
          <t>L</t>
        </is>
      </c>
      <c r="C451" s="97" t="inlineStr">
        <is>
          <t>35-69 Bulan</t>
        </is>
      </c>
      <c r="D451" s="97" t="n">
        <v>12.2</v>
      </c>
      <c r="E451" s="97" t="n">
        <v>95</v>
      </c>
      <c r="F451" s="97" t="inlineStr">
        <is>
          <t>Kurang</t>
        </is>
      </c>
      <c r="G451" s="97" t="inlineStr">
        <is>
          <t>Pendek</t>
        </is>
      </c>
      <c r="H451" s="97" t="inlineStr">
        <is>
          <t>Gizi Baik</t>
        </is>
      </c>
      <c r="I451" s="97" t="inlineStr">
        <is>
          <t>Ya</t>
        </is>
      </c>
      <c r="J451" s="97" t="inlineStr">
        <is>
          <t>Potensi Stunting</t>
        </is>
      </c>
    </row>
    <row r="452" ht="15.75" customHeight="1" s="95">
      <c r="A452" s="97" t="inlineStr">
        <is>
          <t>anonymus0451</t>
        </is>
      </c>
      <c r="B452" s="97" t="inlineStr">
        <is>
          <t>L</t>
        </is>
      </c>
      <c r="C452" s="97" t="inlineStr">
        <is>
          <t>35-69 Bulan</t>
        </is>
      </c>
      <c r="D452" s="97" t="n">
        <v>10.1</v>
      </c>
      <c r="E452" s="97" t="n">
        <v>81</v>
      </c>
      <c r="F452" s="97" t="inlineStr">
        <is>
          <t>Kurang</t>
        </is>
      </c>
      <c r="G452" s="97" t="inlineStr">
        <is>
          <t>Pendek</t>
        </is>
      </c>
      <c r="H452" s="97" t="inlineStr">
        <is>
          <t>Gizi Baik</t>
        </is>
      </c>
      <c r="I452" s="97" t="inlineStr">
        <is>
          <t>Ya</t>
        </is>
      </c>
      <c r="J452" s="97" t="inlineStr">
        <is>
          <t>Potensi Stunting</t>
        </is>
      </c>
    </row>
    <row r="453" ht="15.75" customHeight="1" s="95">
      <c r="A453" s="97" t="inlineStr">
        <is>
          <t>anonymus0452</t>
        </is>
      </c>
      <c r="B453" s="97" t="inlineStr">
        <is>
          <t>L</t>
        </is>
      </c>
      <c r="C453" s="97" t="inlineStr">
        <is>
          <t>35-69 Bulan</t>
        </is>
      </c>
      <c r="D453" s="97" t="n">
        <v>10.6</v>
      </c>
      <c r="E453" s="97" t="n">
        <v>87</v>
      </c>
      <c r="F453" s="97" t="inlineStr">
        <is>
          <t>Kurang</t>
        </is>
      </c>
      <c r="G453" s="97" t="inlineStr">
        <is>
          <t>Pendek</t>
        </is>
      </c>
      <c r="H453" s="97" t="inlineStr">
        <is>
          <t>Gizi Baik</t>
        </is>
      </c>
      <c r="I453" s="97" t="inlineStr">
        <is>
          <t>Ya</t>
        </is>
      </c>
      <c r="J453" s="97" t="inlineStr">
        <is>
          <t>Potensi Stunting</t>
        </is>
      </c>
    </row>
    <row r="454" ht="15.75" customHeight="1" s="95">
      <c r="A454" s="97" t="inlineStr">
        <is>
          <t>anonymus0453</t>
        </is>
      </c>
      <c r="B454" s="97" t="inlineStr">
        <is>
          <t>P</t>
        </is>
      </c>
      <c r="C454" s="97" t="inlineStr">
        <is>
          <t>35-69 Bulan</t>
        </is>
      </c>
      <c r="D454" s="97" t="n">
        <v>9</v>
      </c>
      <c r="E454" s="97" t="n">
        <v>82</v>
      </c>
      <c r="F454" s="97" t="inlineStr">
        <is>
          <t>Kurang</t>
        </is>
      </c>
      <c r="G454" s="97" t="inlineStr">
        <is>
          <t>Pendek</t>
        </is>
      </c>
      <c r="H454" s="97" t="inlineStr">
        <is>
          <t>Gizi Baik</t>
        </is>
      </c>
      <c r="I454" s="97" t="inlineStr">
        <is>
          <t>Ya</t>
        </is>
      </c>
      <c r="J454" s="97" t="inlineStr">
        <is>
          <t>Potensi Stunting</t>
        </is>
      </c>
    </row>
    <row r="455" ht="15.75" customHeight="1" s="95">
      <c r="A455" s="97" t="inlineStr">
        <is>
          <t>anonymus0454</t>
        </is>
      </c>
      <c r="B455" s="97" t="inlineStr">
        <is>
          <t>P</t>
        </is>
      </c>
      <c r="C455" s="97" t="inlineStr">
        <is>
          <t>35-69 Bulan</t>
        </is>
      </c>
      <c r="D455" s="97" t="n">
        <v>7.4</v>
      </c>
      <c r="E455" s="97" t="n">
        <v>71</v>
      </c>
      <c r="F455" s="97" t="inlineStr">
        <is>
          <t>Sangat Kurang</t>
        </is>
      </c>
      <c r="G455" s="97" t="inlineStr">
        <is>
          <t>Sangat Pendek</t>
        </is>
      </c>
      <c r="H455" s="97" t="inlineStr">
        <is>
          <t>Gizi Baik</t>
        </is>
      </c>
      <c r="I455" s="97" t="inlineStr">
        <is>
          <t>Ya</t>
        </is>
      </c>
      <c r="J455" s="97" t="inlineStr">
        <is>
          <t>Stunting</t>
        </is>
      </c>
    </row>
    <row r="456" ht="15.75" customHeight="1" s="95">
      <c r="A456" s="97" t="inlineStr">
        <is>
          <t>anonymus0455</t>
        </is>
      </c>
      <c r="B456" s="97" t="inlineStr">
        <is>
          <t>P</t>
        </is>
      </c>
      <c r="C456" s="97" t="inlineStr">
        <is>
          <t>35-69 Bulan</t>
        </is>
      </c>
      <c r="D456" s="97" t="n">
        <v>8.9</v>
      </c>
      <c r="E456" s="97" t="n">
        <v>80</v>
      </c>
      <c r="F456" s="97" t="inlineStr">
        <is>
          <t>Kurang</t>
        </is>
      </c>
      <c r="G456" s="97" t="inlineStr">
        <is>
          <t>Pendek</t>
        </is>
      </c>
      <c r="H456" s="97" t="inlineStr">
        <is>
          <t>Gizi Baik</t>
        </is>
      </c>
      <c r="I456" s="97" t="inlineStr">
        <is>
          <t>Ya</t>
        </is>
      </c>
      <c r="J456" s="97" t="inlineStr">
        <is>
          <t>Potensi Stunting</t>
        </is>
      </c>
    </row>
    <row r="457" ht="15.75" customHeight="1" s="95">
      <c r="A457" s="97" t="inlineStr">
        <is>
          <t>anonymus0456</t>
        </is>
      </c>
      <c r="B457" s="97" t="inlineStr">
        <is>
          <t xml:space="preserve">L </t>
        </is>
      </c>
      <c r="C457" s="97" t="inlineStr">
        <is>
          <t>1-34 Bulan</t>
        </is>
      </c>
      <c r="D457" s="97" t="n">
        <v>10</v>
      </c>
      <c r="E457" s="97" t="n">
        <v>82</v>
      </c>
      <c r="F457" s="97" t="inlineStr">
        <is>
          <t>Normal</t>
        </is>
      </c>
      <c r="G457" s="97" t="inlineStr">
        <is>
          <t>Normal</t>
        </is>
      </c>
      <c r="H457" s="97" t="inlineStr">
        <is>
          <t>Gizi Baik</t>
        </is>
      </c>
      <c r="I457" s="97" t="inlineStr">
        <is>
          <t>Ya</t>
        </is>
      </c>
      <c r="J457" s="97" t="inlineStr">
        <is>
          <t>Tidak</t>
        </is>
      </c>
    </row>
    <row r="458" ht="15.75" customHeight="1" s="95">
      <c r="A458" s="97" t="inlineStr">
        <is>
          <t>anonymus0457</t>
        </is>
      </c>
      <c r="B458" s="97" t="inlineStr">
        <is>
          <t>L</t>
        </is>
      </c>
      <c r="C458" s="97" t="inlineStr">
        <is>
          <t>35-69 Bulan</t>
        </is>
      </c>
      <c r="D458" s="97" t="n">
        <v>8.300000000000001</v>
      </c>
      <c r="E458" s="97" t="n">
        <v>71.09999999999999</v>
      </c>
      <c r="F458" s="97" t="inlineStr">
        <is>
          <t>Kurang</t>
        </is>
      </c>
      <c r="G458" s="97" t="inlineStr">
        <is>
          <t>Sangat Pendek</t>
        </is>
      </c>
      <c r="H458" s="97" t="inlineStr">
        <is>
          <t>Gizi Baik</t>
        </is>
      </c>
      <c r="I458" s="97" t="inlineStr">
        <is>
          <t>Ya</t>
        </is>
      </c>
      <c r="J458" s="97" t="inlineStr">
        <is>
          <t>Stunting</t>
        </is>
      </c>
    </row>
    <row r="459" ht="15.75" customHeight="1" s="95">
      <c r="A459" s="97" t="inlineStr">
        <is>
          <t>anonymus0458</t>
        </is>
      </c>
      <c r="B459" s="97" t="inlineStr">
        <is>
          <t>P</t>
        </is>
      </c>
      <c r="C459" s="97" t="inlineStr">
        <is>
          <t>35-69 Bulan</t>
        </is>
      </c>
      <c r="D459" s="97" t="n">
        <v>19.5</v>
      </c>
      <c r="E459" s="97" t="n">
        <v>118</v>
      </c>
      <c r="F459" s="97" t="inlineStr">
        <is>
          <t>Risiko Lebih</t>
        </is>
      </c>
      <c r="G459" s="97" t="inlineStr">
        <is>
          <t>Normal</t>
        </is>
      </c>
      <c r="H459" s="97" t="inlineStr">
        <is>
          <t>Gizi Lebih</t>
        </is>
      </c>
      <c r="I459" s="97" t="inlineStr">
        <is>
          <t>Ya</t>
        </is>
      </c>
      <c r="J459" s="97" t="inlineStr">
        <is>
          <t>Tidak</t>
        </is>
      </c>
    </row>
    <row r="460" ht="15.75" customHeight="1" s="95">
      <c r="A460" s="97" t="inlineStr">
        <is>
          <t>anonymus0459</t>
        </is>
      </c>
      <c r="B460" s="97" t="inlineStr">
        <is>
          <t>P</t>
        </is>
      </c>
      <c r="C460" s="97" t="inlineStr">
        <is>
          <t>1-34 Bulan</t>
        </is>
      </c>
      <c r="D460" s="97" t="n">
        <v>14</v>
      </c>
      <c r="E460" s="97" t="n">
        <v>77</v>
      </c>
      <c r="F460" s="97" t="inlineStr">
        <is>
          <t>Normal</t>
        </is>
      </c>
      <c r="G460" s="97" t="inlineStr">
        <is>
          <t>Normal</t>
        </is>
      </c>
      <c r="H460" s="97" t="inlineStr">
        <is>
          <t>Gizi Baik</t>
        </is>
      </c>
      <c r="I460" s="97" t="inlineStr">
        <is>
          <t>Ya</t>
        </is>
      </c>
      <c r="J460" s="97" t="inlineStr">
        <is>
          <t>Tidak</t>
        </is>
      </c>
    </row>
    <row r="461" ht="15.75" customHeight="1" s="95">
      <c r="A461" s="97" t="inlineStr">
        <is>
          <t>anonymus0460</t>
        </is>
      </c>
      <c r="B461" s="97" t="inlineStr">
        <is>
          <t xml:space="preserve">L </t>
        </is>
      </c>
      <c r="C461" s="97" t="inlineStr">
        <is>
          <t>35-69 Bulan</t>
        </is>
      </c>
      <c r="D461" s="97" t="inlineStr">
        <is>
          <t>17.9</t>
        </is>
      </c>
      <c r="E461" s="97" t="n">
        <v>104</v>
      </c>
      <c r="F461" s="97" t="inlineStr">
        <is>
          <t>Normal</t>
        </is>
      </c>
      <c r="G461" s="97" t="inlineStr">
        <is>
          <t>Normal</t>
        </is>
      </c>
      <c r="H461" s="97" t="inlineStr">
        <is>
          <t>Gizi Baik</t>
        </is>
      </c>
      <c r="I461" s="97" t="inlineStr">
        <is>
          <t>Ya</t>
        </is>
      </c>
      <c r="J461" s="97" t="inlineStr">
        <is>
          <t>Tidak</t>
        </is>
      </c>
    </row>
    <row r="462" ht="15.75" customHeight="1" s="95">
      <c r="A462" s="97" t="inlineStr">
        <is>
          <t>anonymus0461</t>
        </is>
      </c>
      <c r="B462" s="97" t="inlineStr">
        <is>
          <t>L</t>
        </is>
      </c>
      <c r="C462" s="97" t="inlineStr">
        <is>
          <t>1-34 Bulan</t>
        </is>
      </c>
      <c r="D462" s="97" t="n">
        <v>7.9</v>
      </c>
      <c r="E462" s="97" t="n">
        <v>73</v>
      </c>
      <c r="F462" s="97" t="inlineStr">
        <is>
          <t>Kurang</t>
        </is>
      </c>
      <c r="G462" s="97" t="inlineStr">
        <is>
          <t>Pendek</t>
        </is>
      </c>
      <c r="H462" s="97" t="inlineStr">
        <is>
          <t>Gizi Baik</t>
        </is>
      </c>
      <c r="I462" s="97" t="inlineStr">
        <is>
          <t>Ya</t>
        </is>
      </c>
      <c r="J462" s="97" t="inlineStr">
        <is>
          <t>Potensi Stunting</t>
        </is>
      </c>
    </row>
    <row r="463" ht="15.75" customHeight="1" s="95">
      <c r="A463" s="97" t="inlineStr">
        <is>
          <t>anonymus0462</t>
        </is>
      </c>
      <c r="B463" s="97" t="inlineStr">
        <is>
          <t>L</t>
        </is>
      </c>
      <c r="C463" s="97" t="inlineStr">
        <is>
          <t>1-34 Bulan</t>
        </is>
      </c>
      <c r="D463" s="97" t="n">
        <v>6.3</v>
      </c>
      <c r="E463" s="97" t="n">
        <v>87</v>
      </c>
      <c r="F463" s="97" t="inlineStr">
        <is>
          <t>Kurang</t>
        </is>
      </c>
      <c r="G463" s="97" t="inlineStr">
        <is>
          <t>Normal</t>
        </is>
      </c>
      <c r="H463" s="97" t="inlineStr">
        <is>
          <t>Gizi Kurang</t>
        </is>
      </c>
      <c r="I463" s="97" t="inlineStr">
        <is>
          <t>Ya</t>
        </is>
      </c>
      <c r="J463" s="97" t="inlineStr">
        <is>
          <t>Tidak</t>
        </is>
      </c>
    </row>
    <row r="464" ht="15.75" customHeight="1" s="95">
      <c r="A464" s="97" t="inlineStr">
        <is>
          <t>anonymus0463</t>
        </is>
      </c>
      <c r="B464" s="97" t="inlineStr">
        <is>
          <t>L</t>
        </is>
      </c>
      <c r="C464" s="97" t="inlineStr">
        <is>
          <t>1-34 Bulan</t>
        </is>
      </c>
      <c r="D464" s="97" t="n">
        <v>14.5</v>
      </c>
      <c r="E464" s="97" t="n">
        <v>96</v>
      </c>
      <c r="F464" s="97" t="inlineStr">
        <is>
          <t>Normal</t>
        </is>
      </c>
      <c r="G464" s="97" t="inlineStr">
        <is>
          <t>Normal</t>
        </is>
      </c>
      <c r="H464" s="97" t="inlineStr">
        <is>
          <t>Gizi Baik</t>
        </is>
      </c>
      <c r="I464" s="97" t="inlineStr">
        <is>
          <t>Ya</t>
        </is>
      </c>
      <c r="J464" s="97" t="inlineStr">
        <is>
          <t>Tidak</t>
        </is>
      </c>
    </row>
    <row r="465" ht="15.75" customHeight="1" s="95">
      <c r="A465" s="97" t="inlineStr">
        <is>
          <t>anonymus0464</t>
        </is>
      </c>
      <c r="B465" s="97" t="inlineStr">
        <is>
          <t>L</t>
        </is>
      </c>
      <c r="C465" s="97" t="inlineStr">
        <is>
          <t>1-34 Bulan</t>
        </is>
      </c>
      <c r="D465" s="97" t="n">
        <v>3</v>
      </c>
      <c r="E465" s="97" t="n">
        <v>52</v>
      </c>
      <c r="F465" s="97" t="inlineStr">
        <is>
          <t>Normal</t>
        </is>
      </c>
      <c r="G465" s="97" t="inlineStr">
        <is>
          <t>Normal</t>
        </is>
      </c>
      <c r="H465" s="97" t="inlineStr">
        <is>
          <t>Gizi Kurang</t>
        </is>
      </c>
      <c r="I465" s="97" t="inlineStr">
        <is>
          <t>Ya</t>
        </is>
      </c>
      <c r="J465" s="97" t="inlineStr">
        <is>
          <t>Tidak</t>
        </is>
      </c>
    </row>
    <row r="466" ht="15.75" customHeight="1" s="95">
      <c r="A466" s="97" t="inlineStr">
        <is>
          <t>anonymus0465</t>
        </is>
      </c>
      <c r="B466" s="97" t="inlineStr">
        <is>
          <t>L</t>
        </is>
      </c>
      <c r="C466" s="97" t="inlineStr">
        <is>
          <t>35-69 Bulan</t>
        </is>
      </c>
      <c r="D466" s="97" t="n">
        <v>12.6</v>
      </c>
      <c r="E466" s="97" t="n">
        <v>99</v>
      </c>
      <c r="F466" s="97" t="inlineStr">
        <is>
          <t>Kurang</t>
        </is>
      </c>
      <c r="G466" s="97" t="inlineStr">
        <is>
          <t>Pendek</t>
        </is>
      </c>
      <c r="H466" s="97" t="inlineStr">
        <is>
          <t>Gizi Kurang</t>
        </is>
      </c>
      <c r="I466" s="97" t="inlineStr">
        <is>
          <t>Ya</t>
        </is>
      </c>
      <c r="J466" s="97" t="inlineStr">
        <is>
          <t>Potensi Stunting</t>
        </is>
      </c>
    </row>
    <row r="467" ht="15.75" customHeight="1" s="95">
      <c r="A467" s="97" t="inlineStr">
        <is>
          <t>anonymus0466</t>
        </is>
      </c>
      <c r="B467" s="97" t="inlineStr">
        <is>
          <t>L</t>
        </is>
      </c>
      <c r="C467" s="97" t="inlineStr">
        <is>
          <t>35-69 Bulan</t>
        </is>
      </c>
      <c r="D467" s="97" t="n">
        <v>11.5</v>
      </c>
      <c r="E467" s="97" t="n">
        <v>89</v>
      </c>
      <c r="F467" s="97" t="inlineStr">
        <is>
          <t>Kurang</t>
        </is>
      </c>
      <c r="G467" s="97" t="inlineStr">
        <is>
          <t>Pendek</t>
        </is>
      </c>
      <c r="H467" s="97" t="inlineStr">
        <is>
          <t>Gizi Baik</t>
        </is>
      </c>
      <c r="I467" s="97" t="inlineStr">
        <is>
          <t>Ya</t>
        </is>
      </c>
      <c r="J467" s="97" t="inlineStr">
        <is>
          <t>Potensi Stunting</t>
        </is>
      </c>
    </row>
    <row r="468" ht="15.75" customHeight="1" s="95">
      <c r="A468" s="97" t="inlineStr">
        <is>
          <t>anonymus0467</t>
        </is>
      </c>
      <c r="B468" s="97" t="inlineStr">
        <is>
          <t>L</t>
        </is>
      </c>
      <c r="C468" s="97" t="inlineStr">
        <is>
          <t>35-69 Bulan</t>
        </is>
      </c>
      <c r="D468" s="97" t="n">
        <v>12.2</v>
      </c>
      <c r="E468" s="97" t="n">
        <v>97.2</v>
      </c>
      <c r="F468" s="97" t="inlineStr">
        <is>
          <t>Normal</t>
        </is>
      </c>
      <c r="G468" s="97" t="inlineStr">
        <is>
          <t>Normal</t>
        </is>
      </c>
      <c r="H468" s="97" t="inlineStr">
        <is>
          <t>Gizi Kurang</t>
        </is>
      </c>
      <c r="I468" s="97" t="inlineStr">
        <is>
          <t>Ya</t>
        </is>
      </c>
      <c r="J468" s="97" t="inlineStr">
        <is>
          <t>Tidak</t>
        </is>
      </c>
    </row>
    <row r="469" ht="15.75" customHeight="1" s="95">
      <c r="A469" s="97" t="inlineStr">
        <is>
          <t>anonymus0468</t>
        </is>
      </c>
      <c r="B469" s="97" t="inlineStr">
        <is>
          <t>L</t>
        </is>
      </c>
      <c r="C469" s="97" t="inlineStr">
        <is>
          <t>1-34 Bulan</t>
        </is>
      </c>
      <c r="D469" s="97" t="n">
        <v>13.9</v>
      </c>
      <c r="E469" s="97" t="n">
        <v>77</v>
      </c>
      <c r="F469" s="97" t="inlineStr">
        <is>
          <t>Normal</t>
        </is>
      </c>
      <c r="G469" s="97" t="inlineStr">
        <is>
          <t>Normal</t>
        </is>
      </c>
      <c r="H469" s="97" t="inlineStr">
        <is>
          <t>Gizi Baik</t>
        </is>
      </c>
      <c r="I469" s="97" t="inlineStr">
        <is>
          <t>Ya</t>
        </is>
      </c>
      <c r="J469" s="97" t="inlineStr">
        <is>
          <t>Tidak</t>
        </is>
      </c>
    </row>
    <row r="470" ht="15.75" customHeight="1" s="95">
      <c r="A470" s="97" t="inlineStr">
        <is>
          <t>anonymus0469</t>
        </is>
      </c>
      <c r="B470" s="97" t="inlineStr">
        <is>
          <t>L</t>
        </is>
      </c>
      <c r="C470" s="97" t="inlineStr">
        <is>
          <t>35-69 Bulan</t>
        </is>
      </c>
      <c r="D470" s="97" t="n">
        <v>16</v>
      </c>
      <c r="E470" s="97" t="n">
        <v>114</v>
      </c>
      <c r="F470" s="97" t="inlineStr">
        <is>
          <t>Normal</t>
        </is>
      </c>
      <c r="G470" s="97" t="inlineStr">
        <is>
          <t>Normal</t>
        </is>
      </c>
      <c r="H470" s="97" t="inlineStr">
        <is>
          <t>Gizi Kurang</t>
        </is>
      </c>
      <c r="I470" s="97" t="inlineStr">
        <is>
          <t>Ya</t>
        </is>
      </c>
      <c r="J470" s="97" t="inlineStr">
        <is>
          <t>Tidak</t>
        </is>
      </c>
    </row>
    <row r="471" ht="15.75" customHeight="1" s="95">
      <c r="A471" s="97" t="inlineStr">
        <is>
          <t>anonymus0470</t>
        </is>
      </c>
      <c r="B471" s="97" t="inlineStr">
        <is>
          <t xml:space="preserve">P </t>
        </is>
      </c>
      <c r="C471" s="97" t="inlineStr">
        <is>
          <t>1-34 Bulan</t>
        </is>
      </c>
      <c r="D471" s="97" t="inlineStr">
        <is>
          <t>13.4</t>
        </is>
      </c>
      <c r="E471" s="97" t="n">
        <v>96</v>
      </c>
      <c r="F471" s="97" t="inlineStr">
        <is>
          <t>Normal</t>
        </is>
      </c>
      <c r="G471" s="97" t="inlineStr">
        <is>
          <t>Normal</t>
        </is>
      </c>
      <c r="H471" s="97" t="inlineStr">
        <is>
          <t>Gizi Baik</t>
        </is>
      </c>
      <c r="I471" s="97" t="inlineStr">
        <is>
          <t>Ya</t>
        </is>
      </c>
      <c r="J471" s="97" t="inlineStr">
        <is>
          <t>Tidak</t>
        </is>
      </c>
    </row>
    <row r="472" ht="15.75" customHeight="1" s="95">
      <c r="A472" s="97" t="inlineStr">
        <is>
          <t>anonymus0471</t>
        </is>
      </c>
      <c r="B472" s="97" t="inlineStr">
        <is>
          <t xml:space="preserve">P </t>
        </is>
      </c>
      <c r="C472" s="97" t="inlineStr">
        <is>
          <t>35-69 Bulan</t>
        </is>
      </c>
      <c r="D472" s="97" t="n">
        <v>16</v>
      </c>
      <c r="E472" s="97" t="n">
        <v>103</v>
      </c>
      <c r="F472" s="97" t="inlineStr">
        <is>
          <t>Normal</t>
        </is>
      </c>
      <c r="G472" s="97" t="inlineStr">
        <is>
          <t>Normal</t>
        </is>
      </c>
      <c r="H472" s="97" t="inlineStr">
        <is>
          <t>Gizi Baik</t>
        </is>
      </c>
      <c r="I472" s="97" t="inlineStr">
        <is>
          <t>Ya</t>
        </is>
      </c>
      <c r="J472" s="97" t="inlineStr">
        <is>
          <t>Tidak</t>
        </is>
      </c>
    </row>
    <row r="473" ht="15.75" customHeight="1" s="95">
      <c r="A473" s="97" t="inlineStr">
        <is>
          <t>anonymus0472</t>
        </is>
      </c>
      <c r="B473" s="97" t="inlineStr">
        <is>
          <t xml:space="preserve">P </t>
        </is>
      </c>
      <c r="C473" s="97" t="inlineStr">
        <is>
          <t>35-69 Bulan</t>
        </is>
      </c>
      <c r="D473" s="97" t="inlineStr">
        <is>
          <t>16.1</t>
        </is>
      </c>
      <c r="E473" s="97" t="n">
        <v>100</v>
      </c>
      <c r="F473" s="97" t="inlineStr">
        <is>
          <t>Normal</t>
        </is>
      </c>
      <c r="G473" s="97" t="inlineStr">
        <is>
          <t>Normal</t>
        </is>
      </c>
      <c r="H473" s="97" t="inlineStr">
        <is>
          <t>Gizi Baik</t>
        </is>
      </c>
      <c r="I473" s="97" t="inlineStr">
        <is>
          <t>Ya</t>
        </is>
      </c>
      <c r="J473" s="97" t="inlineStr">
        <is>
          <t>Tidak</t>
        </is>
      </c>
    </row>
    <row r="474" ht="15.75" customHeight="1" s="95">
      <c r="A474" s="97" t="inlineStr">
        <is>
          <t>anonymus0473</t>
        </is>
      </c>
      <c r="B474" s="97" t="inlineStr">
        <is>
          <t>L</t>
        </is>
      </c>
      <c r="C474" s="97" t="inlineStr">
        <is>
          <t>35-69 Bulan</t>
        </is>
      </c>
      <c r="D474" s="97" t="n">
        <v>10.1</v>
      </c>
      <c r="E474" s="97" t="n">
        <v>98</v>
      </c>
      <c r="F474" s="97" t="inlineStr">
        <is>
          <t>Normal</t>
        </is>
      </c>
      <c r="G474" s="97" t="inlineStr">
        <is>
          <t>Normal</t>
        </is>
      </c>
      <c r="H474" s="97" t="inlineStr">
        <is>
          <t>Gizi Baik</t>
        </is>
      </c>
      <c r="I474" s="97" t="inlineStr">
        <is>
          <t>Ya</t>
        </is>
      </c>
      <c r="J474" s="97" t="inlineStr">
        <is>
          <t>Tidak</t>
        </is>
      </c>
    </row>
    <row r="475" ht="15.75" customHeight="1" s="95">
      <c r="A475" s="97" t="inlineStr">
        <is>
          <t>anonymus0474</t>
        </is>
      </c>
      <c r="B475" s="97" t="inlineStr">
        <is>
          <t xml:space="preserve">L </t>
        </is>
      </c>
      <c r="C475" s="97" t="inlineStr">
        <is>
          <t>35-69 Bulan</t>
        </is>
      </c>
      <c r="D475" s="97" t="inlineStr">
        <is>
          <t>14.7</t>
        </is>
      </c>
      <c r="E475" s="97" t="n">
        <v>97</v>
      </c>
      <c r="F475" s="97" t="inlineStr">
        <is>
          <t>Normal</t>
        </is>
      </c>
      <c r="G475" s="97" t="inlineStr">
        <is>
          <t>Normal</t>
        </is>
      </c>
      <c r="H475" s="97" t="inlineStr">
        <is>
          <t>Gizi Baik</t>
        </is>
      </c>
      <c r="I475" s="97" t="inlineStr">
        <is>
          <t>Ya</t>
        </is>
      </c>
      <c r="J475" s="97" t="inlineStr">
        <is>
          <t>Tidak</t>
        </is>
      </c>
    </row>
    <row r="476" ht="15.75" customHeight="1" s="95">
      <c r="A476" s="97" t="inlineStr">
        <is>
          <t>anonymus0475</t>
        </is>
      </c>
      <c r="B476" s="97" t="inlineStr">
        <is>
          <t>P</t>
        </is>
      </c>
      <c r="C476" s="97" t="inlineStr">
        <is>
          <t>35-69 Bulan</t>
        </is>
      </c>
      <c r="D476" s="97" t="n">
        <v>16.5</v>
      </c>
      <c r="E476" s="97" t="n">
        <v>96</v>
      </c>
      <c r="F476" s="97" t="inlineStr">
        <is>
          <t>Normal</t>
        </is>
      </c>
      <c r="G476" s="97" t="inlineStr">
        <is>
          <t>Normal</t>
        </is>
      </c>
      <c r="H476" s="97" t="inlineStr">
        <is>
          <t>Gizi Baik</t>
        </is>
      </c>
      <c r="I476" s="97" t="inlineStr">
        <is>
          <t>Ya</t>
        </is>
      </c>
      <c r="J476" s="97" t="inlineStr">
        <is>
          <t>Tidak</t>
        </is>
      </c>
    </row>
    <row r="477" ht="15.75" customHeight="1" s="95">
      <c r="A477" s="97" t="inlineStr">
        <is>
          <t>anonymus0476</t>
        </is>
      </c>
      <c r="B477" s="97" t="inlineStr">
        <is>
          <t>P</t>
        </is>
      </c>
      <c r="C477" s="97" t="inlineStr">
        <is>
          <t>35-69 Bulan</t>
        </is>
      </c>
      <c r="D477" s="97" t="n">
        <v>13.6</v>
      </c>
      <c r="E477" s="97" t="n">
        <v>89</v>
      </c>
      <c r="F477" s="97" t="inlineStr">
        <is>
          <t>Normal</t>
        </is>
      </c>
      <c r="G477" s="97" t="inlineStr">
        <is>
          <t>Pendek</t>
        </is>
      </c>
      <c r="H477" s="97" t="inlineStr">
        <is>
          <t>Risiko Gizi Lebih</t>
        </is>
      </c>
      <c r="I477" s="97" t="inlineStr">
        <is>
          <t>Ya</t>
        </is>
      </c>
      <c r="J477" s="97" t="inlineStr">
        <is>
          <t>Potensi Stunting</t>
        </is>
      </c>
    </row>
    <row r="478" ht="15.75" customHeight="1" s="95">
      <c r="A478" s="97" t="inlineStr">
        <is>
          <t>anonymus0477</t>
        </is>
      </c>
      <c r="B478" s="97" t="inlineStr">
        <is>
          <t>P</t>
        </is>
      </c>
      <c r="C478" s="97" t="inlineStr">
        <is>
          <t>35-69 Bulan</t>
        </is>
      </c>
      <c r="D478" s="97" t="n">
        <v>13.2</v>
      </c>
      <c r="E478" s="97" t="n">
        <v>119</v>
      </c>
      <c r="F478" s="97" t="inlineStr">
        <is>
          <t>Normal</t>
        </is>
      </c>
      <c r="G478" s="97" t="inlineStr">
        <is>
          <t>Normal</t>
        </is>
      </c>
      <c r="H478" s="97" t="inlineStr">
        <is>
          <t>Gizi Baik</t>
        </is>
      </c>
      <c r="I478" s="97" t="inlineStr">
        <is>
          <t>Ya</t>
        </is>
      </c>
      <c r="J478" s="97" t="inlineStr">
        <is>
          <t>Tidak</t>
        </is>
      </c>
    </row>
    <row r="479" ht="15.75" customHeight="1" s="95">
      <c r="A479" s="97" t="inlineStr">
        <is>
          <t>anonymus0478</t>
        </is>
      </c>
      <c r="B479" s="97" t="inlineStr">
        <is>
          <t xml:space="preserve">P </t>
        </is>
      </c>
      <c r="C479" s="97" t="inlineStr">
        <is>
          <t>1-34 Bulan</t>
        </is>
      </c>
      <c r="D479" s="97" t="inlineStr">
        <is>
          <t>6.4</t>
        </is>
      </c>
      <c r="E479" s="97" t="n">
        <v>65</v>
      </c>
      <c r="F479" s="97" t="inlineStr">
        <is>
          <t>Normal</t>
        </is>
      </c>
      <c r="G479" s="97" t="inlineStr">
        <is>
          <t>Normal</t>
        </is>
      </c>
      <c r="H479" s="97" t="inlineStr">
        <is>
          <t>Gizi Baik</t>
        </is>
      </c>
      <c r="I479" s="97" t="inlineStr">
        <is>
          <t>Ya</t>
        </is>
      </c>
      <c r="J479" s="97" t="inlineStr">
        <is>
          <t>Tidak</t>
        </is>
      </c>
    </row>
    <row r="480" ht="15.75" customHeight="1" s="95">
      <c r="A480" s="97" t="inlineStr">
        <is>
          <t>anonymus0479</t>
        </is>
      </c>
      <c r="B480" s="97" t="inlineStr">
        <is>
          <t>P</t>
        </is>
      </c>
      <c r="C480" s="97" t="inlineStr">
        <is>
          <t>35-69 Bulan</t>
        </is>
      </c>
      <c r="D480" s="97" t="n">
        <v>10.5</v>
      </c>
      <c r="E480" s="97" t="n">
        <v>90</v>
      </c>
      <c r="F480" s="97" t="inlineStr">
        <is>
          <t>Kurang</t>
        </is>
      </c>
      <c r="G480" s="97" t="inlineStr">
        <is>
          <t>Normal</t>
        </is>
      </c>
      <c r="H480" s="97" t="inlineStr">
        <is>
          <t>Gizi Kurang</t>
        </is>
      </c>
      <c r="I480" s="97" t="inlineStr">
        <is>
          <t>Ya</t>
        </is>
      </c>
      <c r="J480" s="97" t="inlineStr">
        <is>
          <t>Tidak</t>
        </is>
      </c>
    </row>
    <row r="481" ht="15.75" customHeight="1" s="95">
      <c r="A481" s="97" t="inlineStr">
        <is>
          <t>anonymus0480</t>
        </is>
      </c>
      <c r="B481" s="97" t="inlineStr">
        <is>
          <t xml:space="preserve">P </t>
        </is>
      </c>
      <c r="C481" s="97" t="inlineStr">
        <is>
          <t>1-34 Bulan</t>
        </is>
      </c>
      <c r="D481" s="97" t="inlineStr">
        <is>
          <t>7.5</t>
        </is>
      </c>
      <c r="E481" s="97" t="n">
        <v>70</v>
      </c>
      <c r="F481" s="97" t="inlineStr">
        <is>
          <t>Normal</t>
        </is>
      </c>
      <c r="G481" s="97" t="inlineStr">
        <is>
          <t>Pendek</t>
        </is>
      </c>
      <c r="H481" s="97" t="inlineStr">
        <is>
          <t>Gizi Baik</t>
        </is>
      </c>
      <c r="I481" s="97" t="inlineStr">
        <is>
          <t>Ya</t>
        </is>
      </c>
      <c r="J481" s="97" t="inlineStr">
        <is>
          <t>Potensi Stunting</t>
        </is>
      </c>
    </row>
    <row r="482" ht="15.75" customHeight="1" s="95">
      <c r="A482" s="97" t="inlineStr">
        <is>
          <t>anonymus0481</t>
        </is>
      </c>
      <c r="B482" s="97" t="inlineStr">
        <is>
          <t>P</t>
        </is>
      </c>
      <c r="C482" s="97" t="inlineStr">
        <is>
          <t>35-69 Bulan</t>
        </is>
      </c>
      <c r="D482" s="97" t="n">
        <v>12.5</v>
      </c>
      <c r="E482" s="97" t="n">
        <v>99.3</v>
      </c>
      <c r="F482" s="97" t="inlineStr">
        <is>
          <t>Kurang</t>
        </is>
      </c>
      <c r="G482" s="97" t="inlineStr">
        <is>
          <t>Normal</t>
        </is>
      </c>
      <c r="H482" s="97" t="inlineStr">
        <is>
          <t>Gizi Kurang</t>
        </is>
      </c>
      <c r="I482" s="97" t="inlineStr">
        <is>
          <t>Ya</t>
        </is>
      </c>
      <c r="J482" s="97" t="inlineStr">
        <is>
          <t>Tidak</t>
        </is>
      </c>
    </row>
    <row r="483" ht="15.75" customHeight="1" s="95">
      <c r="A483" s="97" t="inlineStr">
        <is>
          <t>anonymus0482</t>
        </is>
      </c>
      <c r="B483" s="97" t="inlineStr">
        <is>
          <t xml:space="preserve">P </t>
        </is>
      </c>
      <c r="C483" s="97" t="inlineStr">
        <is>
          <t>35-69 Bulan</t>
        </is>
      </c>
      <c r="D483" s="97" t="inlineStr">
        <is>
          <t>12.7</t>
        </is>
      </c>
      <c r="E483" s="97" t="n">
        <v>97</v>
      </c>
      <c r="F483" s="97" t="inlineStr">
        <is>
          <t>Normal</t>
        </is>
      </c>
      <c r="G483" s="97" t="inlineStr">
        <is>
          <t>Normal</t>
        </is>
      </c>
      <c r="H483" s="97" t="inlineStr">
        <is>
          <t>Gizi Baik</t>
        </is>
      </c>
      <c r="I483" s="97" t="inlineStr">
        <is>
          <t>Ya</t>
        </is>
      </c>
      <c r="J483" s="97" t="inlineStr">
        <is>
          <t>Tidak</t>
        </is>
      </c>
    </row>
    <row r="484" ht="15.75" customHeight="1" s="95">
      <c r="A484" s="97" t="inlineStr">
        <is>
          <t>anonymus0483</t>
        </is>
      </c>
      <c r="B484" s="97" t="inlineStr">
        <is>
          <t>P</t>
        </is>
      </c>
      <c r="C484" s="97" t="inlineStr">
        <is>
          <t>35-69 Bulan</t>
        </is>
      </c>
      <c r="D484" s="97" t="n">
        <v>11.7</v>
      </c>
      <c r="E484" s="97" t="n">
        <v>102</v>
      </c>
      <c r="F484" s="97" t="inlineStr">
        <is>
          <t>Normal</t>
        </is>
      </c>
      <c r="G484" s="97" t="inlineStr">
        <is>
          <t>Normal</t>
        </is>
      </c>
      <c r="H484" s="97" t="inlineStr">
        <is>
          <t>Gizi Baik</t>
        </is>
      </c>
      <c r="I484" s="97" t="inlineStr">
        <is>
          <t>Ya</t>
        </is>
      </c>
      <c r="J484" s="97" t="inlineStr">
        <is>
          <t>Tidak</t>
        </is>
      </c>
    </row>
    <row r="485" ht="15.75" customHeight="1" s="95">
      <c r="A485" s="97" t="inlineStr">
        <is>
          <t>anonymus0484</t>
        </is>
      </c>
      <c r="B485" s="97" t="inlineStr">
        <is>
          <t xml:space="preserve">L </t>
        </is>
      </c>
      <c r="C485" s="97" t="inlineStr">
        <is>
          <t>1-34 Bulan</t>
        </is>
      </c>
      <c r="D485" s="97" t="n">
        <v>11</v>
      </c>
      <c r="E485" s="97" t="n">
        <v>81</v>
      </c>
      <c r="F485" s="97" t="inlineStr">
        <is>
          <t>Normal</t>
        </is>
      </c>
      <c r="G485" s="97" t="inlineStr">
        <is>
          <t>Normal</t>
        </is>
      </c>
      <c r="H485" s="97" t="inlineStr">
        <is>
          <t>Gizi Baik</t>
        </is>
      </c>
      <c r="I485" s="97" t="inlineStr">
        <is>
          <t>Ya</t>
        </is>
      </c>
      <c r="J485" s="97" t="inlineStr">
        <is>
          <t>Tidak</t>
        </is>
      </c>
    </row>
    <row r="486" ht="15.75" customHeight="1" s="95">
      <c r="A486" s="97" t="inlineStr">
        <is>
          <t>anonymus0485</t>
        </is>
      </c>
      <c r="B486" s="97" t="inlineStr">
        <is>
          <t>P</t>
        </is>
      </c>
      <c r="C486" s="97" t="inlineStr">
        <is>
          <t>35-69 Bulan</t>
        </is>
      </c>
      <c r="D486" s="97" t="n">
        <v>17.5</v>
      </c>
      <c r="E486" s="97" t="n">
        <v>113</v>
      </c>
      <c r="F486" s="97" t="inlineStr">
        <is>
          <t>Risiko Lebih</t>
        </is>
      </c>
      <c r="G486" s="97" t="inlineStr">
        <is>
          <t>Normal</t>
        </is>
      </c>
      <c r="H486" s="97" t="inlineStr">
        <is>
          <t>Gizi Lebih</t>
        </is>
      </c>
      <c r="I486" s="97" t="inlineStr">
        <is>
          <t>Ya</t>
        </is>
      </c>
      <c r="J486" s="97" t="inlineStr">
        <is>
          <t>Tidak</t>
        </is>
      </c>
    </row>
    <row r="487" ht="15.75" customHeight="1" s="95">
      <c r="A487" s="97" t="inlineStr">
        <is>
          <t>anonymus0486</t>
        </is>
      </c>
      <c r="B487" s="97" t="inlineStr">
        <is>
          <t>P</t>
        </is>
      </c>
      <c r="C487" s="97" t="inlineStr">
        <is>
          <t>1-34 Bulan</t>
        </is>
      </c>
      <c r="D487" s="97" t="n">
        <v>6.4</v>
      </c>
      <c r="E487" s="97" t="n">
        <v>95</v>
      </c>
      <c r="F487" s="97" t="inlineStr">
        <is>
          <t>Kurang</t>
        </is>
      </c>
      <c r="G487" s="97" t="inlineStr">
        <is>
          <t>Normal</t>
        </is>
      </c>
      <c r="H487" s="97" t="inlineStr">
        <is>
          <t>Gizi Kurang</t>
        </is>
      </c>
      <c r="I487" s="97" t="inlineStr">
        <is>
          <t>Ya</t>
        </is>
      </c>
      <c r="J487" s="97" t="inlineStr">
        <is>
          <t>Tidak</t>
        </is>
      </c>
    </row>
    <row r="488" ht="15.75" customHeight="1" s="95">
      <c r="A488" s="97" t="inlineStr">
        <is>
          <t>anonymus0487</t>
        </is>
      </c>
      <c r="B488" s="97" t="inlineStr">
        <is>
          <t xml:space="preserve">P </t>
        </is>
      </c>
      <c r="C488" s="97" t="inlineStr">
        <is>
          <t>1-34 Bulan</t>
        </is>
      </c>
      <c r="D488" s="97" t="inlineStr">
        <is>
          <t>9.3</t>
        </is>
      </c>
      <c r="E488" s="97" t="n">
        <v>76</v>
      </c>
      <c r="F488" s="97" t="inlineStr">
        <is>
          <t>Normal</t>
        </is>
      </c>
      <c r="G488" s="97" t="inlineStr">
        <is>
          <t>Normal</t>
        </is>
      </c>
      <c r="H488" s="97" t="inlineStr">
        <is>
          <t>Gizi Baik</t>
        </is>
      </c>
      <c r="I488" s="97" t="inlineStr">
        <is>
          <t>Ya</t>
        </is>
      </c>
      <c r="J488" s="97" t="inlineStr">
        <is>
          <t>Tidak</t>
        </is>
      </c>
    </row>
    <row r="489" ht="15.75" customHeight="1" s="95">
      <c r="A489" s="97" t="inlineStr">
        <is>
          <t>anonymus0488</t>
        </is>
      </c>
      <c r="B489" s="97" t="inlineStr">
        <is>
          <t xml:space="preserve">P </t>
        </is>
      </c>
      <c r="C489" s="97" t="inlineStr">
        <is>
          <t>35-69 Bulan</t>
        </is>
      </c>
      <c r="D489" s="97" t="n">
        <v>15</v>
      </c>
      <c r="E489" s="97" t="n">
        <v>96</v>
      </c>
      <c r="F489" s="97" t="inlineStr">
        <is>
          <t>Normal</t>
        </is>
      </c>
      <c r="G489" s="97" t="inlineStr">
        <is>
          <t>Normal</t>
        </is>
      </c>
      <c r="H489" s="97" t="inlineStr">
        <is>
          <t>Gizi Baik</t>
        </is>
      </c>
      <c r="I489" s="97" t="inlineStr">
        <is>
          <t>Ya</t>
        </is>
      </c>
      <c r="J489" s="97" t="inlineStr">
        <is>
          <t>Tidak</t>
        </is>
      </c>
    </row>
    <row r="490" ht="15.75" customHeight="1" s="95">
      <c r="A490" s="97" t="inlineStr">
        <is>
          <t>anonymus0489</t>
        </is>
      </c>
      <c r="B490" s="97" t="inlineStr">
        <is>
          <t>L</t>
        </is>
      </c>
      <c r="C490" s="97" t="inlineStr">
        <is>
          <t>1-34 Bulan</t>
        </is>
      </c>
      <c r="D490" s="97" t="n">
        <v>7.7</v>
      </c>
      <c r="E490" s="97" t="n">
        <v>96</v>
      </c>
      <c r="F490" s="97" t="inlineStr">
        <is>
          <t>Kurang</t>
        </is>
      </c>
      <c r="G490" s="97" t="inlineStr">
        <is>
          <t>Normal</t>
        </is>
      </c>
      <c r="H490" s="97" t="inlineStr">
        <is>
          <t>Gizi Kurang</t>
        </is>
      </c>
      <c r="I490" s="97" t="inlineStr">
        <is>
          <t>Ya</t>
        </is>
      </c>
      <c r="J490" s="97" t="inlineStr">
        <is>
          <t>Tidak</t>
        </is>
      </c>
    </row>
    <row r="491" ht="15.75" customHeight="1" s="95">
      <c r="A491" s="97" t="inlineStr">
        <is>
          <t>anonymus0490</t>
        </is>
      </c>
      <c r="B491" s="97" t="inlineStr">
        <is>
          <t>P</t>
        </is>
      </c>
      <c r="C491" s="97" t="inlineStr">
        <is>
          <t>35-69 Bulan</t>
        </is>
      </c>
      <c r="D491" s="97" t="n">
        <v>11</v>
      </c>
      <c r="E491" s="97" t="n">
        <v>85</v>
      </c>
      <c r="F491" s="97" t="inlineStr">
        <is>
          <t>Normal</t>
        </is>
      </c>
      <c r="G491" s="97" t="inlineStr">
        <is>
          <t>Pendek</t>
        </is>
      </c>
      <c r="H491" s="97" t="inlineStr">
        <is>
          <t>Gizi Baik</t>
        </is>
      </c>
      <c r="I491" s="97" t="inlineStr">
        <is>
          <t>Ya</t>
        </is>
      </c>
      <c r="J491" s="97" t="inlineStr">
        <is>
          <t>Potensi Stunting</t>
        </is>
      </c>
    </row>
    <row r="492" ht="15.75" customHeight="1" s="95">
      <c r="A492" s="97" t="inlineStr">
        <is>
          <t>anonymus0491</t>
        </is>
      </c>
      <c r="B492" s="97" t="inlineStr">
        <is>
          <t xml:space="preserve">P </t>
        </is>
      </c>
      <c r="C492" s="97" t="inlineStr">
        <is>
          <t>1-34 Bulan</t>
        </is>
      </c>
      <c r="D492" s="97" t="inlineStr">
        <is>
          <t>8.9</t>
        </is>
      </c>
      <c r="E492" s="97" t="n">
        <v>72</v>
      </c>
      <c r="F492" s="97" t="inlineStr">
        <is>
          <t>Normal</t>
        </is>
      </c>
      <c r="G492" s="97" t="inlineStr">
        <is>
          <t>Normal</t>
        </is>
      </c>
      <c r="H492" s="97" t="inlineStr">
        <is>
          <t>Gizi Baik</t>
        </is>
      </c>
      <c r="I492" s="97" t="inlineStr">
        <is>
          <t>Ya</t>
        </is>
      </c>
      <c r="J492" s="97" t="inlineStr">
        <is>
          <t>Tidak</t>
        </is>
      </c>
    </row>
    <row r="493" ht="15.75" customHeight="1" s="95">
      <c r="A493" s="97" t="inlineStr">
        <is>
          <t>anonymus0492</t>
        </is>
      </c>
      <c r="B493" s="97" t="inlineStr">
        <is>
          <t>P</t>
        </is>
      </c>
      <c r="C493" s="97" t="inlineStr">
        <is>
          <t>1-34 Bulan</t>
        </is>
      </c>
      <c r="D493" s="97" t="n">
        <v>12.4</v>
      </c>
      <c r="E493" s="97" t="n">
        <v>99</v>
      </c>
      <c r="F493" s="97" t="inlineStr">
        <is>
          <t>Normal</t>
        </is>
      </c>
      <c r="G493" s="97" t="inlineStr">
        <is>
          <t>Normal</t>
        </is>
      </c>
      <c r="H493" s="97" t="inlineStr">
        <is>
          <t>Gizi Baik</t>
        </is>
      </c>
      <c r="I493" s="97" t="inlineStr">
        <is>
          <t>Ya</t>
        </is>
      </c>
      <c r="J493" s="97" t="inlineStr">
        <is>
          <t>Tidak</t>
        </is>
      </c>
    </row>
    <row r="494" ht="15.75" customHeight="1" s="95">
      <c r="A494" s="97" t="inlineStr">
        <is>
          <t>anonymus0493</t>
        </is>
      </c>
      <c r="B494" s="97" t="inlineStr">
        <is>
          <t>L</t>
        </is>
      </c>
      <c r="C494" s="97" t="inlineStr">
        <is>
          <t>35-69 Bulan</t>
        </is>
      </c>
      <c r="D494" s="97" t="n">
        <v>17.8</v>
      </c>
      <c r="E494" s="97" t="n">
        <v>118</v>
      </c>
      <c r="F494" s="97" t="inlineStr">
        <is>
          <t>Risiko Lebih</t>
        </is>
      </c>
      <c r="G494" s="97" t="inlineStr">
        <is>
          <t>Normal</t>
        </is>
      </c>
      <c r="H494" s="97" t="inlineStr">
        <is>
          <t>Gizi Lebih</t>
        </is>
      </c>
      <c r="I494" s="97" t="inlineStr">
        <is>
          <t>Ya</t>
        </is>
      </c>
      <c r="J494" s="97" t="inlineStr">
        <is>
          <t>Tidak</t>
        </is>
      </c>
    </row>
    <row r="495" ht="15.75" customHeight="1" s="95">
      <c r="A495" s="97" t="inlineStr">
        <is>
          <t>anonymus0494</t>
        </is>
      </c>
      <c r="B495" s="97" t="inlineStr">
        <is>
          <t>P</t>
        </is>
      </c>
      <c r="C495" s="97" t="inlineStr">
        <is>
          <t>35-69 Bulan</t>
        </is>
      </c>
      <c r="D495" s="97" t="n">
        <v>13</v>
      </c>
      <c r="E495" s="97" t="n">
        <v>97</v>
      </c>
      <c r="F495" s="97" t="inlineStr">
        <is>
          <t>Normal</t>
        </is>
      </c>
      <c r="G495" s="97" t="inlineStr">
        <is>
          <t>Normal</t>
        </is>
      </c>
      <c r="H495" s="97" t="inlineStr">
        <is>
          <t>Gizi Baik</t>
        </is>
      </c>
      <c r="I495" s="97" t="inlineStr">
        <is>
          <t>Ya</t>
        </is>
      </c>
      <c r="J495" s="97" t="inlineStr">
        <is>
          <t>Tidak</t>
        </is>
      </c>
    </row>
    <row r="496" ht="15.75" customHeight="1" s="95">
      <c r="A496" s="97" t="inlineStr">
        <is>
          <t>anonymus0495</t>
        </is>
      </c>
      <c r="B496" s="97" t="inlineStr">
        <is>
          <t>P</t>
        </is>
      </c>
      <c r="C496" s="97" t="inlineStr">
        <is>
          <t>1-34 Bulan</t>
        </is>
      </c>
      <c r="D496" s="97" t="n">
        <v>12.3</v>
      </c>
      <c r="E496" s="97" t="n">
        <v>91</v>
      </c>
      <c r="F496" s="97" t="inlineStr">
        <is>
          <t>Normal</t>
        </is>
      </c>
      <c r="G496" s="97" t="inlineStr">
        <is>
          <t>Normal</t>
        </is>
      </c>
      <c r="H496" s="97" t="inlineStr">
        <is>
          <t>Gizi Baik</t>
        </is>
      </c>
      <c r="I496" s="97" t="inlineStr">
        <is>
          <t>Ya</t>
        </is>
      </c>
      <c r="J496" s="97" t="inlineStr">
        <is>
          <t>Tidak</t>
        </is>
      </c>
    </row>
    <row r="497" ht="15.75" customHeight="1" s="95">
      <c r="A497" s="97" t="inlineStr">
        <is>
          <t>anonymus0496</t>
        </is>
      </c>
      <c r="B497" s="97" t="inlineStr">
        <is>
          <t xml:space="preserve">L </t>
        </is>
      </c>
      <c r="C497" s="97" t="inlineStr">
        <is>
          <t>35-69 Bulan</t>
        </is>
      </c>
      <c r="D497" s="97" t="inlineStr">
        <is>
          <t>19.8</t>
        </is>
      </c>
      <c r="E497" s="97" t="n">
        <v>105</v>
      </c>
      <c r="F497" s="97" t="inlineStr">
        <is>
          <t>Normal</t>
        </is>
      </c>
      <c r="G497" s="97" t="inlineStr">
        <is>
          <t>Normal</t>
        </is>
      </c>
      <c r="H497" s="97" t="inlineStr">
        <is>
          <t>Risiko Gizi Lebih</t>
        </is>
      </c>
      <c r="I497" s="97" t="inlineStr">
        <is>
          <t>Ya</t>
        </is>
      </c>
      <c r="J497" s="97" t="inlineStr">
        <is>
          <t>Tidak</t>
        </is>
      </c>
    </row>
    <row r="498" ht="15.75" customHeight="1" s="95">
      <c r="A498" s="97" t="inlineStr">
        <is>
          <t>anonymus0497</t>
        </is>
      </c>
      <c r="B498" s="97" t="inlineStr">
        <is>
          <t>P</t>
        </is>
      </c>
      <c r="C498" s="97" t="inlineStr">
        <is>
          <t>35-69 Bulan</t>
        </is>
      </c>
      <c r="D498" s="97" t="n">
        <v>11.7</v>
      </c>
      <c r="E498" s="97" t="n">
        <v>80</v>
      </c>
      <c r="F498" s="97" t="inlineStr">
        <is>
          <t>Normal</t>
        </is>
      </c>
      <c r="G498" s="97" t="inlineStr">
        <is>
          <t>Pendek</t>
        </is>
      </c>
      <c r="H498" s="97" t="inlineStr">
        <is>
          <t>Risiko Gizi Lebih</t>
        </is>
      </c>
      <c r="I498" s="97" t="inlineStr">
        <is>
          <t>Ya</t>
        </is>
      </c>
      <c r="J498" s="97" t="inlineStr">
        <is>
          <t>Potensi Stunting</t>
        </is>
      </c>
    </row>
    <row r="499" ht="15.75" customHeight="1" s="95">
      <c r="A499" s="97" t="inlineStr">
        <is>
          <t>anonymus0498</t>
        </is>
      </c>
      <c r="B499" s="97" t="inlineStr">
        <is>
          <t>L</t>
        </is>
      </c>
      <c r="C499" s="97" t="inlineStr">
        <is>
          <t>35-69 Bulan</t>
        </is>
      </c>
      <c r="D499" s="97" t="n">
        <v>10</v>
      </c>
      <c r="E499" s="97" t="n">
        <v>101</v>
      </c>
      <c r="F499" s="97" t="inlineStr">
        <is>
          <t>Normal</t>
        </is>
      </c>
      <c r="G499" s="97" t="inlineStr">
        <is>
          <t>Normal</t>
        </is>
      </c>
      <c r="H499" s="97" t="inlineStr">
        <is>
          <t>Gizi Baik</t>
        </is>
      </c>
      <c r="I499" s="97" t="inlineStr">
        <is>
          <t>Ya</t>
        </is>
      </c>
      <c r="J499" s="97" t="inlineStr">
        <is>
          <t>Tidak</t>
        </is>
      </c>
    </row>
    <row r="500" ht="15.75" customHeight="1" s="95">
      <c r="A500" s="97" t="inlineStr">
        <is>
          <t>anonymus0499</t>
        </is>
      </c>
      <c r="B500" s="97" t="inlineStr">
        <is>
          <t>P</t>
        </is>
      </c>
      <c r="C500" s="97" t="inlineStr">
        <is>
          <t>35-69 Bulan</t>
        </is>
      </c>
      <c r="D500" s="97" t="n">
        <v>11.6</v>
      </c>
      <c r="E500" s="97" t="n">
        <v>86.5</v>
      </c>
      <c r="F500" s="97" t="inlineStr">
        <is>
          <t>Sangat Kurang</t>
        </is>
      </c>
      <c r="G500" s="97" t="inlineStr">
        <is>
          <t>Sangat Pendek</t>
        </is>
      </c>
      <c r="H500" s="97" t="inlineStr">
        <is>
          <t>Gizi Baik</t>
        </is>
      </c>
      <c r="I500" s="97" t="inlineStr">
        <is>
          <t>Ya</t>
        </is>
      </c>
      <c r="J500" s="97" t="inlineStr">
        <is>
          <t>Stunting</t>
        </is>
      </c>
    </row>
    <row r="501" ht="15.75" customHeight="1" s="95">
      <c r="A501" s="97" t="inlineStr">
        <is>
          <t>anonymus0500</t>
        </is>
      </c>
      <c r="B501" s="97" t="inlineStr">
        <is>
          <t>L</t>
        </is>
      </c>
      <c r="C501" s="97" t="inlineStr">
        <is>
          <t>1-34 Bulan</t>
        </is>
      </c>
      <c r="D501" s="97" t="n">
        <v>10.8</v>
      </c>
      <c r="E501" s="97" t="n">
        <v>91</v>
      </c>
      <c r="F501" s="97" t="inlineStr">
        <is>
          <t>Normal</t>
        </is>
      </c>
      <c r="G501" s="97" t="inlineStr">
        <is>
          <t>Normal</t>
        </is>
      </c>
      <c r="H501" s="97" t="inlineStr">
        <is>
          <t>Gizi Baik</t>
        </is>
      </c>
      <c r="I501" s="97" t="inlineStr">
        <is>
          <t>Ya</t>
        </is>
      </c>
      <c r="J501" s="97" t="inlineStr">
        <is>
          <t>Tidak</t>
        </is>
      </c>
    </row>
    <row r="502" ht="15.75" customHeight="1" s="95">
      <c r="A502" s="97" t="inlineStr">
        <is>
          <t>anonymus0501</t>
        </is>
      </c>
      <c r="B502" s="97" t="inlineStr">
        <is>
          <t>L</t>
        </is>
      </c>
      <c r="C502" s="97" t="inlineStr">
        <is>
          <t>35-69 Bulan</t>
        </is>
      </c>
      <c r="D502" s="97" t="n">
        <v>14.8</v>
      </c>
      <c r="E502" s="97" t="n">
        <v>90</v>
      </c>
      <c r="F502" s="97" t="inlineStr">
        <is>
          <t>Normal</t>
        </is>
      </c>
      <c r="G502" s="97" t="inlineStr">
        <is>
          <t>Pendek</t>
        </is>
      </c>
      <c r="H502" s="97" t="inlineStr">
        <is>
          <t>Risiko Gizi Lebih</t>
        </is>
      </c>
      <c r="I502" s="97" t="inlineStr">
        <is>
          <t>Ya</t>
        </is>
      </c>
      <c r="J502" s="97" t="inlineStr">
        <is>
          <t>Potensi Stunting</t>
        </is>
      </c>
    </row>
    <row r="503" ht="15.75" customHeight="1" s="95">
      <c r="A503" s="97" t="inlineStr">
        <is>
          <t>anonymus0502</t>
        </is>
      </c>
      <c r="B503" s="97" t="inlineStr">
        <is>
          <t>L</t>
        </is>
      </c>
      <c r="C503" s="97" t="inlineStr">
        <is>
          <t>35-69 Bulan</t>
        </is>
      </c>
      <c r="D503" s="97" t="n">
        <v>16.1</v>
      </c>
      <c r="E503" s="97" t="n">
        <v>92</v>
      </c>
      <c r="F503" s="97" t="inlineStr">
        <is>
          <t>Normal</t>
        </is>
      </c>
      <c r="G503" s="97" t="inlineStr">
        <is>
          <t>Normal</t>
        </is>
      </c>
      <c r="H503" s="97" t="inlineStr">
        <is>
          <t>Gizi Baik</t>
        </is>
      </c>
      <c r="I503" s="97" t="inlineStr">
        <is>
          <t>Ya</t>
        </is>
      </c>
      <c r="J503" s="97" t="inlineStr">
        <is>
          <t>Tidak</t>
        </is>
      </c>
    </row>
    <row r="504" ht="15.75" customHeight="1" s="95">
      <c r="A504" s="97" t="inlineStr">
        <is>
          <t>anonymus0503</t>
        </is>
      </c>
      <c r="B504" s="97" t="inlineStr">
        <is>
          <t>P</t>
        </is>
      </c>
      <c r="C504" s="97" t="inlineStr">
        <is>
          <t>1-34 Bulan</t>
        </is>
      </c>
      <c r="D504" s="97" t="n">
        <v>7.6</v>
      </c>
      <c r="E504" s="97" t="n">
        <v>74</v>
      </c>
      <c r="F504" s="97" t="inlineStr">
        <is>
          <t>Kurang</t>
        </is>
      </c>
      <c r="G504" s="97" t="inlineStr">
        <is>
          <t>Pendek</t>
        </is>
      </c>
      <c r="H504" s="97" t="inlineStr">
        <is>
          <t>Gizi Baik</t>
        </is>
      </c>
      <c r="I504" s="97" t="inlineStr">
        <is>
          <t>Ya</t>
        </is>
      </c>
      <c r="J504" s="97" t="inlineStr">
        <is>
          <t>Potensi Stunting</t>
        </is>
      </c>
    </row>
    <row r="505" ht="15.75" customHeight="1" s="95">
      <c r="A505" s="97" t="inlineStr">
        <is>
          <t>anonymus0504</t>
        </is>
      </c>
      <c r="B505" s="97" t="inlineStr">
        <is>
          <t xml:space="preserve">L </t>
        </is>
      </c>
      <c r="C505" s="97" t="inlineStr">
        <is>
          <t>1-34 Bulan</t>
        </is>
      </c>
      <c r="D505" s="97" t="inlineStr">
        <is>
          <t>12.7</t>
        </is>
      </c>
      <c r="E505" s="97" t="n">
        <v>84</v>
      </c>
      <c r="F505" s="97" t="inlineStr">
        <is>
          <t>Risiko Lebih</t>
        </is>
      </c>
      <c r="G505" s="97" t="inlineStr">
        <is>
          <t>Normal</t>
        </is>
      </c>
      <c r="H505" s="97" t="inlineStr">
        <is>
          <t>Risiko Gizi Lebih</t>
        </is>
      </c>
      <c r="I505" s="97" t="inlineStr">
        <is>
          <t>Ya</t>
        </is>
      </c>
      <c r="J505" s="97" t="inlineStr">
        <is>
          <t>Tidak</t>
        </is>
      </c>
    </row>
    <row r="506" ht="15.75" customHeight="1" s="95">
      <c r="A506" s="97" t="inlineStr">
        <is>
          <t>anonymus0505</t>
        </is>
      </c>
      <c r="B506" s="97" t="inlineStr">
        <is>
          <t>P</t>
        </is>
      </c>
      <c r="C506" s="97" t="inlineStr">
        <is>
          <t>1-34 Bulan</t>
        </is>
      </c>
      <c r="D506" s="97" t="n">
        <v>11.4</v>
      </c>
      <c r="E506" s="97" t="n">
        <v>74</v>
      </c>
      <c r="F506" s="97" t="inlineStr">
        <is>
          <t>Normal</t>
        </is>
      </c>
      <c r="G506" s="97" t="inlineStr">
        <is>
          <t>Normal</t>
        </is>
      </c>
      <c r="H506" s="97" t="inlineStr">
        <is>
          <t>Gizi Baik</t>
        </is>
      </c>
      <c r="I506" s="97" t="inlineStr">
        <is>
          <t>Ya</t>
        </is>
      </c>
      <c r="J506" s="97" t="inlineStr">
        <is>
          <t>Tidak</t>
        </is>
      </c>
    </row>
    <row r="507" ht="15.75" customHeight="1" s="95">
      <c r="A507" s="97" t="inlineStr">
        <is>
          <t>anonymus0506</t>
        </is>
      </c>
      <c r="B507" s="97" t="inlineStr">
        <is>
          <t>P</t>
        </is>
      </c>
      <c r="C507" s="97" t="inlineStr">
        <is>
          <t>35-69 Bulan</t>
        </is>
      </c>
      <c r="D507" s="97" t="n">
        <v>13.5</v>
      </c>
      <c r="E507" s="97" t="n">
        <v>106</v>
      </c>
      <c r="F507" s="97" t="inlineStr">
        <is>
          <t>Normal</t>
        </is>
      </c>
      <c r="G507" s="97" t="inlineStr">
        <is>
          <t>Normal</t>
        </is>
      </c>
      <c r="H507" s="97" t="inlineStr">
        <is>
          <t>Gizi Baik</t>
        </is>
      </c>
      <c r="I507" s="97" t="inlineStr">
        <is>
          <t>Ya</t>
        </is>
      </c>
      <c r="J507" s="97" t="inlineStr">
        <is>
          <t>Tidak</t>
        </is>
      </c>
    </row>
    <row r="508" ht="15.75" customHeight="1" s="95">
      <c r="A508" s="97" t="inlineStr">
        <is>
          <t>anonymus0507</t>
        </is>
      </c>
      <c r="B508" s="97" t="inlineStr">
        <is>
          <t>L</t>
        </is>
      </c>
      <c r="C508" s="97" t="inlineStr">
        <is>
          <t>1-34 Bulan</t>
        </is>
      </c>
      <c r="D508" s="97" t="n">
        <v>7</v>
      </c>
      <c r="E508" s="97" t="n">
        <v>72</v>
      </c>
      <c r="F508" s="97" t="inlineStr">
        <is>
          <t>Kurang</t>
        </is>
      </c>
      <c r="G508" s="97" t="inlineStr">
        <is>
          <t>Normal</t>
        </is>
      </c>
      <c r="H508" s="97" t="inlineStr">
        <is>
          <t>Gizi Kurang</t>
        </is>
      </c>
      <c r="I508" s="97" t="inlineStr">
        <is>
          <t>Ya</t>
        </is>
      </c>
      <c r="J508" s="97" t="inlineStr">
        <is>
          <t>Tidak</t>
        </is>
      </c>
    </row>
    <row r="509" ht="15.75" customHeight="1" s="95">
      <c r="A509" s="97" t="inlineStr">
        <is>
          <t>anonymus0508</t>
        </is>
      </c>
      <c r="B509" s="97" t="inlineStr">
        <is>
          <t>P</t>
        </is>
      </c>
      <c r="C509" s="97" t="inlineStr">
        <is>
          <t>35-69 Bulan</t>
        </is>
      </c>
      <c r="D509" s="97" t="n">
        <v>12</v>
      </c>
      <c r="E509" s="97" t="n">
        <v>94</v>
      </c>
      <c r="F509" s="97" t="inlineStr">
        <is>
          <t>Kurang</t>
        </is>
      </c>
      <c r="G509" s="97" t="inlineStr">
        <is>
          <t>Pendek</t>
        </is>
      </c>
      <c r="H509" s="97" t="inlineStr">
        <is>
          <t>Gizi Baik</t>
        </is>
      </c>
      <c r="I509" s="97" t="inlineStr">
        <is>
          <t>Ya</t>
        </is>
      </c>
      <c r="J509" s="97" t="inlineStr">
        <is>
          <t>Potensi Stunting</t>
        </is>
      </c>
    </row>
    <row r="510" ht="15.75" customHeight="1" s="95">
      <c r="A510" s="97" t="inlineStr">
        <is>
          <t>anonymus0509</t>
        </is>
      </c>
      <c r="B510" s="97" t="inlineStr">
        <is>
          <t>L</t>
        </is>
      </c>
      <c r="C510" s="97" t="inlineStr">
        <is>
          <t>1-34 Bulan</t>
        </is>
      </c>
      <c r="D510" s="97" t="n">
        <v>8.300000000000001</v>
      </c>
      <c r="E510" s="97" t="n">
        <v>72.5</v>
      </c>
      <c r="F510" s="97" t="inlineStr">
        <is>
          <t>Normal</t>
        </is>
      </c>
      <c r="G510" s="97" t="inlineStr">
        <is>
          <t>Pendek</t>
        </is>
      </c>
      <c r="H510" s="97" t="inlineStr">
        <is>
          <t>Gizi Baik</t>
        </is>
      </c>
      <c r="I510" s="97" t="inlineStr">
        <is>
          <t>Ya</t>
        </is>
      </c>
      <c r="J510" s="97" t="inlineStr">
        <is>
          <t>Potensi Stunting</t>
        </is>
      </c>
    </row>
    <row r="511" ht="15.75" customHeight="1" s="95">
      <c r="A511" s="97" t="inlineStr">
        <is>
          <t>anonymus0510</t>
        </is>
      </c>
      <c r="B511" s="97" t="inlineStr">
        <is>
          <t>L</t>
        </is>
      </c>
      <c r="C511" s="97" t="inlineStr">
        <is>
          <t>35-69 Bulan</t>
        </is>
      </c>
      <c r="D511" s="97" t="n">
        <v>11</v>
      </c>
      <c r="E511" s="97" t="n">
        <v>89</v>
      </c>
      <c r="F511" s="97" t="inlineStr">
        <is>
          <t>Kurang</t>
        </is>
      </c>
      <c r="G511" s="97" t="inlineStr">
        <is>
          <t>Pendek</t>
        </is>
      </c>
      <c r="H511" s="97" t="inlineStr">
        <is>
          <t>Gizi Baik</t>
        </is>
      </c>
      <c r="I511" s="97" t="inlineStr">
        <is>
          <t>Ya</t>
        </is>
      </c>
      <c r="J511" s="97" t="inlineStr">
        <is>
          <t>Potensi Stunting</t>
        </is>
      </c>
    </row>
    <row r="512" ht="15.75" customHeight="1" s="95">
      <c r="A512" s="97" t="inlineStr">
        <is>
          <t>anonymus0511</t>
        </is>
      </c>
      <c r="B512" s="97" t="inlineStr">
        <is>
          <t xml:space="preserve">P </t>
        </is>
      </c>
      <c r="C512" s="97" t="inlineStr">
        <is>
          <t>1-34 Bulan</t>
        </is>
      </c>
      <c r="D512" s="97" t="n">
        <v>8</v>
      </c>
      <c r="E512" s="97" t="n">
        <v>71</v>
      </c>
      <c r="F512" s="97" t="inlineStr">
        <is>
          <t>Normal</t>
        </is>
      </c>
      <c r="G512" s="97" t="inlineStr">
        <is>
          <t>Normal</t>
        </is>
      </c>
      <c r="H512" s="97" t="inlineStr">
        <is>
          <t>Gizi Baik</t>
        </is>
      </c>
      <c r="I512" s="97" t="inlineStr">
        <is>
          <t>Ya</t>
        </is>
      </c>
      <c r="J512" s="97" t="inlineStr">
        <is>
          <t>Tidak</t>
        </is>
      </c>
    </row>
    <row r="513" ht="15.75" customHeight="1" s="95">
      <c r="A513" s="97" t="inlineStr">
        <is>
          <t>anonymus0512</t>
        </is>
      </c>
      <c r="B513" s="97" t="inlineStr">
        <is>
          <t>P</t>
        </is>
      </c>
      <c r="C513" s="97" t="inlineStr">
        <is>
          <t>1-34 Bulan</t>
        </is>
      </c>
      <c r="D513" s="97" t="n">
        <v>13.9</v>
      </c>
      <c r="E513" s="97" t="n">
        <v>83</v>
      </c>
      <c r="F513" s="97" t="inlineStr">
        <is>
          <t>Normal</t>
        </is>
      </c>
      <c r="G513" s="97" t="inlineStr">
        <is>
          <t>Normal</t>
        </is>
      </c>
      <c r="H513" s="97" t="inlineStr">
        <is>
          <t>Gizi Baik</t>
        </is>
      </c>
      <c r="I513" s="97" t="inlineStr">
        <is>
          <t>Ya</t>
        </is>
      </c>
      <c r="J513" s="97" t="inlineStr">
        <is>
          <t>Tidak</t>
        </is>
      </c>
    </row>
    <row r="514" ht="15.75" customHeight="1" s="95">
      <c r="A514" s="97" t="inlineStr">
        <is>
          <t>anonymus0513</t>
        </is>
      </c>
      <c r="B514" s="97" t="inlineStr">
        <is>
          <t xml:space="preserve">L </t>
        </is>
      </c>
      <c r="C514" s="97" t="inlineStr">
        <is>
          <t>1-34 Bulan</t>
        </is>
      </c>
      <c r="D514" s="97" t="inlineStr">
        <is>
          <t>9.2</t>
        </is>
      </c>
      <c r="E514" s="97" t="n">
        <v>81</v>
      </c>
      <c r="F514" s="97" t="inlineStr">
        <is>
          <t>Normal</t>
        </is>
      </c>
      <c r="G514" s="97" t="inlineStr">
        <is>
          <t>Normal</t>
        </is>
      </c>
      <c r="H514" s="97" t="inlineStr">
        <is>
          <t>Gizi Baik</t>
        </is>
      </c>
      <c r="I514" s="97" t="inlineStr">
        <is>
          <t>Ya</t>
        </is>
      </c>
      <c r="J514" s="97" t="inlineStr">
        <is>
          <t>Tidak</t>
        </is>
      </c>
    </row>
    <row r="515" ht="15.75" customHeight="1" s="95">
      <c r="A515" s="97" t="inlineStr">
        <is>
          <t>anonymus0514</t>
        </is>
      </c>
      <c r="B515" s="97" t="inlineStr">
        <is>
          <t>L</t>
        </is>
      </c>
      <c r="C515" s="97" t="inlineStr">
        <is>
          <t>35-69 Bulan</t>
        </is>
      </c>
      <c r="D515" s="97" t="n">
        <v>13.6</v>
      </c>
      <c r="E515" s="97" t="n">
        <v>87.3</v>
      </c>
      <c r="F515" s="97" t="inlineStr">
        <is>
          <t>Kurang</t>
        </is>
      </c>
      <c r="G515" s="97" t="inlineStr">
        <is>
          <t>Sangat Pendek</t>
        </is>
      </c>
      <c r="H515" s="97" t="inlineStr">
        <is>
          <t>Risiko Gizi Lebih</t>
        </is>
      </c>
      <c r="I515" s="97" t="inlineStr">
        <is>
          <t>Ya</t>
        </is>
      </c>
      <c r="J515" s="97" t="inlineStr">
        <is>
          <t>Stunting</t>
        </is>
      </c>
    </row>
    <row r="516" ht="15.75" customHeight="1" s="95">
      <c r="A516" s="97" t="inlineStr">
        <is>
          <t>anonymus0515</t>
        </is>
      </c>
      <c r="B516" s="97" t="inlineStr">
        <is>
          <t>P</t>
        </is>
      </c>
      <c r="C516" s="97" t="inlineStr">
        <is>
          <t>35-69 Bulan</t>
        </is>
      </c>
      <c r="D516" s="97" t="n">
        <v>11.4</v>
      </c>
      <c r="E516" s="97" t="n">
        <v>94</v>
      </c>
      <c r="F516" s="97" t="inlineStr">
        <is>
          <t>Normal</t>
        </is>
      </c>
      <c r="G516" s="97" t="inlineStr">
        <is>
          <t>Normal</t>
        </is>
      </c>
      <c r="H516" s="97" t="inlineStr">
        <is>
          <t>Gizi Kurang</t>
        </is>
      </c>
      <c r="I516" s="97" t="inlineStr">
        <is>
          <t>Ya</t>
        </is>
      </c>
      <c r="J516" s="97" t="inlineStr">
        <is>
          <t>Tidak</t>
        </is>
      </c>
    </row>
    <row r="517" ht="15.75" customHeight="1" s="95">
      <c r="A517" s="97" t="inlineStr">
        <is>
          <t>anonymus0516</t>
        </is>
      </c>
      <c r="B517" s="97" t="inlineStr">
        <is>
          <t>P</t>
        </is>
      </c>
      <c r="C517" s="97" t="inlineStr">
        <is>
          <t>35-69 Bulan</t>
        </is>
      </c>
      <c r="D517" s="97" t="n">
        <v>9.199999999999999</v>
      </c>
      <c r="E517" s="97" t="n">
        <v>81</v>
      </c>
      <c r="F517" s="97" t="inlineStr">
        <is>
          <t>Kurang</t>
        </is>
      </c>
      <c r="G517" s="97" t="inlineStr">
        <is>
          <t>Pendek</t>
        </is>
      </c>
      <c r="H517" s="97" t="inlineStr">
        <is>
          <t>Gizi Baik</t>
        </is>
      </c>
      <c r="I517" s="97" t="inlineStr">
        <is>
          <t>Ya</t>
        </is>
      </c>
      <c r="J517" s="97" t="inlineStr">
        <is>
          <t>Potensi Stunting</t>
        </is>
      </c>
    </row>
    <row r="518" ht="15.75" customHeight="1" s="95">
      <c r="A518" s="97" t="inlineStr">
        <is>
          <t>anonymus0517</t>
        </is>
      </c>
      <c r="B518" s="97" t="inlineStr">
        <is>
          <t xml:space="preserve">L </t>
        </is>
      </c>
      <c r="C518" s="97" t="inlineStr">
        <is>
          <t>35-69 Bulan</t>
        </is>
      </c>
      <c r="D518" s="97" t="inlineStr">
        <is>
          <t>16.3</t>
        </is>
      </c>
      <c r="E518" s="97" t="n">
        <v>101</v>
      </c>
      <c r="F518" s="97" t="inlineStr">
        <is>
          <t>Normal</t>
        </is>
      </c>
      <c r="G518" s="97" t="inlineStr">
        <is>
          <t>Normal</t>
        </is>
      </c>
      <c r="H518" s="97" t="inlineStr">
        <is>
          <t>Gizi Baik</t>
        </is>
      </c>
      <c r="I518" s="97" t="inlineStr">
        <is>
          <t>Ya</t>
        </is>
      </c>
      <c r="J518" s="97" t="inlineStr">
        <is>
          <t>Tidak</t>
        </is>
      </c>
    </row>
    <row r="519" ht="15.75" customHeight="1" s="95">
      <c r="A519" s="97" t="inlineStr">
        <is>
          <t>anonymus0518</t>
        </is>
      </c>
      <c r="B519" s="97" t="inlineStr">
        <is>
          <t>L</t>
        </is>
      </c>
      <c r="C519" s="97" t="inlineStr">
        <is>
          <t>1-34 Bulan</t>
        </is>
      </c>
      <c r="D519" s="97" t="n">
        <v>12.4</v>
      </c>
      <c r="E519" s="97" t="n">
        <v>92</v>
      </c>
      <c r="F519" s="97" t="inlineStr">
        <is>
          <t>Normal</t>
        </is>
      </c>
      <c r="G519" s="97" t="inlineStr">
        <is>
          <t>Normal</t>
        </is>
      </c>
      <c r="H519" s="97" t="inlineStr">
        <is>
          <t>Gizi Baik</t>
        </is>
      </c>
      <c r="I519" s="97" t="inlineStr">
        <is>
          <t>Ya</t>
        </is>
      </c>
      <c r="J519" s="97" t="inlineStr">
        <is>
          <t>Tidak</t>
        </is>
      </c>
    </row>
    <row r="520" ht="15.75" customHeight="1" s="95">
      <c r="A520" s="97" t="inlineStr">
        <is>
          <t>anonymus0519</t>
        </is>
      </c>
      <c r="B520" s="97" t="inlineStr">
        <is>
          <t>L</t>
        </is>
      </c>
      <c r="C520" s="97" t="inlineStr">
        <is>
          <t>35-69 Bulan</t>
        </is>
      </c>
      <c r="D520" s="97" t="n">
        <v>12.2</v>
      </c>
      <c r="E520" s="97" t="n">
        <v>97</v>
      </c>
      <c r="F520" s="97" t="inlineStr">
        <is>
          <t>Normal</t>
        </is>
      </c>
      <c r="G520" s="97" t="inlineStr">
        <is>
          <t>Normal</t>
        </is>
      </c>
      <c r="H520" s="97" t="inlineStr">
        <is>
          <t>Gizi Baik</t>
        </is>
      </c>
      <c r="I520" s="97" t="inlineStr">
        <is>
          <t>Ya</t>
        </is>
      </c>
      <c r="J520" s="97" t="inlineStr">
        <is>
          <t>Tidak</t>
        </is>
      </c>
    </row>
    <row r="521" ht="15.75" customHeight="1" s="95">
      <c r="A521" s="97" t="inlineStr">
        <is>
          <t>anonymus0520</t>
        </is>
      </c>
      <c r="B521" s="97" t="inlineStr">
        <is>
          <t>P</t>
        </is>
      </c>
      <c r="C521" s="97" t="inlineStr">
        <is>
          <t>35-69 Bulan</t>
        </is>
      </c>
      <c r="D521" s="97" t="n">
        <v>11.1</v>
      </c>
      <c r="E521" s="97" t="n">
        <v>109</v>
      </c>
      <c r="F521" s="97" t="inlineStr">
        <is>
          <t>Normal</t>
        </is>
      </c>
      <c r="G521" s="97" t="inlineStr">
        <is>
          <t>Normal</t>
        </is>
      </c>
      <c r="H521" s="97" t="inlineStr">
        <is>
          <t>Gizi Baik</t>
        </is>
      </c>
      <c r="I521" s="97" t="inlineStr">
        <is>
          <t>Ya</t>
        </is>
      </c>
      <c r="J521" s="97" t="inlineStr">
        <is>
          <t>Tidak</t>
        </is>
      </c>
    </row>
    <row r="522" ht="15.75" customHeight="1" s="95">
      <c r="A522" s="97" t="inlineStr">
        <is>
          <t>anonymus0521</t>
        </is>
      </c>
      <c r="B522" s="97" t="inlineStr">
        <is>
          <t>P</t>
        </is>
      </c>
      <c r="C522" s="97" t="inlineStr">
        <is>
          <t>35-69 Bulan</t>
        </is>
      </c>
      <c r="D522" s="97" t="n">
        <v>10.5</v>
      </c>
      <c r="E522" s="97" t="n">
        <v>88.3</v>
      </c>
      <c r="F522" s="97" t="inlineStr">
        <is>
          <t>Kurang</t>
        </is>
      </c>
      <c r="G522" s="97" t="inlineStr">
        <is>
          <t>Pendek</t>
        </is>
      </c>
      <c r="H522" s="97" t="inlineStr">
        <is>
          <t>Gizi Baik</t>
        </is>
      </c>
      <c r="I522" s="97" t="inlineStr">
        <is>
          <t>Ya</t>
        </is>
      </c>
      <c r="J522" s="97" t="inlineStr">
        <is>
          <t>Potensi Stunting</t>
        </is>
      </c>
    </row>
    <row r="523" ht="15.75" customHeight="1" s="95">
      <c r="A523" s="97" t="inlineStr">
        <is>
          <t>anonymus0522</t>
        </is>
      </c>
      <c r="B523" s="97" t="inlineStr">
        <is>
          <t xml:space="preserve">L </t>
        </is>
      </c>
      <c r="C523" s="97" t="inlineStr">
        <is>
          <t>1-34 Bulan</t>
        </is>
      </c>
      <c r="D523" s="97" t="inlineStr">
        <is>
          <t>8.6</t>
        </is>
      </c>
      <c r="E523" s="97" t="n">
        <v>72</v>
      </c>
      <c r="F523" s="97" t="inlineStr">
        <is>
          <t>Normal</t>
        </is>
      </c>
      <c r="G523" s="97" t="inlineStr">
        <is>
          <t>Normal</t>
        </is>
      </c>
      <c r="H523" s="97" t="inlineStr">
        <is>
          <t>Gizi Baik</t>
        </is>
      </c>
      <c r="I523" s="97" t="inlineStr">
        <is>
          <t>Ya</t>
        </is>
      </c>
      <c r="J523" s="97" t="inlineStr">
        <is>
          <t>Tidak</t>
        </is>
      </c>
    </row>
    <row r="524" ht="15.75" customHeight="1" s="95">
      <c r="A524" s="97" t="inlineStr">
        <is>
          <t>anonymus0523</t>
        </is>
      </c>
      <c r="B524" s="97" t="inlineStr">
        <is>
          <t xml:space="preserve">P </t>
        </is>
      </c>
      <c r="C524" s="97" t="inlineStr">
        <is>
          <t>35-69 Bulan</t>
        </is>
      </c>
      <c r="D524" s="97" t="n">
        <v>14</v>
      </c>
      <c r="E524" s="97" t="n">
        <v>105</v>
      </c>
      <c r="F524" s="97" t="inlineStr">
        <is>
          <t>Normal</t>
        </is>
      </c>
      <c r="G524" s="97" t="inlineStr">
        <is>
          <t>Normal</t>
        </is>
      </c>
      <c r="H524" s="97" t="inlineStr">
        <is>
          <t>Gizi Kurang</t>
        </is>
      </c>
      <c r="I524" s="97" t="inlineStr">
        <is>
          <t>Ya</t>
        </is>
      </c>
      <c r="J524" s="97" t="inlineStr">
        <is>
          <t>Tidak</t>
        </is>
      </c>
    </row>
    <row r="525" ht="15.75" customHeight="1" s="95">
      <c r="A525" s="97" t="inlineStr">
        <is>
          <t>anonymus0524</t>
        </is>
      </c>
      <c r="B525" s="97" t="inlineStr">
        <is>
          <t>P</t>
        </is>
      </c>
      <c r="C525" s="97" t="inlineStr">
        <is>
          <t>35-69 Bulan</t>
        </is>
      </c>
      <c r="D525" s="97" t="n">
        <v>10.7</v>
      </c>
      <c r="E525" s="97" t="n">
        <v>99</v>
      </c>
      <c r="F525" s="97" t="inlineStr">
        <is>
          <t>Normal</t>
        </is>
      </c>
      <c r="G525" s="97" t="inlineStr">
        <is>
          <t>Normal</t>
        </is>
      </c>
      <c r="H525" s="97" t="inlineStr">
        <is>
          <t>Gizi Baik</t>
        </is>
      </c>
      <c r="I525" s="97" t="inlineStr">
        <is>
          <t>Ya</t>
        </is>
      </c>
      <c r="J525" s="97" t="inlineStr">
        <is>
          <t>Tidak</t>
        </is>
      </c>
    </row>
    <row r="526" ht="15.75" customHeight="1" s="95">
      <c r="A526" s="97" t="inlineStr">
        <is>
          <t>anonymus0525</t>
        </is>
      </c>
      <c r="B526" s="97" t="inlineStr">
        <is>
          <t>L</t>
        </is>
      </c>
      <c r="C526" s="97" t="inlineStr">
        <is>
          <t>1-34 Bulan</t>
        </is>
      </c>
      <c r="D526" s="97" t="n">
        <v>13.2</v>
      </c>
      <c r="E526" s="97" t="n">
        <v>80</v>
      </c>
      <c r="F526" s="97" t="inlineStr">
        <is>
          <t>Normal</t>
        </is>
      </c>
      <c r="G526" s="97" t="inlineStr">
        <is>
          <t>Normal</t>
        </is>
      </c>
      <c r="H526" s="97" t="inlineStr">
        <is>
          <t>Gizi Baik</t>
        </is>
      </c>
      <c r="I526" s="97" t="inlineStr">
        <is>
          <t>Ya</t>
        </is>
      </c>
      <c r="J526" s="97" t="inlineStr">
        <is>
          <t>Tidak</t>
        </is>
      </c>
    </row>
    <row r="527" ht="15.75" customHeight="1" s="95">
      <c r="A527" s="97" t="inlineStr">
        <is>
          <t>anonymus0526</t>
        </is>
      </c>
      <c r="B527" s="97" t="inlineStr">
        <is>
          <t>L</t>
        </is>
      </c>
      <c r="C527" s="97" t="inlineStr">
        <is>
          <t>35-69 Bulan</t>
        </is>
      </c>
      <c r="D527" s="97" t="n">
        <v>10.4</v>
      </c>
      <c r="E527" s="97" t="n">
        <v>82</v>
      </c>
      <c r="F527" s="97" t="inlineStr">
        <is>
          <t>Normal</t>
        </is>
      </c>
      <c r="G527" s="97" t="inlineStr">
        <is>
          <t>Pendek</t>
        </is>
      </c>
      <c r="H527" s="97" t="inlineStr">
        <is>
          <t>Gizi Baik</t>
        </is>
      </c>
      <c r="I527" s="97" t="inlineStr">
        <is>
          <t>Ya</t>
        </is>
      </c>
      <c r="J527" s="97" t="inlineStr">
        <is>
          <t>Potensi Stunting</t>
        </is>
      </c>
    </row>
    <row r="528" ht="15.75" customHeight="1" s="95">
      <c r="A528" s="97" t="inlineStr">
        <is>
          <t>anonymus0527</t>
        </is>
      </c>
      <c r="B528" s="97" t="inlineStr">
        <is>
          <t>P</t>
        </is>
      </c>
      <c r="C528" s="97" t="inlineStr">
        <is>
          <t>1-34 Bulan</t>
        </is>
      </c>
      <c r="D528" s="97" t="n">
        <v>10</v>
      </c>
      <c r="E528" s="97" t="n">
        <v>88.59999999999999</v>
      </c>
      <c r="F528" s="97" t="inlineStr">
        <is>
          <t>Normal</t>
        </is>
      </c>
      <c r="G528" s="97" t="inlineStr">
        <is>
          <t>Normal</t>
        </is>
      </c>
      <c r="H528" s="97" t="inlineStr">
        <is>
          <t>Gizi Kurang</t>
        </is>
      </c>
      <c r="I528" s="97" t="inlineStr">
        <is>
          <t>Ya</t>
        </is>
      </c>
      <c r="J528" s="97" t="inlineStr">
        <is>
          <t>Tidak</t>
        </is>
      </c>
    </row>
    <row r="529" ht="15.75" customHeight="1" s="95">
      <c r="A529" s="97" t="inlineStr">
        <is>
          <t>anonymus0528</t>
        </is>
      </c>
      <c r="B529" s="97" t="inlineStr">
        <is>
          <t xml:space="preserve">P </t>
        </is>
      </c>
      <c r="C529" s="97" t="inlineStr">
        <is>
          <t>35-69 Bulan</t>
        </is>
      </c>
      <c r="D529" s="97" t="inlineStr">
        <is>
          <t>11.3</t>
        </is>
      </c>
      <c r="E529" s="97" t="n">
        <v>92</v>
      </c>
      <c r="F529" s="97" t="inlineStr">
        <is>
          <t>Kurang</t>
        </is>
      </c>
      <c r="G529" s="97" t="inlineStr">
        <is>
          <t>Normal</t>
        </is>
      </c>
      <c r="H529" s="97" t="inlineStr">
        <is>
          <t>Gizi Baik</t>
        </is>
      </c>
      <c r="I529" s="97" t="inlineStr">
        <is>
          <t>Ya</t>
        </is>
      </c>
      <c r="J529" s="97" t="inlineStr">
        <is>
          <t>Tidak</t>
        </is>
      </c>
    </row>
    <row r="530" ht="15.75" customHeight="1" s="95">
      <c r="A530" s="97" t="inlineStr">
        <is>
          <t>anonymus0529</t>
        </is>
      </c>
      <c r="B530" s="97" t="inlineStr">
        <is>
          <t>P</t>
        </is>
      </c>
      <c r="C530" s="97" t="inlineStr">
        <is>
          <t>35-69 Bulan</t>
        </is>
      </c>
      <c r="D530" s="97" t="n">
        <v>8.9</v>
      </c>
      <c r="E530" s="97" t="n">
        <v>76</v>
      </c>
      <c r="F530" s="97" t="inlineStr">
        <is>
          <t>Kurang</t>
        </is>
      </c>
      <c r="G530" s="97" t="inlineStr">
        <is>
          <t>Sangat Pendek</t>
        </is>
      </c>
      <c r="H530" s="97" t="inlineStr">
        <is>
          <t>Gizi Baik</t>
        </is>
      </c>
      <c r="I530" s="97" t="inlineStr">
        <is>
          <t>Ya</t>
        </is>
      </c>
      <c r="J530" s="97" t="inlineStr">
        <is>
          <t>Stunting</t>
        </is>
      </c>
    </row>
    <row r="531" ht="15.75" customHeight="1" s="95">
      <c r="A531" s="97" t="inlineStr">
        <is>
          <t>anonymus0530</t>
        </is>
      </c>
      <c r="B531" s="97" t="inlineStr">
        <is>
          <t>L</t>
        </is>
      </c>
      <c r="C531" s="97" t="inlineStr">
        <is>
          <t>1-34 Bulan</t>
        </is>
      </c>
      <c r="D531" s="97" t="n">
        <v>14.7</v>
      </c>
      <c r="E531" s="97" t="n">
        <v>92</v>
      </c>
      <c r="F531" s="97" t="inlineStr">
        <is>
          <t>Normal</t>
        </is>
      </c>
      <c r="G531" s="97" t="inlineStr">
        <is>
          <t>Normal</t>
        </is>
      </c>
      <c r="H531" s="97" t="inlineStr">
        <is>
          <t>Gizi Baik</t>
        </is>
      </c>
      <c r="I531" s="97" t="inlineStr">
        <is>
          <t>Ya</t>
        </is>
      </c>
      <c r="J531" s="97" t="inlineStr">
        <is>
          <t>Tidak</t>
        </is>
      </c>
    </row>
    <row r="532" ht="15.75" customHeight="1" s="95">
      <c r="A532" s="97" t="inlineStr">
        <is>
          <t>anonymus0531</t>
        </is>
      </c>
      <c r="B532" s="97" t="inlineStr">
        <is>
          <t xml:space="preserve">P </t>
        </is>
      </c>
      <c r="C532" s="97" t="inlineStr">
        <is>
          <t>35-69 Bulan</t>
        </is>
      </c>
      <c r="D532" s="97" t="inlineStr">
        <is>
          <t>13.4</t>
        </is>
      </c>
      <c r="E532" s="97" t="n">
        <v>97</v>
      </c>
      <c r="F532" s="97" t="inlineStr">
        <is>
          <t>Normal</t>
        </is>
      </c>
      <c r="G532" s="97" t="inlineStr">
        <is>
          <t>Normal</t>
        </is>
      </c>
      <c r="H532" s="97" t="inlineStr">
        <is>
          <t>Gizi Baik</t>
        </is>
      </c>
      <c r="I532" s="97" t="inlineStr">
        <is>
          <t>Ya</t>
        </is>
      </c>
      <c r="J532" s="97" t="inlineStr">
        <is>
          <t>Tidak</t>
        </is>
      </c>
    </row>
    <row r="533" ht="15.75" customHeight="1" s="95">
      <c r="A533" s="97" t="inlineStr">
        <is>
          <t>anonymus0532</t>
        </is>
      </c>
      <c r="B533" s="97" t="inlineStr">
        <is>
          <t>L</t>
        </is>
      </c>
      <c r="C533" s="97" t="inlineStr">
        <is>
          <t>35-69 Bulan</t>
        </is>
      </c>
      <c r="D533" s="97" t="n">
        <v>18.3</v>
      </c>
      <c r="E533" s="97" t="n">
        <v>101</v>
      </c>
      <c r="F533" s="97" t="inlineStr">
        <is>
          <t>Risiko Lebih</t>
        </is>
      </c>
      <c r="G533" s="97" t="inlineStr">
        <is>
          <t>Normal</t>
        </is>
      </c>
      <c r="H533" s="97" t="inlineStr">
        <is>
          <t>Gizi Lebih</t>
        </is>
      </c>
      <c r="I533" s="97" t="inlineStr">
        <is>
          <t>Ya</t>
        </is>
      </c>
      <c r="J533" s="97" t="inlineStr">
        <is>
          <t>Tidak</t>
        </is>
      </c>
    </row>
    <row r="534" ht="15.75" customHeight="1" s="95">
      <c r="A534" s="97" t="inlineStr">
        <is>
          <t>anonymus0533</t>
        </is>
      </c>
      <c r="B534" s="97" t="inlineStr">
        <is>
          <t>P</t>
        </is>
      </c>
      <c r="C534" s="97" t="inlineStr">
        <is>
          <t>35-69 Bulan</t>
        </is>
      </c>
      <c r="D534" s="97" t="n">
        <v>10</v>
      </c>
      <c r="E534" s="97" t="n">
        <v>88</v>
      </c>
      <c r="F534" s="97" t="inlineStr">
        <is>
          <t>Kurang</t>
        </is>
      </c>
      <c r="G534" s="97" t="inlineStr">
        <is>
          <t>Normal</t>
        </is>
      </c>
      <c r="H534" s="97" t="inlineStr">
        <is>
          <t>Gizi Kurang</t>
        </is>
      </c>
      <c r="I534" s="97" t="inlineStr">
        <is>
          <t>Ya</t>
        </is>
      </c>
      <c r="J534" s="97" t="inlineStr">
        <is>
          <t>Tidak</t>
        </is>
      </c>
    </row>
    <row r="535" ht="15.75" customHeight="1" s="95">
      <c r="A535" s="97" t="inlineStr">
        <is>
          <t>anonymus0534</t>
        </is>
      </c>
      <c r="B535" s="97" t="inlineStr">
        <is>
          <t>P</t>
        </is>
      </c>
      <c r="C535" s="97" t="inlineStr">
        <is>
          <t>1-34 Bulan</t>
        </is>
      </c>
      <c r="D535" s="97" t="n">
        <v>14.8</v>
      </c>
      <c r="E535" s="97" t="n">
        <v>78</v>
      </c>
      <c r="F535" s="97" t="inlineStr">
        <is>
          <t>Normal</t>
        </is>
      </c>
      <c r="G535" s="97" t="inlineStr">
        <is>
          <t>Normal</t>
        </is>
      </c>
      <c r="H535" s="97" t="inlineStr">
        <is>
          <t>Gizi Baik</t>
        </is>
      </c>
      <c r="I535" s="97" t="inlineStr">
        <is>
          <t>Ya</t>
        </is>
      </c>
      <c r="J535" s="97" t="inlineStr">
        <is>
          <t>Tidak</t>
        </is>
      </c>
    </row>
    <row r="536" ht="15.75" customHeight="1" s="95">
      <c r="A536" s="97" t="inlineStr">
        <is>
          <t>anonymus0535</t>
        </is>
      </c>
      <c r="B536" s="97" t="inlineStr">
        <is>
          <t>L</t>
        </is>
      </c>
      <c r="C536" s="97" t="inlineStr">
        <is>
          <t>1-34 Bulan</t>
        </is>
      </c>
      <c r="D536" s="97" t="n">
        <v>7.1</v>
      </c>
      <c r="E536" s="97" t="n">
        <v>88</v>
      </c>
      <c r="F536" s="97" t="inlineStr">
        <is>
          <t>Kurang</t>
        </is>
      </c>
      <c r="G536" s="97" t="inlineStr">
        <is>
          <t>Normal</t>
        </is>
      </c>
      <c r="H536" s="97" t="inlineStr">
        <is>
          <t>Gizi Kurang</t>
        </is>
      </c>
      <c r="I536" s="97" t="inlineStr">
        <is>
          <t>Ya</t>
        </is>
      </c>
      <c r="J536" s="97" t="inlineStr">
        <is>
          <t>Tidak</t>
        </is>
      </c>
    </row>
    <row r="537" ht="15.75" customHeight="1" s="95">
      <c r="A537" s="97" t="inlineStr">
        <is>
          <t>anonymus0536</t>
        </is>
      </c>
      <c r="B537" s="97" t="inlineStr">
        <is>
          <t>P</t>
        </is>
      </c>
      <c r="C537" s="97" t="inlineStr">
        <is>
          <t>1-34 Bulan</t>
        </is>
      </c>
      <c r="D537" s="97" t="n">
        <v>14.6</v>
      </c>
      <c r="E537" s="97" t="n">
        <v>76</v>
      </c>
      <c r="F537" s="97" t="inlineStr">
        <is>
          <t>Normal</t>
        </is>
      </c>
      <c r="G537" s="97" t="inlineStr">
        <is>
          <t>Normal</t>
        </is>
      </c>
      <c r="H537" s="97" t="inlineStr">
        <is>
          <t>Gizi Baik</t>
        </is>
      </c>
      <c r="I537" s="97" t="inlineStr">
        <is>
          <t>Ya</t>
        </is>
      </c>
      <c r="J537" s="97" t="inlineStr">
        <is>
          <t>Tidak</t>
        </is>
      </c>
    </row>
    <row r="538" ht="15.75" customHeight="1" s="95">
      <c r="A538" s="97" t="inlineStr">
        <is>
          <t>anonymus0537</t>
        </is>
      </c>
      <c r="B538" s="97" t="inlineStr">
        <is>
          <t>L</t>
        </is>
      </c>
      <c r="C538" s="97" t="inlineStr">
        <is>
          <t>1-34 Bulan</t>
        </is>
      </c>
      <c r="D538" s="97" t="n">
        <v>3.5</v>
      </c>
      <c r="E538" s="97" t="n">
        <v>50</v>
      </c>
      <c r="F538" s="97" t="inlineStr">
        <is>
          <t>Normal</t>
        </is>
      </c>
      <c r="G538" s="97" t="inlineStr">
        <is>
          <t>Pendek</t>
        </is>
      </c>
      <c r="H538" s="97" t="inlineStr">
        <is>
          <t>Gizi Baik</t>
        </is>
      </c>
      <c r="I538" s="97" t="inlineStr">
        <is>
          <t>Ya</t>
        </is>
      </c>
      <c r="J538" s="97" t="inlineStr">
        <is>
          <t>Potensi Stunting</t>
        </is>
      </c>
    </row>
    <row r="539" ht="15.75" customHeight="1" s="95">
      <c r="A539" s="97" t="inlineStr">
        <is>
          <t>anonymus0538</t>
        </is>
      </c>
      <c r="B539" s="97" t="inlineStr">
        <is>
          <t>P</t>
        </is>
      </c>
      <c r="C539" s="97" t="inlineStr">
        <is>
          <t>1-34 Bulan</t>
        </is>
      </c>
      <c r="D539" s="97" t="n">
        <v>12.8</v>
      </c>
      <c r="E539" s="97" t="n">
        <v>78</v>
      </c>
      <c r="F539" s="97" t="inlineStr">
        <is>
          <t>Normal</t>
        </is>
      </c>
      <c r="G539" s="97" t="inlineStr">
        <is>
          <t>Normal</t>
        </is>
      </c>
      <c r="H539" s="97" t="inlineStr">
        <is>
          <t>Gizi Baik</t>
        </is>
      </c>
      <c r="I539" s="97" t="inlineStr">
        <is>
          <t>Ya</t>
        </is>
      </c>
      <c r="J539" s="97" t="inlineStr">
        <is>
          <t>Tidak</t>
        </is>
      </c>
    </row>
    <row r="540" ht="15.75" customHeight="1" s="95">
      <c r="A540" s="97" t="inlineStr">
        <is>
          <t>anonymus0539</t>
        </is>
      </c>
      <c r="B540" s="97" t="inlineStr">
        <is>
          <t xml:space="preserve">P </t>
        </is>
      </c>
      <c r="C540" s="97" t="inlineStr">
        <is>
          <t>1-34 Bulan</t>
        </is>
      </c>
      <c r="D540" s="97" t="inlineStr">
        <is>
          <t>8.2</t>
        </is>
      </c>
      <c r="E540" s="97" t="n">
        <v>67</v>
      </c>
      <c r="F540" s="97" t="inlineStr">
        <is>
          <t>Normal</t>
        </is>
      </c>
      <c r="G540" s="97" t="inlineStr">
        <is>
          <t>Normal</t>
        </is>
      </c>
      <c r="H540" s="97" t="inlineStr">
        <is>
          <t>Gizi Baik</t>
        </is>
      </c>
      <c r="I540" s="97" t="inlineStr">
        <is>
          <t>Ya</t>
        </is>
      </c>
      <c r="J540" s="97" t="inlineStr">
        <is>
          <t>Tidak</t>
        </is>
      </c>
    </row>
    <row r="541" ht="15.75" customHeight="1" s="95">
      <c r="A541" s="97" t="inlineStr">
        <is>
          <t>anonymus0540</t>
        </is>
      </c>
      <c r="B541" s="97" t="inlineStr">
        <is>
          <t>L</t>
        </is>
      </c>
      <c r="C541" s="97" t="inlineStr">
        <is>
          <t>1-34 Bulan</t>
        </is>
      </c>
      <c r="D541" s="97" t="n">
        <v>14.6</v>
      </c>
      <c r="E541" s="97" t="n">
        <v>92</v>
      </c>
      <c r="F541" s="97" t="inlineStr">
        <is>
          <t>Normal</t>
        </is>
      </c>
      <c r="G541" s="97" t="inlineStr">
        <is>
          <t>Normal</t>
        </is>
      </c>
      <c r="H541" s="97" t="inlineStr">
        <is>
          <t>Gizi Baik</t>
        </is>
      </c>
      <c r="I541" s="97" t="inlineStr">
        <is>
          <t>Ya</t>
        </is>
      </c>
      <c r="J541" s="97" t="inlineStr">
        <is>
          <t>Tidak</t>
        </is>
      </c>
    </row>
    <row r="542" ht="15.75" customHeight="1" s="95">
      <c r="A542" s="97" t="inlineStr">
        <is>
          <t>anonymus0541</t>
        </is>
      </c>
      <c r="B542" s="97" t="inlineStr">
        <is>
          <t>P</t>
        </is>
      </c>
      <c r="C542" s="97" t="inlineStr">
        <is>
          <t>35-69 Bulan</t>
        </is>
      </c>
      <c r="D542" s="97" t="n">
        <v>12.9</v>
      </c>
      <c r="E542" s="97" t="n">
        <v>95.5</v>
      </c>
      <c r="F542" s="97" t="inlineStr">
        <is>
          <t>Kurang</t>
        </is>
      </c>
      <c r="G542" s="97" t="inlineStr">
        <is>
          <t>Pendek</t>
        </is>
      </c>
      <c r="H542" s="97" t="inlineStr">
        <is>
          <t>Gizi Baik</t>
        </is>
      </c>
      <c r="I542" s="97" t="inlineStr">
        <is>
          <t>Ya</t>
        </is>
      </c>
      <c r="J542" s="97" t="inlineStr">
        <is>
          <t>Potensi Stunting</t>
        </is>
      </c>
    </row>
    <row r="543" ht="15.75" customHeight="1" s="95">
      <c r="A543" s="97" t="inlineStr">
        <is>
          <t>anonymus0542</t>
        </is>
      </c>
      <c r="B543" s="97" t="inlineStr">
        <is>
          <t>L</t>
        </is>
      </c>
      <c r="C543" s="97" t="inlineStr">
        <is>
          <t>1-34 Bulan</t>
        </is>
      </c>
      <c r="D543" s="97" t="n">
        <v>12.7</v>
      </c>
      <c r="E543" s="97" t="n">
        <v>80</v>
      </c>
      <c r="F543" s="97" t="inlineStr">
        <is>
          <t>Normal</t>
        </is>
      </c>
      <c r="G543" s="97" t="inlineStr">
        <is>
          <t>Normal</t>
        </is>
      </c>
      <c r="H543" s="97" t="inlineStr">
        <is>
          <t>Gizi Baik</t>
        </is>
      </c>
      <c r="I543" s="97" t="inlineStr">
        <is>
          <t>Ya</t>
        </is>
      </c>
      <c r="J543" s="97" t="inlineStr">
        <is>
          <t>Tidak</t>
        </is>
      </c>
    </row>
    <row r="544" ht="15.75" customHeight="1" s="95">
      <c r="A544" s="97" t="inlineStr">
        <is>
          <t>anonymus0543</t>
        </is>
      </c>
      <c r="B544" s="97" t="inlineStr">
        <is>
          <t>L</t>
        </is>
      </c>
      <c r="C544" s="97" t="inlineStr">
        <is>
          <t>35-69 Bulan</t>
        </is>
      </c>
      <c r="D544" s="97" t="n">
        <v>17.2</v>
      </c>
      <c r="E544" s="97" t="n">
        <v>97</v>
      </c>
      <c r="F544" s="97" t="inlineStr">
        <is>
          <t>Risiko Lebih</t>
        </is>
      </c>
      <c r="G544" s="97" t="inlineStr">
        <is>
          <t>Normal</t>
        </is>
      </c>
      <c r="H544" s="97" t="inlineStr">
        <is>
          <t>Gizi Lebih</t>
        </is>
      </c>
      <c r="I544" s="97" t="inlineStr">
        <is>
          <t>Ya</t>
        </is>
      </c>
      <c r="J544" s="97" t="inlineStr">
        <is>
          <t>Tidak</t>
        </is>
      </c>
    </row>
    <row r="545" ht="15.75" customHeight="1" s="95">
      <c r="A545" s="97" t="inlineStr">
        <is>
          <t>anonymus0544</t>
        </is>
      </c>
      <c r="B545" s="97" t="inlineStr">
        <is>
          <t xml:space="preserve">P </t>
        </is>
      </c>
      <c r="C545" s="97" t="inlineStr">
        <is>
          <t>1-34 Bulan</t>
        </is>
      </c>
      <c r="D545" s="97" t="inlineStr">
        <is>
          <t>7.2</t>
        </is>
      </c>
      <c r="E545" s="97" t="n">
        <v>75</v>
      </c>
      <c r="F545" s="97" t="inlineStr">
        <is>
          <t>Kurang</t>
        </is>
      </c>
      <c r="G545" s="97" t="inlineStr">
        <is>
          <t>Normal</t>
        </is>
      </c>
      <c r="H545" s="97" t="inlineStr">
        <is>
          <t>Gizi Kurang</t>
        </is>
      </c>
      <c r="I545" s="97" t="inlineStr">
        <is>
          <t>Ya</t>
        </is>
      </c>
      <c r="J545" s="97" t="inlineStr">
        <is>
          <t>Tidak</t>
        </is>
      </c>
    </row>
    <row r="546" ht="15.75" customHeight="1" s="95">
      <c r="A546" s="97" t="inlineStr">
        <is>
          <t>anonymus0545</t>
        </is>
      </c>
      <c r="B546" s="97" t="inlineStr">
        <is>
          <t>P</t>
        </is>
      </c>
      <c r="C546" s="97" t="inlineStr">
        <is>
          <t>35-69 Bulan</t>
        </is>
      </c>
      <c r="D546" s="97" t="n">
        <v>17.3</v>
      </c>
      <c r="E546" s="97" t="n">
        <v>109</v>
      </c>
      <c r="F546" s="97" t="inlineStr">
        <is>
          <t>Risiko Lebih</t>
        </is>
      </c>
      <c r="G546" s="97" t="inlineStr">
        <is>
          <t>Normal</t>
        </is>
      </c>
      <c r="H546" s="97" t="inlineStr">
        <is>
          <t>Gizi Lebih</t>
        </is>
      </c>
      <c r="I546" s="97" t="inlineStr">
        <is>
          <t>Ya</t>
        </is>
      </c>
      <c r="J546" s="97" t="inlineStr">
        <is>
          <t>Tidak</t>
        </is>
      </c>
    </row>
    <row r="547" ht="15.75" customHeight="1" s="95">
      <c r="A547" s="97" t="inlineStr">
        <is>
          <t>anonymus0546</t>
        </is>
      </c>
      <c r="B547" s="97" t="inlineStr">
        <is>
          <t>P</t>
        </is>
      </c>
      <c r="C547" s="97" t="inlineStr">
        <is>
          <t>35-69 Bulan</t>
        </is>
      </c>
      <c r="D547" s="97" t="n">
        <v>15.5</v>
      </c>
      <c r="E547" s="97" t="n">
        <v>108</v>
      </c>
      <c r="F547" s="97" t="inlineStr">
        <is>
          <t>Normal</t>
        </is>
      </c>
      <c r="G547" s="97" t="inlineStr">
        <is>
          <t>Normal</t>
        </is>
      </c>
      <c r="H547" s="97" t="inlineStr">
        <is>
          <t>Gizi Baik</t>
        </is>
      </c>
      <c r="I547" s="97" t="inlineStr">
        <is>
          <t>Ya</t>
        </is>
      </c>
      <c r="J547" s="97" t="inlineStr">
        <is>
          <t>Tidak</t>
        </is>
      </c>
    </row>
    <row r="548" ht="15.75" customHeight="1" s="95">
      <c r="A548" s="97" t="inlineStr">
        <is>
          <t>anonymus0547</t>
        </is>
      </c>
      <c r="B548" s="97" t="inlineStr">
        <is>
          <t>P</t>
        </is>
      </c>
      <c r="C548" s="97" t="inlineStr">
        <is>
          <t>1-34 Bulan</t>
        </is>
      </c>
      <c r="D548" s="97" t="n">
        <v>10</v>
      </c>
      <c r="E548" s="97" t="n">
        <v>88</v>
      </c>
      <c r="F548" s="97" t="inlineStr">
        <is>
          <t>Normal</t>
        </is>
      </c>
      <c r="G548" s="97" t="inlineStr">
        <is>
          <t>Normal</t>
        </is>
      </c>
      <c r="H548" s="97" t="inlineStr">
        <is>
          <t>Gizi Kurang</t>
        </is>
      </c>
      <c r="I548" s="97" t="inlineStr">
        <is>
          <t>Ya</t>
        </is>
      </c>
      <c r="J548" s="97" t="inlineStr">
        <is>
          <t>Tidak</t>
        </is>
      </c>
    </row>
    <row r="549" ht="15.75" customHeight="1" s="95">
      <c r="A549" s="97" t="inlineStr">
        <is>
          <t>anonymus0548</t>
        </is>
      </c>
      <c r="B549" s="97" t="inlineStr">
        <is>
          <t>P</t>
        </is>
      </c>
      <c r="C549" s="97" t="inlineStr">
        <is>
          <t>1-34 Bulan</t>
        </is>
      </c>
      <c r="D549" s="97" t="n">
        <v>11.2</v>
      </c>
      <c r="E549" s="97" t="n">
        <v>96</v>
      </c>
      <c r="F549" s="97" t="inlineStr">
        <is>
          <t>Normal</t>
        </is>
      </c>
      <c r="G549" s="97" t="inlineStr">
        <is>
          <t>Normal</t>
        </is>
      </c>
      <c r="H549" s="97" t="inlineStr">
        <is>
          <t>Gizi Baik</t>
        </is>
      </c>
      <c r="I549" s="97" t="inlineStr">
        <is>
          <t>Ya</t>
        </is>
      </c>
      <c r="J549" s="97" t="inlineStr">
        <is>
          <t>Tidak</t>
        </is>
      </c>
    </row>
    <row r="550" ht="15.75" customHeight="1" s="95">
      <c r="A550" s="97" t="inlineStr">
        <is>
          <t>anonymus0549</t>
        </is>
      </c>
      <c r="B550" s="97" t="inlineStr">
        <is>
          <t>L</t>
        </is>
      </c>
      <c r="C550" s="97" t="inlineStr">
        <is>
          <t>1-34 Bulan</t>
        </is>
      </c>
      <c r="D550" s="97" t="n">
        <v>8.4</v>
      </c>
      <c r="E550" s="97" t="n">
        <v>85</v>
      </c>
      <c r="F550" s="97" t="inlineStr">
        <is>
          <t>Kurang</t>
        </is>
      </c>
      <c r="G550" s="97" t="inlineStr">
        <is>
          <t>Normal</t>
        </is>
      </c>
      <c r="H550" s="97" t="inlineStr">
        <is>
          <t>Gizi Kurang</t>
        </is>
      </c>
      <c r="I550" s="97" t="inlineStr">
        <is>
          <t>Ya</t>
        </is>
      </c>
      <c r="J550" s="97" t="inlineStr">
        <is>
          <t>Tidak</t>
        </is>
      </c>
    </row>
    <row r="551" ht="15.75" customHeight="1" s="95">
      <c r="A551" s="97" t="inlineStr">
        <is>
          <t>anonymus0550</t>
        </is>
      </c>
      <c r="B551" s="97" t="inlineStr">
        <is>
          <t xml:space="preserve">P </t>
        </is>
      </c>
      <c r="C551" s="97" t="inlineStr">
        <is>
          <t>1-34 Bulan</t>
        </is>
      </c>
      <c r="D551" s="97" t="inlineStr">
        <is>
          <t>9.5</t>
        </is>
      </c>
      <c r="E551" s="97" t="n">
        <v>79</v>
      </c>
      <c r="F551" s="97" t="inlineStr">
        <is>
          <t>Normal</t>
        </is>
      </c>
      <c r="G551" s="97" t="inlineStr">
        <is>
          <t>Normal</t>
        </is>
      </c>
      <c r="H551" s="97" t="inlineStr">
        <is>
          <t>Gizi Baik</t>
        </is>
      </c>
      <c r="I551" s="97" t="inlineStr">
        <is>
          <t>Ya</t>
        </is>
      </c>
      <c r="J551" s="97" t="inlineStr">
        <is>
          <t>Tidak</t>
        </is>
      </c>
    </row>
    <row r="552" ht="15.75" customHeight="1" s="95">
      <c r="A552" s="97" t="inlineStr">
        <is>
          <t>anonymus0551</t>
        </is>
      </c>
      <c r="B552" s="97" t="inlineStr">
        <is>
          <t>P</t>
        </is>
      </c>
      <c r="C552" s="97" t="inlineStr">
        <is>
          <t>35-69 Bulan</t>
        </is>
      </c>
      <c r="D552" s="97" t="n">
        <v>11.5</v>
      </c>
      <c r="E552" s="97" t="n">
        <v>112</v>
      </c>
      <c r="F552" s="97" t="inlineStr">
        <is>
          <t>Normal</t>
        </is>
      </c>
      <c r="G552" s="97" t="inlineStr">
        <is>
          <t>Normal</t>
        </is>
      </c>
      <c r="H552" s="97" t="inlineStr">
        <is>
          <t>Gizi Baik</t>
        </is>
      </c>
      <c r="I552" s="97" t="inlineStr">
        <is>
          <t>Ya</t>
        </is>
      </c>
      <c r="J552" s="97" t="inlineStr">
        <is>
          <t>Tidak</t>
        </is>
      </c>
    </row>
    <row r="553" ht="15.75" customHeight="1" s="95">
      <c r="A553" s="97" t="inlineStr">
        <is>
          <t>anonymus0552</t>
        </is>
      </c>
      <c r="B553" s="97" t="inlineStr">
        <is>
          <t>P</t>
        </is>
      </c>
      <c r="C553" s="97" t="inlineStr">
        <is>
          <t>1-34 Bulan</t>
        </is>
      </c>
      <c r="D553" s="97" t="n">
        <v>8.6</v>
      </c>
      <c r="E553" s="97" t="n">
        <v>100</v>
      </c>
      <c r="F553" s="97" t="inlineStr">
        <is>
          <t>Kurang</t>
        </is>
      </c>
      <c r="G553" s="97" t="inlineStr">
        <is>
          <t>Normal</t>
        </is>
      </c>
      <c r="H553" s="97" t="inlineStr">
        <is>
          <t>Gizi Kurang</t>
        </is>
      </c>
      <c r="I553" s="97" t="inlineStr">
        <is>
          <t>Ya</t>
        </is>
      </c>
      <c r="J553" s="97" t="inlineStr">
        <is>
          <t>Tidak</t>
        </is>
      </c>
    </row>
    <row r="554" ht="15.75" customHeight="1" s="95">
      <c r="A554" s="97" t="inlineStr">
        <is>
          <t>anonymus0553</t>
        </is>
      </c>
      <c r="B554" s="97" t="inlineStr">
        <is>
          <t>L</t>
        </is>
      </c>
      <c r="C554" s="97" t="inlineStr">
        <is>
          <t>35-69 Bulan</t>
        </is>
      </c>
      <c r="D554" s="97" t="n">
        <v>18.2</v>
      </c>
      <c r="E554" s="97" t="n">
        <v>118</v>
      </c>
      <c r="F554" s="97" t="inlineStr">
        <is>
          <t>Risiko Lebih</t>
        </is>
      </c>
      <c r="G554" s="97" t="inlineStr">
        <is>
          <t>Normal</t>
        </is>
      </c>
      <c r="H554" s="97" t="inlineStr">
        <is>
          <t>Gizi Lebih</t>
        </is>
      </c>
      <c r="I554" s="97" t="inlineStr">
        <is>
          <t>Ya</t>
        </is>
      </c>
      <c r="J554" s="97" t="inlineStr">
        <is>
          <t>Tidak</t>
        </is>
      </c>
    </row>
    <row r="555" ht="15.75" customHeight="1" s="95">
      <c r="A555" s="97" t="inlineStr">
        <is>
          <t>anonymus0554</t>
        </is>
      </c>
      <c r="B555" s="97" t="inlineStr">
        <is>
          <t xml:space="preserve">L </t>
        </is>
      </c>
      <c r="C555" s="97" t="inlineStr">
        <is>
          <t>1-34 Bulan</t>
        </is>
      </c>
      <c r="D555" s="97" t="n">
        <v>8</v>
      </c>
      <c r="E555" s="97" t="n">
        <v>70</v>
      </c>
      <c r="F555" s="97" t="inlineStr">
        <is>
          <t>Normal</t>
        </is>
      </c>
      <c r="G555" s="97" t="inlineStr">
        <is>
          <t>Normal</t>
        </is>
      </c>
      <c r="H555" s="97" t="inlineStr">
        <is>
          <t>Gizi Baik</t>
        </is>
      </c>
      <c r="I555" s="97" t="inlineStr">
        <is>
          <t>Ya</t>
        </is>
      </c>
      <c r="J555" s="97" t="inlineStr">
        <is>
          <t>Tidak</t>
        </is>
      </c>
    </row>
    <row r="556" ht="15.75" customHeight="1" s="95">
      <c r="A556" s="97" t="inlineStr">
        <is>
          <t>anonymus0555</t>
        </is>
      </c>
      <c r="B556" s="97" t="inlineStr">
        <is>
          <t>L</t>
        </is>
      </c>
      <c r="C556" s="97" t="inlineStr">
        <is>
          <t>35-69 Bulan</t>
        </is>
      </c>
      <c r="D556" s="97" t="n">
        <v>13.2</v>
      </c>
      <c r="E556" s="97" t="n">
        <v>109</v>
      </c>
      <c r="F556" s="97" t="inlineStr">
        <is>
          <t>Normal</t>
        </is>
      </c>
      <c r="G556" s="97" t="inlineStr">
        <is>
          <t>Normal</t>
        </is>
      </c>
      <c r="H556" s="97" t="inlineStr">
        <is>
          <t>Gizi Baik</t>
        </is>
      </c>
      <c r="I556" s="97" t="inlineStr">
        <is>
          <t>Ya</t>
        </is>
      </c>
      <c r="J556" s="97" t="inlineStr">
        <is>
          <t>Tidak</t>
        </is>
      </c>
    </row>
    <row r="557" ht="15.75" customHeight="1" s="95">
      <c r="A557" s="97" t="inlineStr">
        <is>
          <t>anonymus0556</t>
        </is>
      </c>
      <c r="B557" s="97" t="inlineStr">
        <is>
          <t>L</t>
        </is>
      </c>
      <c r="C557" s="97" t="inlineStr">
        <is>
          <t>35-69 Bulan</t>
        </is>
      </c>
      <c r="D557" s="97" t="n">
        <v>8.1</v>
      </c>
      <c r="E557" s="97" t="n">
        <v>76</v>
      </c>
      <c r="F557" s="97" t="inlineStr">
        <is>
          <t>Sangat Kurang</t>
        </is>
      </c>
      <c r="G557" s="97" t="inlineStr">
        <is>
          <t>Sangat Pendek</t>
        </is>
      </c>
      <c r="H557" s="97" t="inlineStr">
        <is>
          <t>Gizi Kurang</t>
        </is>
      </c>
      <c r="I557" s="97" t="inlineStr">
        <is>
          <t>Ya</t>
        </is>
      </c>
      <c r="J557" s="97" t="inlineStr">
        <is>
          <t>Stunting</t>
        </is>
      </c>
    </row>
    <row r="558" ht="15.75" customHeight="1" s="95">
      <c r="A558" s="97" t="inlineStr">
        <is>
          <t>anonymus0557</t>
        </is>
      </c>
      <c r="B558" s="97" t="inlineStr">
        <is>
          <t>P</t>
        </is>
      </c>
      <c r="C558" s="97" t="inlineStr">
        <is>
          <t>1-34 Bulan</t>
        </is>
      </c>
      <c r="D558" s="97" t="n">
        <v>11.6</v>
      </c>
      <c r="E558" s="97" t="n">
        <v>72</v>
      </c>
      <c r="F558" s="97" t="inlineStr">
        <is>
          <t>Normal</t>
        </is>
      </c>
      <c r="G558" s="97" t="inlineStr">
        <is>
          <t>Normal</t>
        </is>
      </c>
      <c r="H558" s="97" t="inlineStr">
        <is>
          <t>Gizi Baik</t>
        </is>
      </c>
      <c r="I558" s="97" t="inlineStr">
        <is>
          <t>Ya</t>
        </is>
      </c>
      <c r="J558" s="97" t="inlineStr">
        <is>
          <t>Tidak</t>
        </is>
      </c>
    </row>
    <row r="559" ht="15.75" customHeight="1" s="95">
      <c r="A559" s="97" t="inlineStr">
        <is>
          <t>anonymus0558</t>
        </is>
      </c>
      <c r="B559" s="97" t="inlineStr">
        <is>
          <t>L</t>
        </is>
      </c>
      <c r="C559" s="97" t="inlineStr">
        <is>
          <t>1-34 Bulan</t>
        </is>
      </c>
      <c r="D559" s="97" t="n">
        <v>9.800000000000001</v>
      </c>
      <c r="E559" s="97" t="n">
        <v>78</v>
      </c>
      <c r="F559" s="97" t="inlineStr">
        <is>
          <t>Normal</t>
        </is>
      </c>
      <c r="G559" s="97" t="inlineStr">
        <is>
          <t>Pendek</t>
        </is>
      </c>
      <c r="H559" s="97" t="inlineStr">
        <is>
          <t>Gizi Baik</t>
        </is>
      </c>
      <c r="I559" s="97" t="inlineStr">
        <is>
          <t>Ya</t>
        </is>
      </c>
      <c r="J559" s="97" t="inlineStr">
        <is>
          <t>Potensi Stunting</t>
        </is>
      </c>
    </row>
    <row r="560" ht="15.75" customHeight="1" s="95">
      <c r="A560" s="97" t="inlineStr">
        <is>
          <t>anonymus0559</t>
        </is>
      </c>
      <c r="B560" s="97" t="inlineStr">
        <is>
          <t xml:space="preserve">L </t>
        </is>
      </c>
      <c r="C560" s="97" t="inlineStr">
        <is>
          <t>35-69 Bulan</t>
        </is>
      </c>
      <c r="D560" s="97" t="inlineStr">
        <is>
          <t>16.8</t>
        </is>
      </c>
      <c r="E560" s="97" t="n">
        <v>102</v>
      </c>
      <c r="F560" s="97" t="inlineStr">
        <is>
          <t>Normal</t>
        </is>
      </c>
      <c r="G560" s="97" t="inlineStr">
        <is>
          <t>Normal</t>
        </is>
      </c>
      <c r="H560" s="97" t="inlineStr">
        <is>
          <t>Gizi Baik</t>
        </is>
      </c>
      <c r="I560" s="97" t="inlineStr">
        <is>
          <t>Ya</t>
        </is>
      </c>
      <c r="J560" s="97" t="inlineStr">
        <is>
          <t>Tidak</t>
        </is>
      </c>
    </row>
    <row r="561" ht="15.75" customHeight="1" s="95">
      <c r="A561" s="97" t="inlineStr">
        <is>
          <t>anonymus0560</t>
        </is>
      </c>
      <c r="B561" s="97" t="inlineStr">
        <is>
          <t>L</t>
        </is>
      </c>
      <c r="C561" s="97" t="inlineStr">
        <is>
          <t>1-34 Bulan</t>
        </is>
      </c>
      <c r="D561" s="97" t="n">
        <v>6</v>
      </c>
      <c r="E561" s="97" t="n">
        <v>89</v>
      </c>
      <c r="F561" s="97" t="inlineStr">
        <is>
          <t>Kurang</t>
        </is>
      </c>
      <c r="G561" s="97" t="inlineStr">
        <is>
          <t>Normal</t>
        </is>
      </c>
      <c r="H561" s="97" t="inlineStr">
        <is>
          <t>Gizi Kurang</t>
        </is>
      </c>
      <c r="I561" s="97" t="inlineStr">
        <is>
          <t>Ya</t>
        </is>
      </c>
      <c r="J561" s="97" t="inlineStr">
        <is>
          <t>Tidak</t>
        </is>
      </c>
    </row>
    <row r="562" ht="15.75" customHeight="1" s="95">
      <c r="A562" s="97" t="inlineStr">
        <is>
          <t>anonymus0561</t>
        </is>
      </c>
      <c r="B562" s="97" t="inlineStr">
        <is>
          <t>P</t>
        </is>
      </c>
      <c r="C562" s="97" t="inlineStr">
        <is>
          <t>35-69 Bulan</t>
        </is>
      </c>
      <c r="D562" s="97" t="n">
        <v>11.5</v>
      </c>
      <c r="E562" s="97" t="n">
        <v>95</v>
      </c>
      <c r="F562" s="97" t="inlineStr">
        <is>
          <t>Normal</t>
        </is>
      </c>
      <c r="G562" s="97" t="inlineStr">
        <is>
          <t>Normal</t>
        </is>
      </c>
      <c r="H562" s="97" t="inlineStr">
        <is>
          <t>Gizi Baik</t>
        </is>
      </c>
      <c r="I562" s="97" t="inlineStr">
        <is>
          <t>Ya</t>
        </is>
      </c>
      <c r="J562" s="97" t="inlineStr">
        <is>
          <t>Tidak</t>
        </is>
      </c>
    </row>
    <row r="563" ht="15.75" customHeight="1" s="95">
      <c r="A563" s="97" t="inlineStr">
        <is>
          <t>anonymus0562</t>
        </is>
      </c>
      <c r="B563" s="97" t="inlineStr">
        <is>
          <t>L</t>
        </is>
      </c>
      <c r="C563" s="97" t="inlineStr">
        <is>
          <t>35-69 Bulan</t>
        </is>
      </c>
      <c r="D563" s="97" t="n">
        <v>12.7</v>
      </c>
      <c r="E563" s="97" t="n">
        <v>94</v>
      </c>
      <c r="F563" s="97" t="inlineStr">
        <is>
          <t>Normal</t>
        </is>
      </c>
      <c r="G563" s="97" t="inlineStr">
        <is>
          <t>Normal</t>
        </is>
      </c>
      <c r="H563" s="97" t="inlineStr">
        <is>
          <t>Gizi Baik</t>
        </is>
      </c>
      <c r="I563" s="97" t="inlineStr">
        <is>
          <t>Ya</t>
        </is>
      </c>
      <c r="J563" s="97" t="inlineStr">
        <is>
          <t>Tidak</t>
        </is>
      </c>
    </row>
    <row r="564" ht="15.75" customHeight="1" s="95">
      <c r="A564" s="97" t="inlineStr">
        <is>
          <t>anonymus0563</t>
        </is>
      </c>
      <c r="B564" s="97" t="inlineStr">
        <is>
          <t>L</t>
        </is>
      </c>
      <c r="C564" s="97" t="inlineStr">
        <is>
          <t>35-69 Bulan</t>
        </is>
      </c>
      <c r="D564" s="97" t="n">
        <v>13.2</v>
      </c>
      <c r="E564" s="97" t="n">
        <v>95</v>
      </c>
      <c r="F564" s="97" t="inlineStr">
        <is>
          <t>Normal</t>
        </is>
      </c>
      <c r="G564" s="97" t="inlineStr">
        <is>
          <t>Pendek</t>
        </is>
      </c>
      <c r="H564" s="97" t="inlineStr">
        <is>
          <t>Gizi Baik</t>
        </is>
      </c>
      <c r="I564" s="97" t="inlineStr">
        <is>
          <t>Ya</t>
        </is>
      </c>
      <c r="J564" s="97" t="inlineStr">
        <is>
          <t>Potensi Stunting</t>
        </is>
      </c>
    </row>
    <row r="565" ht="15.75" customHeight="1" s="95">
      <c r="A565" s="97" t="inlineStr">
        <is>
          <t>anonymus0564</t>
        </is>
      </c>
      <c r="B565" s="97" t="inlineStr">
        <is>
          <t>P</t>
        </is>
      </c>
      <c r="C565" s="97" t="inlineStr">
        <is>
          <t>35-69 Bulan</t>
        </is>
      </c>
      <c r="D565" s="97" t="n">
        <v>10.6</v>
      </c>
      <c r="E565" s="97" t="n">
        <v>92</v>
      </c>
      <c r="F565" s="97" t="inlineStr">
        <is>
          <t>Kurang</t>
        </is>
      </c>
      <c r="G565" s="97" t="inlineStr">
        <is>
          <t>Normal</t>
        </is>
      </c>
      <c r="H565" s="97" t="inlineStr">
        <is>
          <t>Gizi Kurang</t>
        </is>
      </c>
      <c r="I565" s="97" t="inlineStr">
        <is>
          <t>Ya</t>
        </is>
      </c>
      <c r="J565" s="97" t="inlineStr">
        <is>
          <t>Tidak</t>
        </is>
      </c>
    </row>
    <row r="566" ht="15.75" customHeight="1" s="95">
      <c r="A566" s="97" t="inlineStr">
        <is>
          <t>anonymus0565</t>
        </is>
      </c>
      <c r="B566" s="97" t="inlineStr">
        <is>
          <t xml:space="preserve">L </t>
        </is>
      </c>
      <c r="C566" s="97" t="inlineStr">
        <is>
          <t>35-69 Bulan</t>
        </is>
      </c>
      <c r="D566" s="97" t="inlineStr">
        <is>
          <t>17.9</t>
        </is>
      </c>
      <c r="E566" s="97" t="n">
        <v>103</v>
      </c>
      <c r="F566" s="97" t="inlineStr">
        <is>
          <t>Normal</t>
        </is>
      </c>
      <c r="G566" s="97" t="inlineStr">
        <is>
          <t>Normal</t>
        </is>
      </c>
      <c r="H566" s="97" t="inlineStr">
        <is>
          <t>Risiko Gizi Lebih</t>
        </is>
      </c>
      <c r="I566" s="97" t="inlineStr">
        <is>
          <t>Ya</t>
        </is>
      </c>
      <c r="J566" s="97" t="inlineStr">
        <is>
          <t>Tidak</t>
        </is>
      </c>
    </row>
    <row r="567" ht="15.75" customHeight="1" s="95">
      <c r="A567" s="97" t="inlineStr">
        <is>
          <t>anonymus0566</t>
        </is>
      </c>
      <c r="B567" s="97" t="inlineStr">
        <is>
          <t>P</t>
        </is>
      </c>
      <c r="C567" s="97" t="inlineStr">
        <is>
          <t>35-69 Bulan</t>
        </is>
      </c>
      <c r="D567" s="97" t="n">
        <v>14.9</v>
      </c>
      <c r="E567" s="97" t="n">
        <v>118</v>
      </c>
      <c r="F567" s="97" t="inlineStr">
        <is>
          <t>Normal</t>
        </is>
      </c>
      <c r="G567" s="97" t="inlineStr">
        <is>
          <t>Normal</t>
        </is>
      </c>
      <c r="H567" s="97" t="inlineStr">
        <is>
          <t>Gizi Baik</t>
        </is>
      </c>
      <c r="I567" s="97" t="inlineStr">
        <is>
          <t>Ya</t>
        </is>
      </c>
      <c r="J567" s="97" t="inlineStr">
        <is>
          <t>Tidak</t>
        </is>
      </c>
    </row>
    <row r="568" ht="15.75" customHeight="1" s="95">
      <c r="A568" s="97" t="inlineStr">
        <is>
          <t>anonymus0567</t>
        </is>
      </c>
      <c r="B568" s="97" t="inlineStr">
        <is>
          <t xml:space="preserve">L </t>
        </is>
      </c>
      <c r="C568" s="97" t="inlineStr">
        <is>
          <t>35-69 Bulan</t>
        </is>
      </c>
      <c r="D568" s="97" t="inlineStr">
        <is>
          <t>18.6</t>
        </is>
      </c>
      <c r="E568" s="97" t="n">
        <v>105</v>
      </c>
      <c r="F568" s="97" t="inlineStr">
        <is>
          <t>Normal</t>
        </is>
      </c>
      <c r="G568" s="97" t="inlineStr">
        <is>
          <t>Normal</t>
        </is>
      </c>
      <c r="H568" s="97" t="inlineStr">
        <is>
          <t>baik</t>
        </is>
      </c>
      <c r="I568" s="97" t="inlineStr">
        <is>
          <t>Ya</t>
        </is>
      </c>
      <c r="J568" s="97" t="inlineStr">
        <is>
          <t>Tidak</t>
        </is>
      </c>
    </row>
    <row r="569" ht="15.75" customHeight="1" s="95">
      <c r="A569" s="97" t="inlineStr">
        <is>
          <t>anonymus0568</t>
        </is>
      </c>
      <c r="B569" s="97" t="inlineStr">
        <is>
          <t xml:space="preserve">P </t>
        </is>
      </c>
      <c r="C569" s="97" t="inlineStr">
        <is>
          <t>1-34 Bulan</t>
        </is>
      </c>
      <c r="D569" s="97" t="n">
        <v>10</v>
      </c>
      <c r="E569" s="97" t="n">
        <v>80</v>
      </c>
      <c r="F569" s="97" t="inlineStr">
        <is>
          <t>Normal</t>
        </is>
      </c>
      <c r="G569" s="97" t="inlineStr">
        <is>
          <t>Normal</t>
        </is>
      </c>
      <c r="H569" s="97" t="inlineStr">
        <is>
          <t>Gizi Baik</t>
        </is>
      </c>
      <c r="I569" s="97" t="inlineStr">
        <is>
          <t>Ya</t>
        </is>
      </c>
      <c r="J569" s="97" t="inlineStr">
        <is>
          <t>Tidak</t>
        </is>
      </c>
    </row>
    <row r="570" ht="15.75" customHeight="1" s="95">
      <c r="A570" s="97" t="inlineStr">
        <is>
          <t>anonymus0569</t>
        </is>
      </c>
      <c r="B570" s="97" t="inlineStr">
        <is>
          <t>P</t>
        </is>
      </c>
      <c r="C570" s="97" t="inlineStr">
        <is>
          <t>1-34 Bulan</t>
        </is>
      </c>
      <c r="D570" s="97" t="n">
        <v>14.4</v>
      </c>
      <c r="E570" s="97" t="n">
        <v>82</v>
      </c>
      <c r="F570" s="97" t="inlineStr">
        <is>
          <t>Normal</t>
        </is>
      </c>
      <c r="G570" s="97" t="inlineStr">
        <is>
          <t>Normal</t>
        </is>
      </c>
      <c r="H570" s="97" t="inlineStr">
        <is>
          <t>Gizi Baik</t>
        </is>
      </c>
      <c r="I570" s="97" t="inlineStr">
        <is>
          <t>Ya</t>
        </is>
      </c>
      <c r="J570" s="97" t="inlineStr">
        <is>
          <t>Tidak</t>
        </is>
      </c>
    </row>
    <row r="571" ht="15.75" customHeight="1" s="95">
      <c r="A571" s="97" t="inlineStr">
        <is>
          <t>anonymus0570</t>
        </is>
      </c>
      <c r="B571" s="97" t="inlineStr">
        <is>
          <t>L</t>
        </is>
      </c>
      <c r="C571" s="97" t="inlineStr">
        <is>
          <t>1-34 Bulan</t>
        </is>
      </c>
      <c r="D571" s="97" t="n">
        <v>11.1</v>
      </c>
      <c r="E571" s="97" t="n">
        <v>76</v>
      </c>
      <c r="F571" s="97" t="inlineStr">
        <is>
          <t>Normal</t>
        </is>
      </c>
      <c r="G571" s="97" t="inlineStr">
        <is>
          <t>Normal</t>
        </is>
      </c>
      <c r="H571" s="97" t="inlineStr">
        <is>
          <t>Gizi Baik</t>
        </is>
      </c>
      <c r="I571" s="97" t="inlineStr">
        <is>
          <t>Ya</t>
        </is>
      </c>
      <c r="J571" s="97" t="inlineStr">
        <is>
          <t>Tidak</t>
        </is>
      </c>
    </row>
    <row r="572" ht="15.75" customHeight="1" s="95">
      <c r="A572" s="97" t="inlineStr">
        <is>
          <t>anonymus0571</t>
        </is>
      </c>
      <c r="B572" s="97" t="inlineStr">
        <is>
          <t>P</t>
        </is>
      </c>
      <c r="C572" s="97" t="inlineStr">
        <is>
          <t>1-34 Bulan</t>
        </is>
      </c>
      <c r="D572" s="97" t="n">
        <v>7.7</v>
      </c>
      <c r="E572" s="97" t="n">
        <v>83</v>
      </c>
      <c r="F572" s="97" t="inlineStr">
        <is>
          <t>Kurang</t>
        </is>
      </c>
      <c r="G572" s="97" t="inlineStr">
        <is>
          <t>Normal</t>
        </is>
      </c>
      <c r="H572" s="97" t="inlineStr">
        <is>
          <t>Gizi Kurang</t>
        </is>
      </c>
      <c r="I572" s="97" t="inlineStr">
        <is>
          <t>Ya</t>
        </is>
      </c>
      <c r="J572" s="97" t="inlineStr">
        <is>
          <t>Tidak</t>
        </is>
      </c>
    </row>
    <row r="573" ht="15.75" customHeight="1" s="95">
      <c r="A573" s="97" t="inlineStr">
        <is>
          <t>anonymus0572</t>
        </is>
      </c>
      <c r="B573" s="97" t="inlineStr">
        <is>
          <t>P</t>
        </is>
      </c>
      <c r="C573" s="97" t="inlineStr">
        <is>
          <t>1-34 Bulan</t>
        </is>
      </c>
      <c r="D573" s="97" t="n">
        <v>6.3</v>
      </c>
      <c r="E573" s="97" t="n">
        <v>80</v>
      </c>
      <c r="F573" s="97" t="inlineStr">
        <is>
          <t>Kurang</t>
        </is>
      </c>
      <c r="G573" s="97" t="inlineStr">
        <is>
          <t>Normal</t>
        </is>
      </c>
      <c r="H573" s="97" t="inlineStr">
        <is>
          <t>Gizi Kurang</t>
        </is>
      </c>
      <c r="I573" s="97" t="inlineStr">
        <is>
          <t>Ya</t>
        </is>
      </c>
      <c r="J573" s="97" t="inlineStr">
        <is>
          <t>Tidak</t>
        </is>
      </c>
    </row>
    <row r="574" ht="15.75" customHeight="1" s="95">
      <c r="A574" s="97" t="inlineStr">
        <is>
          <t>anonymus0573</t>
        </is>
      </c>
      <c r="B574" s="97" t="inlineStr">
        <is>
          <t>L</t>
        </is>
      </c>
      <c r="C574" s="97" t="inlineStr">
        <is>
          <t>1-34 Bulan</t>
        </is>
      </c>
      <c r="D574" s="97" t="n">
        <v>14.5</v>
      </c>
      <c r="E574" s="97" t="n">
        <v>88</v>
      </c>
      <c r="F574" s="97" t="inlineStr">
        <is>
          <t>Normal</t>
        </is>
      </c>
      <c r="G574" s="97" t="inlineStr">
        <is>
          <t>Normal</t>
        </is>
      </c>
      <c r="H574" s="97" t="inlineStr">
        <is>
          <t>Gizi Baik</t>
        </is>
      </c>
      <c r="I574" s="97" t="inlineStr">
        <is>
          <t>Ya</t>
        </is>
      </c>
      <c r="J574" s="97" t="inlineStr">
        <is>
          <t>Tidak</t>
        </is>
      </c>
    </row>
    <row r="575" ht="15.75" customHeight="1" s="95">
      <c r="A575" s="97" t="inlineStr">
        <is>
          <t>anonymus0574</t>
        </is>
      </c>
      <c r="B575" s="97" t="inlineStr">
        <is>
          <t xml:space="preserve">P </t>
        </is>
      </c>
      <c r="C575" s="97" t="inlineStr">
        <is>
          <t>35-69 Bulan</t>
        </is>
      </c>
      <c r="D575" s="97" t="inlineStr">
        <is>
          <t>12.1</t>
        </is>
      </c>
      <c r="E575" s="97" t="n">
        <v>104</v>
      </c>
      <c r="F575" s="97" t="inlineStr">
        <is>
          <t>Kurang</t>
        </is>
      </c>
      <c r="G575" s="97" t="inlineStr">
        <is>
          <t>Normal</t>
        </is>
      </c>
      <c r="H575" s="97" t="inlineStr">
        <is>
          <t>Gizi Buruk</t>
        </is>
      </c>
      <c r="I575" s="97" t="inlineStr">
        <is>
          <t>Ya</t>
        </is>
      </c>
      <c r="J575" s="97" t="inlineStr">
        <is>
          <t>Tidak</t>
        </is>
      </c>
    </row>
    <row r="576" ht="15.75" customHeight="1" s="95">
      <c r="A576" s="97" t="inlineStr">
        <is>
          <t>anonymus0575</t>
        </is>
      </c>
      <c r="B576" s="97" t="inlineStr">
        <is>
          <t xml:space="preserve">L </t>
        </is>
      </c>
      <c r="C576" s="97" t="inlineStr">
        <is>
          <t>1-34 Bulan</t>
        </is>
      </c>
      <c r="D576" s="97" t="inlineStr">
        <is>
          <t>14.6</t>
        </is>
      </c>
      <c r="E576" s="97" t="n">
        <v>92</v>
      </c>
      <c r="F576" s="97" t="inlineStr">
        <is>
          <t>Normal</t>
        </is>
      </c>
      <c r="G576" s="97" t="inlineStr">
        <is>
          <t>Normal</t>
        </is>
      </c>
      <c r="H576" s="97" t="inlineStr">
        <is>
          <t>Risiko Gizi Lebih</t>
        </is>
      </c>
      <c r="I576" s="97" t="inlineStr">
        <is>
          <t>Ya</t>
        </is>
      </c>
      <c r="J576" s="97" t="inlineStr">
        <is>
          <t>Tidak</t>
        </is>
      </c>
    </row>
    <row r="577" ht="15.75" customHeight="1" s="95">
      <c r="A577" s="97" t="inlineStr">
        <is>
          <t>anonymus0576</t>
        </is>
      </c>
      <c r="B577" s="97" t="inlineStr">
        <is>
          <t>P</t>
        </is>
      </c>
      <c r="C577" s="97" t="inlineStr">
        <is>
          <t>35-69 Bulan</t>
        </is>
      </c>
      <c r="D577" s="97" t="n">
        <v>14.4</v>
      </c>
      <c r="E577" s="97" t="n">
        <v>108</v>
      </c>
      <c r="F577" s="97" t="inlineStr">
        <is>
          <t>Normal</t>
        </is>
      </c>
      <c r="G577" s="97" t="inlineStr">
        <is>
          <t>Normal</t>
        </is>
      </c>
      <c r="H577" s="97" t="inlineStr">
        <is>
          <t>Gizi Baik</t>
        </is>
      </c>
      <c r="I577" s="97" t="inlineStr">
        <is>
          <t>Ya</t>
        </is>
      </c>
      <c r="J577" s="97" t="inlineStr">
        <is>
          <t>Tidak</t>
        </is>
      </c>
    </row>
    <row r="578" ht="15.75" customHeight="1" s="95">
      <c r="A578" s="97" t="inlineStr">
        <is>
          <t>anonymus0577</t>
        </is>
      </c>
      <c r="B578" s="97" t="inlineStr">
        <is>
          <t>P</t>
        </is>
      </c>
      <c r="C578" s="97" t="inlineStr">
        <is>
          <t>1-34 Bulan</t>
        </is>
      </c>
      <c r="D578" s="97" t="n">
        <v>6.9</v>
      </c>
      <c r="E578" s="97" t="n">
        <v>72</v>
      </c>
      <c r="F578" s="97" t="inlineStr">
        <is>
          <t>Kurang</t>
        </is>
      </c>
      <c r="G578" s="97" t="inlineStr">
        <is>
          <t>Normal</t>
        </is>
      </c>
      <c r="H578" s="97" t="inlineStr">
        <is>
          <t>Gizi Kurang</t>
        </is>
      </c>
      <c r="I578" s="97" t="inlineStr">
        <is>
          <t>Ya</t>
        </is>
      </c>
      <c r="J578" s="97" t="inlineStr">
        <is>
          <t>Tidak</t>
        </is>
      </c>
    </row>
    <row r="579" ht="15.75" customHeight="1" s="95">
      <c r="A579" s="97" t="inlineStr">
        <is>
          <t>anonymus0578</t>
        </is>
      </c>
      <c r="B579" s="97" t="inlineStr">
        <is>
          <t>P</t>
        </is>
      </c>
      <c r="C579" s="97" t="inlineStr">
        <is>
          <t>1-34 Bulan</t>
        </is>
      </c>
      <c r="D579" s="97" t="n">
        <v>6.6</v>
      </c>
      <c r="E579" s="97" t="n">
        <v>69</v>
      </c>
      <c r="F579" s="97" t="inlineStr">
        <is>
          <t>Sangat Kurang</t>
        </is>
      </c>
      <c r="G579" s="97" t="inlineStr">
        <is>
          <t>Sangat Pendek</t>
        </is>
      </c>
      <c r="H579" s="97" t="inlineStr">
        <is>
          <t>Gizi Kurang</t>
        </is>
      </c>
      <c r="I579" s="97" t="inlineStr">
        <is>
          <t>Ya</t>
        </is>
      </c>
      <c r="J579" s="97" t="inlineStr">
        <is>
          <t>Stunting</t>
        </is>
      </c>
    </row>
    <row r="580" ht="15.75" customHeight="1" s="95">
      <c r="A580" s="97" t="inlineStr">
        <is>
          <t>anonymus0579</t>
        </is>
      </c>
      <c r="B580" s="97" t="inlineStr">
        <is>
          <t>P</t>
        </is>
      </c>
      <c r="C580" s="97" t="inlineStr">
        <is>
          <t>1-34 Bulan</t>
        </is>
      </c>
      <c r="D580" s="97" t="n">
        <v>14.9</v>
      </c>
      <c r="E580" s="97" t="n">
        <v>97</v>
      </c>
      <c r="F580" s="97" t="inlineStr">
        <is>
          <t>Normal</t>
        </is>
      </c>
      <c r="G580" s="97" t="inlineStr">
        <is>
          <t>Normal</t>
        </is>
      </c>
      <c r="H580" s="97" t="inlineStr">
        <is>
          <t>Gizi Baik</t>
        </is>
      </c>
      <c r="I580" s="97" t="inlineStr">
        <is>
          <t>Ya</t>
        </is>
      </c>
      <c r="J580" s="97" t="inlineStr">
        <is>
          <t>Tidak</t>
        </is>
      </c>
    </row>
    <row r="581" ht="15.75" customHeight="1" s="95">
      <c r="A581" s="97" t="inlineStr">
        <is>
          <t>anonymus0580</t>
        </is>
      </c>
      <c r="B581" s="97" t="inlineStr">
        <is>
          <t>L</t>
        </is>
      </c>
      <c r="C581" s="97" t="inlineStr">
        <is>
          <t>35-69 Bulan</t>
        </is>
      </c>
      <c r="D581" s="97" t="n">
        <v>11.1</v>
      </c>
      <c r="E581" s="97" t="n">
        <v>83</v>
      </c>
      <c r="F581" s="97" t="inlineStr">
        <is>
          <t>Normal</t>
        </is>
      </c>
      <c r="G581" s="97" t="inlineStr">
        <is>
          <t>Pendek</t>
        </is>
      </c>
      <c r="H581" s="97" t="inlineStr">
        <is>
          <t>Gizi Baik</t>
        </is>
      </c>
      <c r="I581" s="97" t="inlineStr">
        <is>
          <t>Ya</t>
        </is>
      </c>
      <c r="J581" s="97" t="inlineStr">
        <is>
          <t>Potensi Stunting</t>
        </is>
      </c>
    </row>
    <row r="582" ht="15.75" customHeight="1" s="95">
      <c r="A582" s="97" t="inlineStr">
        <is>
          <t>anonymus0581</t>
        </is>
      </c>
      <c r="B582" s="97" t="inlineStr">
        <is>
          <t xml:space="preserve">L </t>
        </is>
      </c>
      <c r="C582" s="97" t="inlineStr">
        <is>
          <t>35-69 Bulan</t>
        </is>
      </c>
      <c r="D582" s="97" t="inlineStr">
        <is>
          <t>12.4</t>
        </is>
      </c>
      <c r="E582" s="97" t="n">
        <v>87</v>
      </c>
      <c r="F582" s="97" t="inlineStr">
        <is>
          <t>Normal</t>
        </is>
      </c>
      <c r="G582" s="97" t="inlineStr">
        <is>
          <t>Normal</t>
        </is>
      </c>
      <c r="H582" s="97" t="inlineStr">
        <is>
          <t>Gizi Baik</t>
        </is>
      </c>
      <c r="I582" s="97" t="inlineStr">
        <is>
          <t>Ya</t>
        </is>
      </c>
      <c r="J582" s="97" t="inlineStr">
        <is>
          <t>Tidak</t>
        </is>
      </c>
    </row>
    <row r="583" ht="15.75" customHeight="1" s="95">
      <c r="A583" s="97" t="inlineStr">
        <is>
          <t>anonymus0582</t>
        </is>
      </c>
      <c r="B583" s="97" t="inlineStr">
        <is>
          <t>P</t>
        </is>
      </c>
      <c r="C583" s="97" t="inlineStr">
        <is>
          <t>35-69 Bulan</t>
        </is>
      </c>
      <c r="D583" s="97" t="n">
        <v>11</v>
      </c>
      <c r="E583" s="97" t="n">
        <v>92</v>
      </c>
      <c r="F583" s="97" t="inlineStr">
        <is>
          <t>Normal</t>
        </is>
      </c>
      <c r="G583" s="97" t="inlineStr">
        <is>
          <t>Normal</t>
        </is>
      </c>
      <c r="H583" s="97" t="inlineStr">
        <is>
          <t>Gizi Kurang</t>
        </is>
      </c>
      <c r="I583" s="97" t="inlineStr">
        <is>
          <t>Ya</t>
        </is>
      </c>
      <c r="J583" s="97" t="inlineStr">
        <is>
          <t>Tidak</t>
        </is>
      </c>
    </row>
    <row r="584" ht="15.75" customHeight="1" s="95">
      <c r="A584" s="97" t="inlineStr">
        <is>
          <t>anonymus0583</t>
        </is>
      </c>
      <c r="B584" s="97" t="inlineStr">
        <is>
          <t xml:space="preserve">P </t>
        </is>
      </c>
      <c r="C584" s="97" t="inlineStr">
        <is>
          <t>1-34 Bulan</t>
        </is>
      </c>
      <c r="D584" s="97" t="inlineStr">
        <is>
          <t>12.5</t>
        </is>
      </c>
      <c r="E584" s="97" t="n">
        <v>93</v>
      </c>
      <c r="F584" s="97" t="inlineStr">
        <is>
          <t>Normal</t>
        </is>
      </c>
      <c r="G584" s="97" t="inlineStr">
        <is>
          <t>Normal</t>
        </is>
      </c>
      <c r="H584" s="97" t="inlineStr">
        <is>
          <t>Gizi Baik</t>
        </is>
      </c>
      <c r="I584" s="97" t="inlineStr">
        <is>
          <t>Ya</t>
        </is>
      </c>
      <c r="J584" s="97" t="inlineStr">
        <is>
          <t>Tidak</t>
        </is>
      </c>
    </row>
    <row r="585" ht="15.75" customHeight="1" s="95">
      <c r="A585" s="97" t="inlineStr">
        <is>
          <t>anonymus0584</t>
        </is>
      </c>
      <c r="B585" s="97" t="inlineStr">
        <is>
          <t xml:space="preserve">P </t>
        </is>
      </c>
      <c r="C585" s="97" t="inlineStr">
        <is>
          <t>1-34 Bulan</t>
        </is>
      </c>
      <c r="D585" s="97" t="inlineStr">
        <is>
          <t>6.7</t>
        </is>
      </c>
      <c r="E585" s="97" t="n">
        <v>65</v>
      </c>
      <c r="F585" s="97" t="inlineStr">
        <is>
          <t>Normal</t>
        </is>
      </c>
      <c r="G585" s="97" t="inlineStr">
        <is>
          <t>Normal</t>
        </is>
      </c>
      <c r="H585" s="97" t="inlineStr">
        <is>
          <t>Gizi Baik</t>
        </is>
      </c>
      <c r="I585" s="97" t="inlineStr">
        <is>
          <t>Ya</t>
        </is>
      </c>
      <c r="J585" s="97" t="inlineStr">
        <is>
          <t>Tidak</t>
        </is>
      </c>
    </row>
    <row r="586" ht="15.75" customHeight="1" s="95">
      <c r="A586" s="97" t="inlineStr">
        <is>
          <t>anonymus0585</t>
        </is>
      </c>
      <c r="B586" s="97" t="inlineStr">
        <is>
          <t xml:space="preserve">L </t>
        </is>
      </c>
      <c r="C586" s="97" t="inlineStr">
        <is>
          <t>35-69 Bulan</t>
        </is>
      </c>
      <c r="D586" s="97" t="n">
        <v>16</v>
      </c>
      <c r="E586" s="97" t="n">
        <v>101</v>
      </c>
      <c r="F586" s="97" t="inlineStr">
        <is>
          <t>Normal</t>
        </is>
      </c>
      <c r="G586" s="97" t="inlineStr">
        <is>
          <t>Normal</t>
        </is>
      </c>
      <c r="H586" s="97" t="inlineStr">
        <is>
          <t>Gizi Baik</t>
        </is>
      </c>
      <c r="I586" s="97" t="inlineStr">
        <is>
          <t>Ya</t>
        </is>
      </c>
      <c r="J586" s="97" t="inlineStr">
        <is>
          <t>Tidak</t>
        </is>
      </c>
    </row>
    <row r="587" ht="15.75" customHeight="1" s="95">
      <c r="A587" s="97" t="inlineStr">
        <is>
          <t>anonymus0586</t>
        </is>
      </c>
      <c r="B587" s="97" t="inlineStr">
        <is>
          <t>P</t>
        </is>
      </c>
      <c r="C587" s="97" t="inlineStr">
        <is>
          <t>1-34 Bulan</t>
        </is>
      </c>
      <c r="D587" s="97" t="n">
        <v>9.699999999999999</v>
      </c>
      <c r="E587" s="97" t="n">
        <v>72</v>
      </c>
      <c r="F587" s="97" t="inlineStr">
        <is>
          <t>Normal</t>
        </is>
      </c>
      <c r="G587" s="97" t="inlineStr">
        <is>
          <t>Normal</t>
        </is>
      </c>
      <c r="H587" s="97" t="inlineStr">
        <is>
          <t>Gizi Baik</t>
        </is>
      </c>
      <c r="I587" s="97" t="inlineStr">
        <is>
          <t>Ya</t>
        </is>
      </c>
      <c r="J587" s="97" t="inlineStr">
        <is>
          <t>Tidak</t>
        </is>
      </c>
    </row>
    <row r="588" ht="15.75" customHeight="1" s="95">
      <c r="A588" s="97" t="inlineStr">
        <is>
          <t>anonymus0587</t>
        </is>
      </c>
      <c r="B588" s="97" t="inlineStr">
        <is>
          <t>L</t>
        </is>
      </c>
      <c r="C588" s="97" t="inlineStr">
        <is>
          <t>35-69 Bulan</t>
        </is>
      </c>
      <c r="D588" s="97" t="n">
        <v>11</v>
      </c>
      <c r="E588" s="97" t="n">
        <v>93</v>
      </c>
      <c r="F588" s="97" t="inlineStr">
        <is>
          <t>Kurang</t>
        </is>
      </c>
      <c r="G588" s="97" t="inlineStr">
        <is>
          <t>Normal</t>
        </is>
      </c>
      <c r="H588" s="97" t="inlineStr">
        <is>
          <t>Gizi Kurang</t>
        </is>
      </c>
      <c r="I588" s="97" t="inlineStr">
        <is>
          <t>Ya</t>
        </is>
      </c>
      <c r="J588" s="97" t="inlineStr">
        <is>
          <t>Tidak</t>
        </is>
      </c>
    </row>
    <row r="589" ht="15.75" customHeight="1" s="95">
      <c r="A589" s="97" t="inlineStr">
        <is>
          <t>anonymus0588</t>
        </is>
      </c>
      <c r="B589" s="97" t="inlineStr">
        <is>
          <t xml:space="preserve">L </t>
        </is>
      </c>
      <c r="C589" s="97" t="inlineStr">
        <is>
          <t>35-69 Bulan</t>
        </is>
      </c>
      <c r="D589" s="97" t="n">
        <v>14</v>
      </c>
      <c r="E589" s="97" t="inlineStr">
        <is>
          <t>102.5</t>
        </is>
      </c>
      <c r="F589" s="97" t="inlineStr">
        <is>
          <t>Normal</t>
        </is>
      </c>
      <c r="G589" s="97" t="inlineStr">
        <is>
          <t>Normal</t>
        </is>
      </c>
      <c r="H589" s="97" t="inlineStr">
        <is>
          <t>Gizi Baik</t>
        </is>
      </c>
      <c r="I589" s="97" t="inlineStr">
        <is>
          <t>Ya</t>
        </is>
      </c>
      <c r="J589" s="97" t="inlineStr">
        <is>
          <t>Tidak</t>
        </is>
      </c>
    </row>
    <row r="590" ht="15.75" customHeight="1" s="95">
      <c r="A590" s="97" t="inlineStr">
        <is>
          <t>anonymus0589</t>
        </is>
      </c>
      <c r="B590" s="97" t="inlineStr">
        <is>
          <t xml:space="preserve">L </t>
        </is>
      </c>
      <c r="C590" s="97" t="inlineStr">
        <is>
          <t>1-34 Bulan</t>
        </is>
      </c>
      <c r="D590" s="97" t="inlineStr">
        <is>
          <t>9.2</t>
        </is>
      </c>
      <c r="E590" s="97" t="n">
        <v>75</v>
      </c>
      <c r="F590" s="97" t="inlineStr">
        <is>
          <t>Normal</t>
        </is>
      </c>
      <c r="G590" s="97" t="inlineStr">
        <is>
          <t>Normal</t>
        </is>
      </c>
      <c r="H590" s="97" t="inlineStr">
        <is>
          <t>Gizi Baik</t>
        </is>
      </c>
      <c r="I590" s="97" t="inlineStr">
        <is>
          <t>Ya</t>
        </is>
      </c>
      <c r="J590" s="97" t="inlineStr">
        <is>
          <t>Tidak</t>
        </is>
      </c>
    </row>
    <row r="591" ht="15.75" customHeight="1" s="95">
      <c r="A591" s="97" t="inlineStr">
        <is>
          <t>anonymus0590</t>
        </is>
      </c>
      <c r="B591" s="97" t="inlineStr">
        <is>
          <t>L</t>
        </is>
      </c>
      <c r="C591" s="97" t="inlineStr">
        <is>
          <t>35-69 Bulan</t>
        </is>
      </c>
      <c r="D591" s="97" t="n">
        <v>12</v>
      </c>
      <c r="E591" s="97" t="n">
        <v>95</v>
      </c>
      <c r="F591" s="97" t="inlineStr">
        <is>
          <t>Normal</t>
        </is>
      </c>
      <c r="G591" s="97" t="inlineStr">
        <is>
          <t>Normal</t>
        </is>
      </c>
      <c r="H591" s="97" t="inlineStr">
        <is>
          <t>Gizi Kurang</t>
        </is>
      </c>
      <c r="I591" s="97" t="inlineStr">
        <is>
          <t>Ya</t>
        </is>
      </c>
      <c r="J591" s="97" t="inlineStr">
        <is>
          <t>Tidak</t>
        </is>
      </c>
    </row>
    <row r="592" ht="15.75" customHeight="1" s="95">
      <c r="A592" s="97" t="inlineStr">
        <is>
          <t>anonymus0591</t>
        </is>
      </c>
      <c r="B592" s="97" t="inlineStr">
        <is>
          <t>P</t>
        </is>
      </c>
      <c r="C592" s="97" t="inlineStr">
        <is>
          <t>35-69 Bulan</t>
        </is>
      </c>
      <c r="D592" s="97" t="n">
        <v>12.55</v>
      </c>
      <c r="E592" s="97" t="n">
        <v>103</v>
      </c>
      <c r="F592" s="97" t="inlineStr">
        <is>
          <t>Normal</t>
        </is>
      </c>
      <c r="G592" s="97" t="inlineStr">
        <is>
          <t>Normal</t>
        </is>
      </c>
      <c r="H592" s="97" t="inlineStr">
        <is>
          <t>Gizi Kurang</t>
        </is>
      </c>
      <c r="I592" s="97" t="inlineStr">
        <is>
          <t>Ya</t>
        </is>
      </c>
      <c r="J592" s="97" t="inlineStr">
        <is>
          <t>Tidak</t>
        </is>
      </c>
    </row>
    <row r="593" ht="15.75" customHeight="1" s="95">
      <c r="A593" s="97" t="inlineStr">
        <is>
          <t>anonymus0592</t>
        </is>
      </c>
      <c r="B593" s="97" t="inlineStr">
        <is>
          <t>L</t>
        </is>
      </c>
      <c r="C593" s="97" t="inlineStr">
        <is>
          <t>35-69 Bulan</t>
        </is>
      </c>
      <c r="D593" s="97" t="n">
        <v>11.7</v>
      </c>
      <c r="E593" s="97" t="n">
        <v>94</v>
      </c>
      <c r="F593" s="97" t="inlineStr">
        <is>
          <t>Kurang</t>
        </is>
      </c>
      <c r="G593" s="97" t="inlineStr">
        <is>
          <t>Pendek</t>
        </is>
      </c>
      <c r="H593" s="97" t="inlineStr">
        <is>
          <t>Gizi Kurang</t>
        </is>
      </c>
      <c r="I593" s="97" t="inlineStr">
        <is>
          <t>Ya</t>
        </is>
      </c>
      <c r="J593" s="97" t="inlineStr">
        <is>
          <t>Potensi Stunting</t>
        </is>
      </c>
    </row>
    <row r="594" ht="15.75" customHeight="1" s="95">
      <c r="A594" s="97" t="inlineStr">
        <is>
          <t>anonymus0593</t>
        </is>
      </c>
      <c r="B594" s="97" t="inlineStr">
        <is>
          <t xml:space="preserve">L </t>
        </is>
      </c>
      <c r="C594" s="97" t="inlineStr">
        <is>
          <t>35-69 Bulan</t>
        </is>
      </c>
      <c r="D594" s="97" t="inlineStr">
        <is>
          <t>17.2</t>
        </is>
      </c>
      <c r="E594" s="97" t="n">
        <v>103</v>
      </c>
      <c r="F594" s="97" t="inlineStr">
        <is>
          <t>Normal</t>
        </is>
      </c>
      <c r="G594" s="97" t="inlineStr">
        <is>
          <t>Normal</t>
        </is>
      </c>
      <c r="H594" s="97" t="inlineStr">
        <is>
          <t>Gizi Baik</t>
        </is>
      </c>
      <c r="I594" s="97" t="inlineStr">
        <is>
          <t>Ya</t>
        </is>
      </c>
      <c r="J594" s="97" t="inlineStr">
        <is>
          <t>Tidak</t>
        </is>
      </c>
    </row>
    <row r="595" ht="15.75" customHeight="1" s="95">
      <c r="A595" s="97" t="inlineStr">
        <is>
          <t>anonymus0594</t>
        </is>
      </c>
      <c r="B595" s="97" t="inlineStr">
        <is>
          <t>L</t>
        </is>
      </c>
      <c r="C595" s="97" t="inlineStr">
        <is>
          <t>1-34 Bulan</t>
        </is>
      </c>
      <c r="D595" s="97" t="n">
        <v>10.5</v>
      </c>
      <c r="E595" s="97" t="n">
        <v>76</v>
      </c>
      <c r="F595" s="97" t="inlineStr">
        <is>
          <t>Normal</t>
        </is>
      </c>
      <c r="G595" s="97" t="inlineStr">
        <is>
          <t>Sangat Pendek</t>
        </is>
      </c>
      <c r="H595" s="97" t="inlineStr">
        <is>
          <t>Gizi Baik</t>
        </is>
      </c>
      <c r="I595" s="97" t="inlineStr">
        <is>
          <t>Ya</t>
        </is>
      </c>
      <c r="J595" s="97" t="inlineStr">
        <is>
          <t>Stunting</t>
        </is>
      </c>
    </row>
    <row r="596" ht="15.75" customHeight="1" s="95">
      <c r="A596" s="97" t="inlineStr">
        <is>
          <t>anonymus0595</t>
        </is>
      </c>
      <c r="B596" s="97" t="inlineStr">
        <is>
          <t xml:space="preserve">L </t>
        </is>
      </c>
      <c r="C596" s="97" t="inlineStr">
        <is>
          <t>35-69 Bulan</t>
        </is>
      </c>
      <c r="D596" s="97" t="inlineStr">
        <is>
          <t>19.3</t>
        </is>
      </c>
      <c r="E596" s="97" t="n">
        <v>111</v>
      </c>
      <c r="F596" s="97" t="inlineStr">
        <is>
          <t>Normal</t>
        </is>
      </c>
      <c r="G596" s="97" t="inlineStr">
        <is>
          <t>Normal</t>
        </is>
      </c>
      <c r="H596" s="97" t="inlineStr">
        <is>
          <t>Gizi Baik</t>
        </is>
      </c>
      <c r="I596" s="97" t="inlineStr">
        <is>
          <t>Ya</t>
        </is>
      </c>
      <c r="J596" s="97" t="inlineStr">
        <is>
          <t>Tidak</t>
        </is>
      </c>
    </row>
    <row r="597" ht="15.75" customHeight="1" s="95">
      <c r="A597" s="97" t="inlineStr">
        <is>
          <t>anonymus0596</t>
        </is>
      </c>
      <c r="B597" s="97" t="inlineStr">
        <is>
          <t xml:space="preserve">P </t>
        </is>
      </c>
      <c r="C597" s="97" t="inlineStr">
        <is>
          <t>35-69 Bulan</t>
        </is>
      </c>
      <c r="D597" s="97" t="inlineStr">
        <is>
          <t>13.6</t>
        </is>
      </c>
      <c r="E597" s="97" t="n">
        <v>94</v>
      </c>
      <c r="F597" s="97" t="inlineStr">
        <is>
          <t>Risiko Lebih</t>
        </is>
      </c>
      <c r="G597" s="97" t="inlineStr">
        <is>
          <t>Normal</t>
        </is>
      </c>
      <c r="H597" s="97" t="inlineStr">
        <is>
          <t>Gizi Baik</t>
        </is>
      </c>
      <c r="I597" s="97" t="inlineStr">
        <is>
          <t>Ya</t>
        </is>
      </c>
      <c r="J597" s="97" t="inlineStr">
        <is>
          <t>Tidak</t>
        </is>
      </c>
    </row>
    <row r="598" ht="15.75" customHeight="1" s="95">
      <c r="A598" s="97" t="inlineStr">
        <is>
          <t>anonymus0597</t>
        </is>
      </c>
      <c r="B598" s="97" t="inlineStr">
        <is>
          <t>P</t>
        </is>
      </c>
      <c r="C598" s="97" t="inlineStr">
        <is>
          <t>1-34 Bulan</t>
        </is>
      </c>
      <c r="D598" s="97" t="n">
        <v>10</v>
      </c>
      <c r="E598" s="97" t="n">
        <v>88</v>
      </c>
      <c r="F598" s="97" t="inlineStr">
        <is>
          <t>Normal</t>
        </is>
      </c>
      <c r="G598" s="97" t="inlineStr">
        <is>
          <t>Normal</t>
        </is>
      </c>
      <c r="H598" s="97" t="inlineStr">
        <is>
          <t>Gizi Kurang</t>
        </is>
      </c>
      <c r="I598" s="97" t="inlineStr">
        <is>
          <t>Ya</t>
        </is>
      </c>
      <c r="J598" s="97" t="inlineStr">
        <is>
          <t>Tidak</t>
        </is>
      </c>
    </row>
    <row r="599" ht="15.75" customHeight="1" s="95">
      <c r="A599" s="97" t="inlineStr">
        <is>
          <t>anonymus0598</t>
        </is>
      </c>
      <c r="B599" s="97" t="inlineStr">
        <is>
          <t>P</t>
        </is>
      </c>
      <c r="C599" s="97" t="inlineStr">
        <is>
          <t>1-34 Bulan</t>
        </is>
      </c>
      <c r="D599" s="97" t="n">
        <v>8.9</v>
      </c>
      <c r="E599" s="97" t="n">
        <v>96</v>
      </c>
      <c r="F599" s="97" t="inlineStr">
        <is>
          <t>Kurang</t>
        </is>
      </c>
      <c r="G599" s="97" t="inlineStr">
        <is>
          <t>Normal</t>
        </is>
      </c>
      <c r="H599" s="97" t="inlineStr">
        <is>
          <t>Gizi Kurang</t>
        </is>
      </c>
      <c r="I599" s="97" t="inlineStr">
        <is>
          <t>Ya</t>
        </is>
      </c>
      <c r="J599" s="97" t="inlineStr">
        <is>
          <t>Tidak</t>
        </is>
      </c>
    </row>
    <row r="600" ht="15.75" customHeight="1" s="95">
      <c r="A600" s="97" t="inlineStr">
        <is>
          <t>anonymus0599</t>
        </is>
      </c>
      <c r="B600" s="97" t="inlineStr">
        <is>
          <t>L</t>
        </is>
      </c>
      <c r="C600" s="97" t="inlineStr">
        <is>
          <t>1-34 Bulan</t>
        </is>
      </c>
      <c r="D600" s="97" t="n">
        <v>5.8</v>
      </c>
      <c r="E600" s="97" t="n">
        <v>63.5</v>
      </c>
      <c r="F600" s="97" t="inlineStr">
        <is>
          <t>Normal</t>
        </is>
      </c>
      <c r="G600" s="97" t="inlineStr">
        <is>
          <t>Normal</t>
        </is>
      </c>
      <c r="H600" s="97" t="inlineStr">
        <is>
          <t>Gizi Kurang</t>
        </is>
      </c>
      <c r="I600" s="97" t="inlineStr">
        <is>
          <t>Ya</t>
        </is>
      </c>
      <c r="J600" s="97" t="inlineStr">
        <is>
          <t>Tidak</t>
        </is>
      </c>
    </row>
    <row r="601" ht="15.75" customHeight="1" s="95">
      <c r="A601" s="97" t="inlineStr">
        <is>
          <t>anonymus0600</t>
        </is>
      </c>
      <c r="B601" s="97" t="inlineStr">
        <is>
          <t>P</t>
        </is>
      </c>
      <c r="C601" s="97" t="inlineStr">
        <is>
          <t>1-34 Bulan</t>
        </is>
      </c>
      <c r="D601" s="97" t="n">
        <v>12.4</v>
      </c>
      <c r="E601" s="97" t="n">
        <v>96</v>
      </c>
      <c r="F601" s="97" t="inlineStr">
        <is>
          <t>Normal</t>
        </is>
      </c>
      <c r="G601" s="97" t="inlineStr">
        <is>
          <t>Normal</t>
        </is>
      </c>
      <c r="H601" s="97" t="inlineStr">
        <is>
          <t>Gizi Baik</t>
        </is>
      </c>
      <c r="I601" s="97" t="inlineStr">
        <is>
          <t>Ya</t>
        </is>
      </c>
      <c r="J601" s="97" t="inlineStr">
        <is>
          <t>Tidak</t>
        </is>
      </c>
    </row>
    <row r="602" ht="15.75" customHeight="1" s="95">
      <c r="A602" s="97" t="inlineStr">
        <is>
          <t>anonymus0601</t>
        </is>
      </c>
      <c r="B602" s="97" t="inlineStr">
        <is>
          <t>P</t>
        </is>
      </c>
      <c r="C602" s="97" t="inlineStr">
        <is>
          <t>35-69 Bulan</t>
        </is>
      </c>
      <c r="D602" s="97" t="n">
        <v>18.8</v>
      </c>
      <c r="E602" s="97" t="n">
        <v>108</v>
      </c>
      <c r="F602" s="97" t="inlineStr">
        <is>
          <t>Risiko Lebih</t>
        </is>
      </c>
      <c r="G602" s="97" t="inlineStr">
        <is>
          <t>Normal</t>
        </is>
      </c>
      <c r="H602" s="97" t="inlineStr">
        <is>
          <t>Gizi Lebih</t>
        </is>
      </c>
      <c r="I602" s="97" t="inlineStr">
        <is>
          <t>Ya</t>
        </is>
      </c>
      <c r="J602" s="97" t="inlineStr">
        <is>
          <t>Tidak</t>
        </is>
      </c>
    </row>
    <row r="603" ht="15.75" customHeight="1" s="95">
      <c r="A603" s="97" t="inlineStr">
        <is>
          <t>anonymus0602</t>
        </is>
      </c>
      <c r="B603" s="97" t="inlineStr">
        <is>
          <t>L</t>
        </is>
      </c>
      <c r="C603" s="97" t="inlineStr">
        <is>
          <t>35-69 Bulan</t>
        </is>
      </c>
      <c r="D603" s="97" t="n">
        <v>19.4</v>
      </c>
      <c r="E603" s="97" t="n">
        <v>103</v>
      </c>
      <c r="F603" s="97" t="inlineStr">
        <is>
          <t>Risiko Lebih</t>
        </is>
      </c>
      <c r="G603" s="97" t="inlineStr">
        <is>
          <t>Normal</t>
        </is>
      </c>
      <c r="H603" s="97" t="inlineStr">
        <is>
          <t>Gizi Lebih</t>
        </is>
      </c>
      <c r="I603" s="97" t="inlineStr">
        <is>
          <t>Ya</t>
        </is>
      </c>
      <c r="J603" s="97" t="inlineStr">
        <is>
          <t>Tidak</t>
        </is>
      </c>
    </row>
    <row r="604" ht="15.75" customHeight="1" s="95">
      <c r="A604" s="97" t="inlineStr">
        <is>
          <t>anonymus0603</t>
        </is>
      </c>
      <c r="B604" s="97" t="inlineStr">
        <is>
          <t>P</t>
        </is>
      </c>
      <c r="C604" s="97" t="inlineStr">
        <is>
          <t>35-69 Bulan</t>
        </is>
      </c>
      <c r="D604" s="97" t="n">
        <v>14.4</v>
      </c>
      <c r="E604" s="97" t="n">
        <v>98</v>
      </c>
      <c r="F604" s="97" t="inlineStr">
        <is>
          <t>Normal</t>
        </is>
      </c>
      <c r="G604" s="97" t="inlineStr">
        <is>
          <t>Normal</t>
        </is>
      </c>
      <c r="H604" s="97" t="inlineStr">
        <is>
          <t>Gizi Baik</t>
        </is>
      </c>
      <c r="I604" s="97" t="inlineStr">
        <is>
          <t>Ya</t>
        </is>
      </c>
      <c r="J604" s="97" t="inlineStr">
        <is>
          <t>Tidak</t>
        </is>
      </c>
    </row>
    <row r="605" ht="15.75" customHeight="1" s="95">
      <c r="A605" s="97" t="inlineStr">
        <is>
          <t>anonymus0604</t>
        </is>
      </c>
      <c r="B605" s="97" t="inlineStr">
        <is>
          <t>P</t>
        </is>
      </c>
      <c r="C605" s="97" t="inlineStr">
        <is>
          <t>35-69 Bulan</t>
        </is>
      </c>
      <c r="D605" s="97" t="n">
        <v>16.8</v>
      </c>
      <c r="E605" s="97" t="n">
        <v>99</v>
      </c>
      <c r="F605" s="97" t="inlineStr">
        <is>
          <t>Normal</t>
        </is>
      </c>
      <c r="G605" s="97" t="inlineStr">
        <is>
          <t>Normal</t>
        </is>
      </c>
      <c r="H605" s="97" t="inlineStr">
        <is>
          <t>Gizi Baik</t>
        </is>
      </c>
      <c r="I605" s="97" t="inlineStr">
        <is>
          <t>Ya</t>
        </is>
      </c>
      <c r="J605" s="97" t="inlineStr">
        <is>
          <t>Tidak</t>
        </is>
      </c>
    </row>
    <row r="606" ht="15.75" customHeight="1" s="95">
      <c r="A606" s="97" t="inlineStr">
        <is>
          <t>anonymus0605</t>
        </is>
      </c>
      <c r="B606" s="97" t="inlineStr">
        <is>
          <t>L</t>
        </is>
      </c>
      <c r="C606" s="97" t="inlineStr">
        <is>
          <t>35-69 Bulan</t>
        </is>
      </c>
      <c r="D606" s="97" t="n">
        <v>19</v>
      </c>
      <c r="E606" s="97" t="n">
        <v>115</v>
      </c>
      <c r="F606" s="97" t="inlineStr">
        <is>
          <t>Risiko Lebih</t>
        </is>
      </c>
      <c r="G606" s="97" t="inlineStr">
        <is>
          <t>Normal</t>
        </is>
      </c>
      <c r="H606" s="97" t="inlineStr">
        <is>
          <t>Gizi Lebih</t>
        </is>
      </c>
      <c r="I606" s="97" t="inlineStr">
        <is>
          <t>Ya</t>
        </is>
      </c>
      <c r="J606" s="97" t="inlineStr">
        <is>
          <t>Tidak</t>
        </is>
      </c>
    </row>
    <row r="607" ht="15.75" customHeight="1" s="95">
      <c r="A607" s="97" t="inlineStr">
        <is>
          <t>anonymus0606</t>
        </is>
      </c>
      <c r="B607" s="97" t="inlineStr">
        <is>
          <t>P</t>
        </is>
      </c>
      <c r="C607" s="97" t="inlineStr">
        <is>
          <t>35-69 Bulan</t>
        </is>
      </c>
      <c r="D607" s="97" t="n">
        <v>13</v>
      </c>
      <c r="E607" s="97" t="n">
        <v>93</v>
      </c>
      <c r="F607" s="97" t="inlineStr">
        <is>
          <t>Normal</t>
        </is>
      </c>
      <c r="G607" s="97" t="inlineStr">
        <is>
          <t>Normal</t>
        </is>
      </c>
      <c r="H607" s="97" t="inlineStr">
        <is>
          <t>Gizi Baik</t>
        </is>
      </c>
      <c r="I607" s="97" t="inlineStr">
        <is>
          <t>Ya</t>
        </is>
      </c>
      <c r="J607" s="97" t="inlineStr">
        <is>
          <t>Tidak</t>
        </is>
      </c>
    </row>
    <row r="608" ht="15.75" customHeight="1" s="95">
      <c r="A608" s="97" t="inlineStr">
        <is>
          <t>anonymus0607</t>
        </is>
      </c>
      <c r="B608" s="97" t="inlineStr">
        <is>
          <t>L</t>
        </is>
      </c>
      <c r="C608" s="97" t="inlineStr">
        <is>
          <t>1-34 Bulan</t>
        </is>
      </c>
      <c r="D608" s="97" t="n">
        <v>13.9</v>
      </c>
      <c r="E608" s="97" t="n">
        <v>86</v>
      </c>
      <c r="F608" s="97" t="inlineStr">
        <is>
          <t>Normal</t>
        </is>
      </c>
      <c r="G608" s="97" t="inlineStr">
        <is>
          <t>Normal</t>
        </is>
      </c>
      <c r="H608" s="97" t="inlineStr">
        <is>
          <t>Gizi Baik</t>
        </is>
      </c>
      <c r="I608" s="97" t="inlineStr">
        <is>
          <t>Ya</t>
        </is>
      </c>
      <c r="J608" s="97" t="inlineStr">
        <is>
          <t>Tidak</t>
        </is>
      </c>
    </row>
    <row r="609" ht="15.75" customHeight="1" s="95">
      <c r="A609" s="97" t="inlineStr">
        <is>
          <t>anonymus0608</t>
        </is>
      </c>
      <c r="B609" s="97" t="inlineStr">
        <is>
          <t>L</t>
        </is>
      </c>
      <c r="C609" s="97" t="inlineStr">
        <is>
          <t>1-34 Bulan</t>
        </is>
      </c>
      <c r="D609" s="97" t="n">
        <v>8</v>
      </c>
      <c r="E609" s="97" t="n">
        <v>72.40000000000001</v>
      </c>
      <c r="F609" s="97" t="inlineStr">
        <is>
          <t>Kurang</t>
        </is>
      </c>
      <c r="G609" s="97" t="inlineStr">
        <is>
          <t>Pendek</t>
        </is>
      </c>
      <c r="H609" s="97" t="inlineStr">
        <is>
          <t>Gizi Baik</t>
        </is>
      </c>
      <c r="I609" s="97" t="inlineStr">
        <is>
          <t>Ya</t>
        </is>
      </c>
      <c r="J609" s="97" t="inlineStr">
        <is>
          <t>Potensi Stunting</t>
        </is>
      </c>
    </row>
    <row r="610" ht="15.75" customHeight="1" s="95">
      <c r="A610" s="97" t="inlineStr">
        <is>
          <t>anonymus0609</t>
        </is>
      </c>
      <c r="B610" s="97" t="inlineStr">
        <is>
          <t xml:space="preserve">L </t>
        </is>
      </c>
      <c r="C610" s="97" t="inlineStr">
        <is>
          <t>35-69 Bulan</t>
        </is>
      </c>
      <c r="D610" s="97" t="inlineStr">
        <is>
          <t>15.4</t>
        </is>
      </c>
      <c r="E610" s="97" t="n">
        <v>99</v>
      </c>
      <c r="F610" s="97" t="inlineStr">
        <is>
          <t>Normal</t>
        </is>
      </c>
      <c r="G610" s="97" t="inlineStr">
        <is>
          <t>Normal</t>
        </is>
      </c>
      <c r="H610" s="97" t="inlineStr">
        <is>
          <t>Gizi Baik</t>
        </is>
      </c>
      <c r="I610" s="97" t="inlineStr">
        <is>
          <t>Ya</t>
        </is>
      </c>
      <c r="J610" s="97" t="inlineStr">
        <is>
          <t>Tidak</t>
        </is>
      </c>
    </row>
    <row r="611" ht="15.75" customHeight="1" s="95">
      <c r="A611" s="97" t="inlineStr">
        <is>
          <t>anonymus0610</t>
        </is>
      </c>
      <c r="B611" s="97" t="inlineStr">
        <is>
          <t>L</t>
        </is>
      </c>
      <c r="C611" s="97" t="inlineStr">
        <is>
          <t>35-69 Bulan</t>
        </is>
      </c>
      <c r="D611" s="97" t="n">
        <v>11.5</v>
      </c>
      <c r="E611" s="97" t="n">
        <v>96</v>
      </c>
      <c r="F611" s="97" t="inlineStr">
        <is>
          <t>Sangat Kurang</t>
        </is>
      </c>
      <c r="G611" s="97" t="inlineStr">
        <is>
          <t>Pendek</t>
        </is>
      </c>
      <c r="H611" s="97" t="inlineStr">
        <is>
          <t>Gizi Kurang</t>
        </is>
      </c>
      <c r="I611" s="97" t="inlineStr">
        <is>
          <t>Ya</t>
        </is>
      </c>
      <c r="J611" s="97" t="inlineStr">
        <is>
          <t>Potensi Stunting</t>
        </is>
      </c>
    </row>
    <row r="612" ht="15.75" customHeight="1" s="95">
      <c r="A612" s="97" t="inlineStr">
        <is>
          <t>anonymus0611</t>
        </is>
      </c>
      <c r="B612" s="97" t="inlineStr">
        <is>
          <t xml:space="preserve">L </t>
        </is>
      </c>
      <c r="C612" s="97" t="inlineStr">
        <is>
          <t>35-69 Bulan</t>
        </is>
      </c>
      <c r="D612" s="97" t="n">
        <v>12</v>
      </c>
      <c r="E612" s="97" t="n">
        <v>96</v>
      </c>
      <c r="F612" s="97" t="inlineStr">
        <is>
          <t>Normal</t>
        </is>
      </c>
      <c r="G612" s="97" t="inlineStr">
        <is>
          <t>Normal</t>
        </is>
      </c>
      <c r="H612" s="97" t="inlineStr">
        <is>
          <t>Gizi Kurang</t>
        </is>
      </c>
      <c r="I612" s="97" t="inlineStr">
        <is>
          <t>Ya</t>
        </is>
      </c>
      <c r="J612" s="97" t="inlineStr">
        <is>
          <t>Tidak</t>
        </is>
      </c>
    </row>
    <row r="613" ht="15.75" customHeight="1" s="95">
      <c r="A613" s="97" t="inlineStr">
        <is>
          <t>anonymus0612</t>
        </is>
      </c>
      <c r="B613" s="97" t="inlineStr">
        <is>
          <t xml:space="preserve">L </t>
        </is>
      </c>
      <c r="C613" s="97" t="inlineStr">
        <is>
          <t>1-34 Bulan</t>
        </is>
      </c>
      <c r="D613" s="97" t="inlineStr">
        <is>
          <t>11.8</t>
        </is>
      </c>
      <c r="E613" s="97" t="inlineStr">
        <is>
          <t>87.5</t>
        </is>
      </c>
      <c r="F613" s="97" t="inlineStr">
        <is>
          <t>Normal</t>
        </is>
      </c>
      <c r="G613" s="97" t="inlineStr">
        <is>
          <t>Normal</t>
        </is>
      </c>
      <c r="H613" s="97" t="inlineStr">
        <is>
          <t>Gizi Baik</t>
        </is>
      </c>
      <c r="I613" s="97" t="inlineStr">
        <is>
          <t>Ya</t>
        </is>
      </c>
      <c r="J613" s="97" t="inlineStr">
        <is>
          <t>Tidak</t>
        </is>
      </c>
    </row>
    <row r="614" ht="15.75" customHeight="1" s="95">
      <c r="A614" s="97" t="inlineStr">
        <is>
          <t>anonymus0613</t>
        </is>
      </c>
      <c r="B614" s="97" t="inlineStr">
        <is>
          <t>L</t>
        </is>
      </c>
      <c r="C614" s="97" t="inlineStr">
        <is>
          <t>35-69 Bulan</t>
        </is>
      </c>
      <c r="D614" s="97" t="n">
        <v>16.8</v>
      </c>
      <c r="E614" s="97" t="n">
        <v>95</v>
      </c>
      <c r="F614" s="97" t="inlineStr">
        <is>
          <t>Normal</t>
        </is>
      </c>
      <c r="G614" s="97" t="inlineStr">
        <is>
          <t>Normal</t>
        </is>
      </c>
      <c r="H614" s="97" t="inlineStr">
        <is>
          <t>Gizi Baik</t>
        </is>
      </c>
      <c r="I614" s="97" t="inlineStr">
        <is>
          <t>Ya</t>
        </is>
      </c>
      <c r="J614" s="97" t="inlineStr">
        <is>
          <t>Tidak</t>
        </is>
      </c>
    </row>
    <row r="615" ht="15.75" customHeight="1" s="95">
      <c r="A615" s="97" t="inlineStr">
        <is>
          <t>anonymus0614</t>
        </is>
      </c>
      <c r="B615" s="97" t="inlineStr">
        <is>
          <t xml:space="preserve">L </t>
        </is>
      </c>
      <c r="C615" s="97" t="inlineStr">
        <is>
          <t>35-69 Bulan</t>
        </is>
      </c>
      <c r="D615" s="97" t="inlineStr">
        <is>
          <t>8.9</t>
        </is>
      </c>
      <c r="E615" s="97" t="n">
        <v>87</v>
      </c>
      <c r="F615" s="97" t="inlineStr">
        <is>
          <t>Sangat Kurang</t>
        </is>
      </c>
      <c r="G615" s="97" t="inlineStr">
        <is>
          <t>Pendek</t>
        </is>
      </c>
      <c r="H615" s="97" t="inlineStr">
        <is>
          <t>Gizi Buruk</t>
        </is>
      </c>
      <c r="I615" s="97" t="inlineStr">
        <is>
          <t>Ya</t>
        </is>
      </c>
      <c r="J615" s="97" t="inlineStr">
        <is>
          <t>Potensi Stunting</t>
        </is>
      </c>
    </row>
    <row r="616" ht="15.75" customHeight="1" s="95">
      <c r="A616" s="97" t="inlineStr">
        <is>
          <t>anonymus0615</t>
        </is>
      </c>
      <c r="B616" s="97" t="inlineStr">
        <is>
          <t>L</t>
        </is>
      </c>
      <c r="C616" s="97" t="inlineStr">
        <is>
          <t>35-69 Bulan</t>
        </is>
      </c>
      <c r="D616" s="97" t="n">
        <v>13.6</v>
      </c>
      <c r="E616" s="97" t="n">
        <v>102</v>
      </c>
      <c r="F616" s="97" t="inlineStr">
        <is>
          <t>Normal</t>
        </is>
      </c>
      <c r="G616" s="97" t="inlineStr">
        <is>
          <t>Normal</t>
        </is>
      </c>
      <c r="H616" s="97" t="inlineStr">
        <is>
          <t>Gizi Baik</t>
        </is>
      </c>
      <c r="I616" s="97" t="inlineStr">
        <is>
          <t>Ya</t>
        </is>
      </c>
      <c r="J616" s="97" t="inlineStr">
        <is>
          <t>Tidak</t>
        </is>
      </c>
    </row>
    <row r="617" ht="15.75" customHeight="1" s="95">
      <c r="A617" s="97" t="inlineStr">
        <is>
          <t>anonymus0616</t>
        </is>
      </c>
      <c r="B617" s="97" t="inlineStr">
        <is>
          <t xml:space="preserve">P </t>
        </is>
      </c>
      <c r="C617" s="97" t="inlineStr">
        <is>
          <t>35-69 Bulan</t>
        </is>
      </c>
      <c r="D617" s="97" t="inlineStr">
        <is>
          <t>16.8</t>
        </is>
      </c>
      <c r="E617" s="97" t="n">
        <v>102</v>
      </c>
      <c r="F617" s="97" t="inlineStr">
        <is>
          <t>Normal</t>
        </is>
      </c>
      <c r="G617" s="97" t="inlineStr">
        <is>
          <t>Normal</t>
        </is>
      </c>
      <c r="H617" s="97" t="inlineStr">
        <is>
          <t>Gizi Baik</t>
        </is>
      </c>
      <c r="I617" s="97" t="inlineStr">
        <is>
          <t>Ya</t>
        </is>
      </c>
      <c r="J617" s="97" t="inlineStr">
        <is>
          <t>Tidak</t>
        </is>
      </c>
    </row>
    <row r="618" ht="15.75" customHeight="1" s="95">
      <c r="A618" s="97" t="inlineStr">
        <is>
          <t>anonymus0617</t>
        </is>
      </c>
      <c r="B618" s="97" t="inlineStr">
        <is>
          <t>L</t>
        </is>
      </c>
      <c r="C618" s="97" t="inlineStr">
        <is>
          <t>35-69 Bulan</t>
        </is>
      </c>
      <c r="D618" s="97" t="n">
        <v>10.5</v>
      </c>
      <c r="E618" s="97" t="n">
        <v>84</v>
      </c>
      <c r="F618" s="97" t="inlineStr">
        <is>
          <t>Kurang</t>
        </is>
      </c>
      <c r="G618" s="97" t="inlineStr">
        <is>
          <t>Pendek</t>
        </is>
      </c>
      <c r="H618" s="97" t="inlineStr">
        <is>
          <t>Gizi Baik</t>
        </is>
      </c>
      <c r="I618" s="97" t="inlineStr">
        <is>
          <t>Ya</t>
        </is>
      </c>
      <c r="J618" s="97" t="inlineStr">
        <is>
          <t>Potensi Stunting</t>
        </is>
      </c>
    </row>
    <row r="619" ht="15.75" customHeight="1" s="95">
      <c r="A619" s="97" t="inlineStr">
        <is>
          <t>anonymus0618</t>
        </is>
      </c>
      <c r="B619" s="97" t="inlineStr">
        <is>
          <t>L</t>
        </is>
      </c>
      <c r="C619" s="97" t="inlineStr">
        <is>
          <t>35-69 Bulan</t>
        </is>
      </c>
      <c r="D619" s="97" t="n">
        <v>11.1</v>
      </c>
      <c r="E619" s="97" t="n">
        <v>93</v>
      </c>
      <c r="F619" s="97" t="inlineStr">
        <is>
          <t>Normal</t>
        </is>
      </c>
      <c r="G619" s="97" t="inlineStr">
        <is>
          <t>Normal</t>
        </is>
      </c>
      <c r="H619" s="97" t="inlineStr">
        <is>
          <t>Gizi Baik</t>
        </is>
      </c>
      <c r="I619" s="97" t="inlineStr">
        <is>
          <t>Ya</t>
        </is>
      </c>
      <c r="J619" s="97" t="inlineStr">
        <is>
          <t>Tidak</t>
        </is>
      </c>
    </row>
    <row r="620" ht="15.75" customHeight="1" s="95">
      <c r="A620" s="97" t="inlineStr">
        <is>
          <t>anonymus0619</t>
        </is>
      </c>
      <c r="B620" s="97" t="inlineStr">
        <is>
          <t>P</t>
        </is>
      </c>
      <c r="C620" s="97" t="inlineStr">
        <is>
          <t>1-34 Bulan</t>
        </is>
      </c>
      <c r="D620" s="97" t="n">
        <v>14.4</v>
      </c>
      <c r="E620" s="97" t="n">
        <v>70</v>
      </c>
      <c r="F620" s="97" t="inlineStr">
        <is>
          <t>Normal</t>
        </is>
      </c>
      <c r="G620" s="97" t="inlineStr">
        <is>
          <t>Normal</t>
        </is>
      </c>
      <c r="H620" s="97" t="inlineStr">
        <is>
          <t>Gizi Baik</t>
        </is>
      </c>
      <c r="I620" s="97" t="inlineStr">
        <is>
          <t>Ya</t>
        </is>
      </c>
      <c r="J620" s="97" t="inlineStr">
        <is>
          <t>Tidak</t>
        </is>
      </c>
    </row>
    <row r="621" ht="15.75" customHeight="1" s="95">
      <c r="A621" s="97" t="inlineStr">
        <is>
          <t>anonymus0620</t>
        </is>
      </c>
      <c r="B621" s="97" t="inlineStr">
        <is>
          <t>P</t>
        </is>
      </c>
      <c r="C621" s="97" t="inlineStr">
        <is>
          <t>1-34 Bulan</t>
        </is>
      </c>
      <c r="D621" s="97" t="n">
        <v>12.9</v>
      </c>
      <c r="E621" s="97" t="n">
        <v>73</v>
      </c>
      <c r="F621" s="97" t="inlineStr">
        <is>
          <t>Normal</t>
        </is>
      </c>
      <c r="G621" s="97" t="inlineStr">
        <is>
          <t>Normal</t>
        </is>
      </c>
      <c r="H621" s="97" t="inlineStr">
        <is>
          <t>Gizi Baik</t>
        </is>
      </c>
      <c r="I621" s="97" t="inlineStr">
        <is>
          <t>Ya</t>
        </is>
      </c>
      <c r="J621" s="97" t="inlineStr">
        <is>
          <t>Tidak</t>
        </is>
      </c>
    </row>
    <row r="622" ht="15.75" customHeight="1" s="95">
      <c r="A622" s="97" t="inlineStr">
        <is>
          <t>anonymus0621</t>
        </is>
      </c>
      <c r="B622" s="97" t="inlineStr">
        <is>
          <t>L</t>
        </is>
      </c>
      <c r="C622" s="97" t="inlineStr">
        <is>
          <t>35-69 Bulan</t>
        </is>
      </c>
      <c r="D622" s="97" t="n">
        <v>16.4</v>
      </c>
      <c r="E622" s="97" t="n">
        <v>90</v>
      </c>
      <c r="F622" s="97" t="inlineStr">
        <is>
          <t>Normal</t>
        </is>
      </c>
      <c r="G622" s="97" t="inlineStr">
        <is>
          <t>Normal</t>
        </is>
      </c>
      <c r="H622" s="97" t="inlineStr">
        <is>
          <t>Gizi Baik</t>
        </is>
      </c>
      <c r="I622" s="97" t="inlineStr">
        <is>
          <t>Ya</t>
        </is>
      </c>
      <c r="J622" s="97" t="inlineStr">
        <is>
          <t>Tidak</t>
        </is>
      </c>
    </row>
    <row r="623" ht="15.75" customHeight="1" s="95">
      <c r="A623" s="97" t="inlineStr">
        <is>
          <t>anonymus0622</t>
        </is>
      </c>
      <c r="B623" s="97" t="inlineStr">
        <is>
          <t xml:space="preserve">L </t>
        </is>
      </c>
      <c r="C623" s="97" t="inlineStr">
        <is>
          <t>1-34 Bulan</t>
        </is>
      </c>
      <c r="D623" s="97" t="inlineStr">
        <is>
          <t>8.2</t>
        </is>
      </c>
      <c r="E623" s="97" t="n">
        <v>67</v>
      </c>
      <c r="F623" s="97" t="inlineStr">
        <is>
          <t>Normal</t>
        </is>
      </c>
      <c r="G623" s="97" t="inlineStr">
        <is>
          <t>Normal</t>
        </is>
      </c>
      <c r="H623" s="97" t="inlineStr">
        <is>
          <t>Gizi Baik</t>
        </is>
      </c>
      <c r="I623" s="97" t="inlineStr">
        <is>
          <t>Ya</t>
        </is>
      </c>
      <c r="J623" s="97" t="inlineStr">
        <is>
          <t>Tidak</t>
        </is>
      </c>
    </row>
    <row r="624" ht="15.75" customHeight="1" s="95">
      <c r="A624" s="97" t="inlineStr">
        <is>
          <t>anonymus0623</t>
        </is>
      </c>
      <c r="B624" s="97" t="inlineStr">
        <is>
          <t xml:space="preserve">L </t>
        </is>
      </c>
      <c r="C624" s="97" t="inlineStr">
        <is>
          <t>1-34 Bulan</t>
        </is>
      </c>
      <c r="D624" s="97" t="inlineStr">
        <is>
          <t>7.9</t>
        </is>
      </c>
      <c r="E624" s="97" t="n">
        <v>73</v>
      </c>
      <c r="F624" s="97" t="inlineStr">
        <is>
          <t>Kurang</t>
        </is>
      </c>
      <c r="G624" s="97" t="inlineStr">
        <is>
          <t>Pendek</t>
        </is>
      </c>
      <c r="H624" s="97" t="inlineStr">
        <is>
          <t>Gizi Baik</t>
        </is>
      </c>
      <c r="I624" s="97" t="inlineStr">
        <is>
          <t>Ya</t>
        </is>
      </c>
      <c r="J624" s="97" t="inlineStr">
        <is>
          <t>Potensi Stunting</t>
        </is>
      </c>
    </row>
    <row r="625" ht="15.75" customHeight="1" s="95">
      <c r="A625" s="97" t="inlineStr">
        <is>
          <t>anonymus0624</t>
        </is>
      </c>
      <c r="B625" s="97" t="inlineStr">
        <is>
          <t>L</t>
        </is>
      </c>
      <c r="C625" s="97" t="inlineStr">
        <is>
          <t>35-69 Bulan</t>
        </is>
      </c>
      <c r="D625" s="97" t="n">
        <v>16.9</v>
      </c>
      <c r="E625" s="97" t="n">
        <v>96</v>
      </c>
      <c r="F625" s="97" t="inlineStr">
        <is>
          <t>Normal</t>
        </is>
      </c>
      <c r="G625" s="97" t="inlineStr">
        <is>
          <t>Normal</t>
        </is>
      </c>
      <c r="H625" s="97" t="inlineStr">
        <is>
          <t>Gizi Baik</t>
        </is>
      </c>
      <c r="I625" s="97" t="inlineStr">
        <is>
          <t>Ya</t>
        </is>
      </c>
      <c r="J625" s="97" t="inlineStr">
        <is>
          <t>Tidak</t>
        </is>
      </c>
    </row>
    <row r="626" ht="15.75" customHeight="1" s="95">
      <c r="A626" s="97" t="inlineStr">
        <is>
          <t>anonymus0625</t>
        </is>
      </c>
      <c r="B626" s="97" t="inlineStr">
        <is>
          <t>L</t>
        </is>
      </c>
      <c r="C626" s="97" t="inlineStr">
        <is>
          <t>35-69 Bulan</t>
        </is>
      </c>
      <c r="D626" s="97" t="n">
        <v>10</v>
      </c>
      <c r="E626" s="97" t="n">
        <v>75</v>
      </c>
      <c r="F626" s="97" t="inlineStr">
        <is>
          <t>Normal</t>
        </is>
      </c>
      <c r="G626" s="97" t="inlineStr">
        <is>
          <t>Pendek</t>
        </is>
      </c>
      <c r="H626" s="97" t="inlineStr">
        <is>
          <t>Gizi Baik</t>
        </is>
      </c>
      <c r="I626" s="97" t="inlineStr">
        <is>
          <t>Ya</t>
        </is>
      </c>
      <c r="J626" s="97" t="inlineStr">
        <is>
          <t>Potensi Stunting</t>
        </is>
      </c>
    </row>
    <row r="627" ht="15.75" customHeight="1" s="95">
      <c r="A627" s="97" t="inlineStr">
        <is>
          <t>anonymus0626</t>
        </is>
      </c>
      <c r="B627" s="97" t="inlineStr">
        <is>
          <t xml:space="preserve">L </t>
        </is>
      </c>
      <c r="C627" s="97" t="inlineStr">
        <is>
          <t>35-69 Bulan</t>
        </is>
      </c>
      <c r="D627" s="97" t="n">
        <v>21</v>
      </c>
      <c r="E627" s="97" t="n">
        <v>105</v>
      </c>
      <c r="F627" s="97" t="inlineStr">
        <is>
          <t>Risiko Lebih</t>
        </is>
      </c>
      <c r="G627" s="97" t="inlineStr">
        <is>
          <t>Normal</t>
        </is>
      </c>
      <c r="H627" s="97" t="inlineStr">
        <is>
          <t>Gizi Lebih</t>
        </is>
      </c>
      <c r="I627" s="97" t="inlineStr">
        <is>
          <t>Ya</t>
        </is>
      </c>
      <c r="J627" s="97" t="inlineStr">
        <is>
          <t>Tidak</t>
        </is>
      </c>
    </row>
    <row r="628" ht="15.75" customHeight="1" s="95">
      <c r="A628" s="97" t="inlineStr">
        <is>
          <t>anonymus0627</t>
        </is>
      </c>
      <c r="B628" s="97" t="inlineStr">
        <is>
          <t xml:space="preserve">P </t>
        </is>
      </c>
      <c r="C628" s="97" t="inlineStr">
        <is>
          <t>1-34 Bulan</t>
        </is>
      </c>
      <c r="D628" s="97" t="inlineStr">
        <is>
          <t>12.7</t>
        </is>
      </c>
      <c r="E628" s="97" t="n">
        <v>90</v>
      </c>
      <c r="F628" s="97" t="inlineStr">
        <is>
          <t>Normal</t>
        </is>
      </c>
      <c r="G628" s="97" t="inlineStr">
        <is>
          <t>Normal</t>
        </is>
      </c>
      <c r="H628" s="97" t="inlineStr">
        <is>
          <t>Gizi Baik</t>
        </is>
      </c>
      <c r="I628" s="97" t="inlineStr">
        <is>
          <t>Ya</t>
        </is>
      </c>
      <c r="J628" s="97" t="inlineStr">
        <is>
          <t>Tidak</t>
        </is>
      </c>
    </row>
    <row r="629" ht="15.75" customHeight="1" s="95">
      <c r="A629" s="97" t="inlineStr">
        <is>
          <t>anonymus0628</t>
        </is>
      </c>
      <c r="B629" s="97" t="inlineStr">
        <is>
          <t xml:space="preserve">P </t>
        </is>
      </c>
      <c r="C629" s="97" t="inlineStr">
        <is>
          <t>35-69 Bulan</t>
        </is>
      </c>
      <c r="D629" s="97" t="inlineStr">
        <is>
          <t>18.4</t>
        </is>
      </c>
      <c r="E629" s="97" t="n">
        <v>108</v>
      </c>
      <c r="F629" s="97" t="inlineStr">
        <is>
          <t>Normal</t>
        </is>
      </c>
      <c r="G629" s="97" t="inlineStr">
        <is>
          <t>Normal</t>
        </is>
      </c>
      <c r="H629" s="97" t="inlineStr">
        <is>
          <t>Gizi Baik</t>
        </is>
      </c>
      <c r="I629" s="97" t="inlineStr">
        <is>
          <t>Ya</t>
        </is>
      </c>
      <c r="J629" s="97" t="inlineStr">
        <is>
          <t>Tidak</t>
        </is>
      </c>
    </row>
    <row r="630" ht="15.75" customHeight="1" s="95">
      <c r="A630" s="97" t="inlineStr">
        <is>
          <t>anonymus0629</t>
        </is>
      </c>
      <c r="B630" s="97" t="inlineStr">
        <is>
          <t>P</t>
        </is>
      </c>
      <c r="C630" s="97" t="inlineStr">
        <is>
          <t>1-34 Bulan</t>
        </is>
      </c>
      <c r="D630" s="97" t="n">
        <v>7.9</v>
      </c>
      <c r="E630" s="97" t="n">
        <v>71</v>
      </c>
      <c r="F630" s="97" t="inlineStr">
        <is>
          <t>Kurang</t>
        </is>
      </c>
      <c r="G630" s="97" t="inlineStr">
        <is>
          <t>Normal</t>
        </is>
      </c>
      <c r="H630" s="97" t="inlineStr">
        <is>
          <t>Gizi Kurang</t>
        </is>
      </c>
      <c r="I630" s="97" t="inlineStr">
        <is>
          <t>Ya</t>
        </is>
      </c>
      <c r="J630" s="97" t="inlineStr">
        <is>
          <t>Tidak</t>
        </is>
      </c>
    </row>
    <row r="631" ht="15.75" customHeight="1" s="95">
      <c r="A631" s="97" t="inlineStr">
        <is>
          <t>anonymus0630</t>
        </is>
      </c>
      <c r="B631" s="97" t="inlineStr">
        <is>
          <t>P</t>
        </is>
      </c>
      <c r="C631" s="97" t="inlineStr">
        <is>
          <t>35-69 Bulan</t>
        </is>
      </c>
      <c r="D631" s="97" t="n">
        <v>10.8</v>
      </c>
      <c r="E631" s="97" t="n">
        <v>115</v>
      </c>
      <c r="F631" s="97" t="inlineStr">
        <is>
          <t>Normal</t>
        </is>
      </c>
      <c r="G631" s="97" t="inlineStr">
        <is>
          <t>Normal</t>
        </is>
      </c>
      <c r="H631" s="97" t="inlineStr">
        <is>
          <t>Gizi Baik</t>
        </is>
      </c>
      <c r="I631" s="97" t="inlineStr">
        <is>
          <t>Ya</t>
        </is>
      </c>
      <c r="J631" s="97" t="inlineStr">
        <is>
          <t>Tidak</t>
        </is>
      </c>
    </row>
    <row r="632" ht="15.75" customHeight="1" s="95">
      <c r="A632" s="97" t="inlineStr">
        <is>
          <t>anonymus0631</t>
        </is>
      </c>
      <c r="B632" s="97" t="inlineStr">
        <is>
          <t xml:space="preserve">P </t>
        </is>
      </c>
      <c r="C632" s="97" t="inlineStr">
        <is>
          <t>1-34 Bulan</t>
        </is>
      </c>
      <c r="D632" s="97" t="inlineStr">
        <is>
          <t>8.9</t>
        </is>
      </c>
      <c r="E632" s="97" t="n">
        <v>81</v>
      </c>
      <c r="F632" s="97" t="inlineStr">
        <is>
          <t>Normal</t>
        </is>
      </c>
      <c r="G632" s="97" t="inlineStr">
        <is>
          <t>Normal</t>
        </is>
      </c>
      <c r="H632" s="97" t="inlineStr">
        <is>
          <t>Gizi Baik</t>
        </is>
      </c>
      <c r="I632" s="97" t="inlineStr">
        <is>
          <t>Ya</t>
        </is>
      </c>
      <c r="J632" s="97" t="inlineStr">
        <is>
          <t>Tidak</t>
        </is>
      </c>
    </row>
    <row r="633" ht="15.75" customHeight="1" s="95">
      <c r="A633" s="97" t="inlineStr">
        <is>
          <t>anonymus0632</t>
        </is>
      </c>
      <c r="B633" s="97" t="inlineStr">
        <is>
          <t xml:space="preserve">P </t>
        </is>
      </c>
      <c r="C633" s="97" t="inlineStr">
        <is>
          <t>1-34 Bulan</t>
        </is>
      </c>
      <c r="D633" s="97" t="inlineStr">
        <is>
          <t>4.7</t>
        </is>
      </c>
      <c r="E633" s="97" t="n">
        <v>55</v>
      </c>
      <c r="F633" s="97" t="inlineStr">
        <is>
          <t>Normal</t>
        </is>
      </c>
      <c r="G633" s="97" t="inlineStr">
        <is>
          <t>Normal</t>
        </is>
      </c>
      <c r="H633" s="97" t="inlineStr">
        <is>
          <t>Gizi Baik</t>
        </is>
      </c>
      <c r="I633" s="97" t="inlineStr">
        <is>
          <t>Ya</t>
        </is>
      </c>
      <c r="J633" s="97" t="inlineStr">
        <is>
          <t>Tidak</t>
        </is>
      </c>
    </row>
    <row r="634" ht="15.75" customHeight="1" s="95">
      <c r="A634" s="97" t="inlineStr">
        <is>
          <t>anonymus0633</t>
        </is>
      </c>
      <c r="B634" s="97" t="inlineStr">
        <is>
          <t>P</t>
        </is>
      </c>
      <c r="C634" s="97" t="inlineStr">
        <is>
          <t>35-69 Bulan</t>
        </is>
      </c>
      <c r="D634" s="97" t="n">
        <v>10.6</v>
      </c>
      <c r="E634" s="97" t="n">
        <v>117</v>
      </c>
      <c r="F634" s="97" t="inlineStr">
        <is>
          <t>Normal</t>
        </is>
      </c>
      <c r="G634" s="97" t="inlineStr">
        <is>
          <t>Normal</t>
        </is>
      </c>
      <c r="H634" s="97" t="inlineStr">
        <is>
          <t>Gizi Baik</t>
        </is>
      </c>
      <c r="I634" s="97" t="inlineStr">
        <is>
          <t>Ya</t>
        </is>
      </c>
      <c r="J634" s="97" t="inlineStr">
        <is>
          <t>Tidak</t>
        </is>
      </c>
    </row>
    <row r="635" ht="15.75" customHeight="1" s="95">
      <c r="A635" s="97" t="inlineStr">
        <is>
          <t>anonymus0634</t>
        </is>
      </c>
      <c r="B635" s="97" t="inlineStr">
        <is>
          <t>L</t>
        </is>
      </c>
      <c r="C635" s="97" t="inlineStr">
        <is>
          <t>35-69 Bulan</t>
        </is>
      </c>
      <c r="D635" s="97" t="n">
        <v>14.9</v>
      </c>
      <c r="E635" s="97" t="n">
        <v>94</v>
      </c>
      <c r="F635" s="97" t="inlineStr">
        <is>
          <t>Normal</t>
        </is>
      </c>
      <c r="G635" s="97" t="inlineStr">
        <is>
          <t>Normal</t>
        </is>
      </c>
      <c r="H635" s="97" t="inlineStr">
        <is>
          <t>Gizi Baik</t>
        </is>
      </c>
      <c r="I635" s="97" t="inlineStr">
        <is>
          <t>Ya</t>
        </is>
      </c>
      <c r="J635" s="97" t="inlineStr">
        <is>
          <t>Tidak</t>
        </is>
      </c>
    </row>
    <row r="636" ht="15.75" customHeight="1" s="95">
      <c r="A636" s="97" t="inlineStr">
        <is>
          <t>anonymus0635</t>
        </is>
      </c>
      <c r="B636" s="97" t="inlineStr">
        <is>
          <t>L</t>
        </is>
      </c>
      <c r="C636" s="97" t="inlineStr">
        <is>
          <t>35-69 Bulan</t>
        </is>
      </c>
      <c r="D636" s="97" t="n">
        <v>13.5</v>
      </c>
      <c r="E636" s="97" t="n">
        <v>105</v>
      </c>
      <c r="F636" s="97" t="inlineStr">
        <is>
          <t>Kurang</t>
        </is>
      </c>
      <c r="G636" s="97" t="inlineStr">
        <is>
          <t>Normal</t>
        </is>
      </c>
      <c r="H636" s="97" t="inlineStr">
        <is>
          <t>Gizi Kurang</t>
        </is>
      </c>
      <c r="I636" s="97" t="inlineStr">
        <is>
          <t>Ya</t>
        </is>
      </c>
      <c r="J636" s="97" t="inlineStr">
        <is>
          <t>Tidak</t>
        </is>
      </c>
    </row>
    <row r="637" ht="15.75" customHeight="1" s="95">
      <c r="A637" s="97" t="inlineStr">
        <is>
          <t>anonymus0636</t>
        </is>
      </c>
      <c r="B637" s="97" t="inlineStr">
        <is>
          <t>P</t>
        </is>
      </c>
      <c r="C637" s="97" t="inlineStr">
        <is>
          <t>1-34 Bulan</t>
        </is>
      </c>
      <c r="D637" s="97" t="n">
        <v>8.5</v>
      </c>
      <c r="E637" s="97" t="n">
        <v>78</v>
      </c>
      <c r="F637" s="97" t="inlineStr">
        <is>
          <t>Kurang</t>
        </is>
      </c>
      <c r="G637" s="97" t="inlineStr">
        <is>
          <t>Normal</t>
        </is>
      </c>
      <c r="H637" s="97" t="inlineStr">
        <is>
          <t>Gizi Kurang</t>
        </is>
      </c>
      <c r="I637" s="97" t="inlineStr">
        <is>
          <t>Ya</t>
        </is>
      </c>
      <c r="J637" s="97" t="inlineStr">
        <is>
          <t>Tidak</t>
        </is>
      </c>
    </row>
    <row r="638" ht="15.75" customHeight="1" s="95">
      <c r="A638" s="97" t="inlineStr">
        <is>
          <t>anonymus0637</t>
        </is>
      </c>
      <c r="B638" s="97" t="inlineStr">
        <is>
          <t xml:space="preserve">L </t>
        </is>
      </c>
      <c r="C638" s="97" t="inlineStr">
        <is>
          <t>35-69 Bulan</t>
        </is>
      </c>
      <c r="D638" s="97" t="inlineStr">
        <is>
          <t>16.4</t>
        </is>
      </c>
      <c r="E638" s="97" t="n">
        <v>100</v>
      </c>
      <c r="F638" s="97" t="inlineStr">
        <is>
          <t>Normal</t>
        </is>
      </c>
      <c r="G638" s="97" t="inlineStr">
        <is>
          <t>Normal</t>
        </is>
      </c>
      <c r="H638" s="97" t="inlineStr">
        <is>
          <t>Gizi Baik</t>
        </is>
      </c>
      <c r="I638" s="97" t="inlineStr">
        <is>
          <t>Ya</t>
        </is>
      </c>
      <c r="J638" s="97" t="inlineStr">
        <is>
          <t>Tidak</t>
        </is>
      </c>
    </row>
    <row r="639" ht="15.75" customHeight="1" s="95">
      <c r="A639" s="97" t="inlineStr">
        <is>
          <t>anonymus0638</t>
        </is>
      </c>
      <c r="B639" s="97" t="inlineStr">
        <is>
          <t>P</t>
        </is>
      </c>
      <c r="C639" s="97" t="inlineStr">
        <is>
          <t>1-34 Bulan</t>
        </is>
      </c>
      <c r="D639" s="97" t="n">
        <v>11.1</v>
      </c>
      <c r="E639" s="97" t="n">
        <v>87</v>
      </c>
      <c r="F639" s="97" t="inlineStr">
        <is>
          <t>Normal</t>
        </is>
      </c>
      <c r="G639" s="97" t="inlineStr">
        <is>
          <t>Normal</t>
        </is>
      </c>
      <c r="H639" s="97" t="inlineStr">
        <is>
          <t>Gizi Baik</t>
        </is>
      </c>
      <c r="I639" s="97" t="inlineStr">
        <is>
          <t>Ya</t>
        </is>
      </c>
      <c r="J639" s="97" t="inlineStr">
        <is>
          <t>Tidak</t>
        </is>
      </c>
    </row>
    <row r="640" ht="15.75" customHeight="1" s="95">
      <c r="A640" s="97" t="inlineStr">
        <is>
          <t>anonymus0639</t>
        </is>
      </c>
      <c r="B640" s="97" t="inlineStr">
        <is>
          <t>P</t>
        </is>
      </c>
      <c r="C640" s="97" t="inlineStr">
        <is>
          <t>35-69 Bulan</t>
        </is>
      </c>
      <c r="D640" s="97" t="n">
        <v>17.4</v>
      </c>
      <c r="E640" s="97" t="n">
        <v>98</v>
      </c>
      <c r="F640" s="97" t="inlineStr">
        <is>
          <t>Risiko Lebih</t>
        </is>
      </c>
      <c r="G640" s="97" t="inlineStr">
        <is>
          <t>Normal</t>
        </is>
      </c>
      <c r="H640" s="97" t="inlineStr">
        <is>
          <t>Gizi Lebih</t>
        </is>
      </c>
      <c r="I640" s="97" t="inlineStr">
        <is>
          <t>Ya</t>
        </is>
      </c>
      <c r="J640" s="97" t="inlineStr">
        <is>
          <t>Tidak</t>
        </is>
      </c>
    </row>
    <row r="641" ht="15.75" customHeight="1" s="95">
      <c r="A641" s="97" t="inlineStr">
        <is>
          <t>anonymus0640</t>
        </is>
      </c>
      <c r="B641" s="97" t="inlineStr">
        <is>
          <t xml:space="preserve">L </t>
        </is>
      </c>
      <c r="C641" s="97" t="inlineStr">
        <is>
          <t>1-34 Bulan</t>
        </is>
      </c>
      <c r="D641" s="97" t="inlineStr">
        <is>
          <t>7.2</t>
        </is>
      </c>
      <c r="E641" s="97" t="n">
        <v>64</v>
      </c>
      <c r="F641" s="97" t="inlineStr">
        <is>
          <t>Normal</t>
        </is>
      </c>
      <c r="G641" s="97" t="inlineStr">
        <is>
          <t>Normal</t>
        </is>
      </c>
      <c r="H641" s="97" t="inlineStr">
        <is>
          <t>Gizi Baik</t>
        </is>
      </c>
      <c r="I641" s="97" t="inlineStr">
        <is>
          <t>Ya</t>
        </is>
      </c>
      <c r="J641" s="97" t="inlineStr">
        <is>
          <t>Tidak</t>
        </is>
      </c>
    </row>
    <row r="642" ht="15.75" customHeight="1" s="95">
      <c r="A642" s="97" t="inlineStr">
        <is>
          <t>anonymus0641</t>
        </is>
      </c>
      <c r="B642" s="97" t="inlineStr">
        <is>
          <t>P</t>
        </is>
      </c>
      <c r="C642" s="97" t="inlineStr">
        <is>
          <t>35-69 Bulan</t>
        </is>
      </c>
      <c r="D642" s="97" t="n">
        <v>13</v>
      </c>
      <c r="E642" s="97" t="n">
        <v>94</v>
      </c>
      <c r="F642" s="97" t="inlineStr">
        <is>
          <t>Normal</t>
        </is>
      </c>
      <c r="G642" s="97" t="inlineStr">
        <is>
          <t>Pendek</t>
        </is>
      </c>
      <c r="H642" s="97" t="inlineStr">
        <is>
          <t>Gizi Baik</t>
        </is>
      </c>
      <c r="I642" s="97" t="inlineStr">
        <is>
          <t>Ya</t>
        </is>
      </c>
      <c r="J642" s="97" t="inlineStr">
        <is>
          <t>Potensi Stunting</t>
        </is>
      </c>
    </row>
    <row r="643" ht="15.75" customHeight="1" s="95">
      <c r="A643" s="97" t="inlineStr">
        <is>
          <t>anonymus0642</t>
        </is>
      </c>
      <c r="B643" s="97" t="inlineStr">
        <is>
          <t>L</t>
        </is>
      </c>
      <c r="C643" s="97" t="inlineStr">
        <is>
          <t>1-34 Bulan</t>
        </is>
      </c>
      <c r="D643" s="97" t="n">
        <v>6.3</v>
      </c>
      <c r="E643" s="97" t="n">
        <v>75</v>
      </c>
      <c r="F643" s="97" t="inlineStr">
        <is>
          <t>Kurang</t>
        </is>
      </c>
      <c r="G643" s="97" t="inlineStr">
        <is>
          <t>Normal</t>
        </is>
      </c>
      <c r="H643" s="97" t="inlineStr">
        <is>
          <t>Gizi Kurang</t>
        </is>
      </c>
      <c r="I643" s="97" t="inlineStr">
        <is>
          <t>Ya</t>
        </is>
      </c>
      <c r="J643" s="97" t="inlineStr">
        <is>
          <t>Tidak</t>
        </is>
      </c>
    </row>
    <row r="644" ht="15.75" customHeight="1" s="95">
      <c r="A644" s="97" t="inlineStr">
        <is>
          <t>anonymus0643</t>
        </is>
      </c>
      <c r="B644" s="97" t="inlineStr">
        <is>
          <t>L</t>
        </is>
      </c>
      <c r="C644" s="97" t="inlineStr">
        <is>
          <t>1-34 Bulan</t>
        </is>
      </c>
      <c r="D644" s="97" t="n">
        <v>6.5</v>
      </c>
      <c r="E644" s="97" t="n">
        <v>63.4</v>
      </c>
      <c r="F644" s="97" t="inlineStr">
        <is>
          <t>Kurang</t>
        </is>
      </c>
      <c r="G644" s="97" t="inlineStr">
        <is>
          <t>Pendek</t>
        </is>
      </c>
      <c r="H644" s="97" t="inlineStr">
        <is>
          <t>Gizi Baik</t>
        </is>
      </c>
      <c r="I644" s="97" t="inlineStr">
        <is>
          <t>Ya</t>
        </is>
      </c>
      <c r="J644" s="97" t="inlineStr">
        <is>
          <t>Potensi Stunting</t>
        </is>
      </c>
    </row>
    <row r="645" ht="15.75" customHeight="1" s="95">
      <c r="A645" s="97" t="inlineStr">
        <is>
          <t>anonymus0644</t>
        </is>
      </c>
      <c r="B645" s="97" t="inlineStr">
        <is>
          <t xml:space="preserve">L </t>
        </is>
      </c>
      <c r="C645" s="97" t="inlineStr">
        <is>
          <t>1-34 Bulan</t>
        </is>
      </c>
      <c r="D645" s="97" t="inlineStr">
        <is>
          <t>7.3</t>
        </is>
      </c>
      <c r="E645" s="97" t="n">
        <v>67</v>
      </c>
      <c r="F645" s="97" t="inlineStr">
        <is>
          <t>Normal</t>
        </is>
      </c>
      <c r="G645" s="97" t="inlineStr">
        <is>
          <t>Normal</t>
        </is>
      </c>
      <c r="H645" s="97" t="inlineStr">
        <is>
          <t>Gizi Baik</t>
        </is>
      </c>
      <c r="I645" s="97" t="inlineStr">
        <is>
          <t>Ya</t>
        </is>
      </c>
      <c r="J645" s="97" t="inlineStr">
        <is>
          <t>Tidak</t>
        </is>
      </c>
    </row>
    <row r="646" ht="15.75" customHeight="1" s="95">
      <c r="A646" s="97" t="inlineStr">
        <is>
          <t>anonymus0645</t>
        </is>
      </c>
      <c r="B646" s="97" t="inlineStr">
        <is>
          <t>P</t>
        </is>
      </c>
      <c r="C646" s="97" t="inlineStr">
        <is>
          <t>1-34 Bulan</t>
        </is>
      </c>
      <c r="D646" s="97" t="n">
        <v>10.1</v>
      </c>
      <c r="E646" s="97" t="n">
        <v>88</v>
      </c>
      <c r="F646" s="97" t="inlineStr">
        <is>
          <t>Normal</t>
        </is>
      </c>
      <c r="G646" s="97" t="inlineStr">
        <is>
          <t>Normal</t>
        </is>
      </c>
      <c r="H646" s="97" t="inlineStr">
        <is>
          <t>Gizi Kurang</t>
        </is>
      </c>
      <c r="I646" s="97" t="inlineStr">
        <is>
          <t>Ya</t>
        </is>
      </c>
      <c r="J646" s="97" t="inlineStr">
        <is>
          <t>Tidak</t>
        </is>
      </c>
    </row>
    <row r="647" ht="15.75" customHeight="1" s="95">
      <c r="A647" s="97" t="inlineStr">
        <is>
          <t>anonymus0646</t>
        </is>
      </c>
      <c r="B647" s="97" t="inlineStr">
        <is>
          <t>P</t>
        </is>
      </c>
      <c r="C647" s="97" t="inlineStr">
        <is>
          <t>35-69 Bulan</t>
        </is>
      </c>
      <c r="D647" s="97" t="n">
        <v>10</v>
      </c>
      <c r="E647" s="97" t="n">
        <v>77</v>
      </c>
      <c r="F647" s="97" t="inlineStr">
        <is>
          <t>Normal</t>
        </is>
      </c>
      <c r="G647" s="97" t="inlineStr">
        <is>
          <t>Pendek</t>
        </is>
      </c>
      <c r="H647" s="97" t="inlineStr">
        <is>
          <t>Gizi Baik</t>
        </is>
      </c>
      <c r="I647" s="97" t="inlineStr">
        <is>
          <t>Ya</t>
        </is>
      </c>
      <c r="J647" s="97" t="inlineStr">
        <is>
          <t>Potensi Stunting</t>
        </is>
      </c>
    </row>
    <row r="648" ht="15.75" customHeight="1" s="95">
      <c r="A648" s="97" t="inlineStr">
        <is>
          <t>anonymus0647</t>
        </is>
      </c>
      <c r="B648" s="97" t="inlineStr">
        <is>
          <t>P</t>
        </is>
      </c>
      <c r="C648" s="97" t="inlineStr">
        <is>
          <t>35-69 Bulan</t>
        </is>
      </c>
      <c r="D648" s="97" t="n">
        <v>10.1</v>
      </c>
      <c r="E648" s="97" t="n">
        <v>90</v>
      </c>
      <c r="F648" s="97" t="inlineStr">
        <is>
          <t>Kurang</t>
        </is>
      </c>
      <c r="G648" s="97" t="inlineStr">
        <is>
          <t>Normal</t>
        </is>
      </c>
      <c r="H648" s="97" t="inlineStr">
        <is>
          <t>Gizi Kurang</t>
        </is>
      </c>
      <c r="I648" s="97" t="inlineStr">
        <is>
          <t>Ya</t>
        </is>
      </c>
      <c r="J648" s="97" t="inlineStr">
        <is>
          <t>Tidak</t>
        </is>
      </c>
    </row>
    <row r="649" ht="15.75" customHeight="1" s="95">
      <c r="A649" s="97" t="inlineStr">
        <is>
          <t>anonymus0648</t>
        </is>
      </c>
      <c r="B649" s="97" t="inlineStr">
        <is>
          <t xml:space="preserve">L </t>
        </is>
      </c>
      <c r="C649" s="97" t="inlineStr">
        <is>
          <t>1-34 Bulan</t>
        </is>
      </c>
      <c r="D649" s="97" t="inlineStr">
        <is>
          <t>12.9</t>
        </is>
      </c>
      <c r="E649" s="97" t="n">
        <v>86</v>
      </c>
      <c r="F649" s="97" t="inlineStr">
        <is>
          <t>Normal</t>
        </is>
      </c>
      <c r="G649" s="97" t="inlineStr">
        <is>
          <t>Normal</t>
        </is>
      </c>
      <c r="H649" s="97" t="inlineStr">
        <is>
          <t>Risiko Gizi Lebih</t>
        </is>
      </c>
      <c r="I649" s="97" t="inlineStr">
        <is>
          <t>Ya</t>
        </is>
      </c>
      <c r="J649" s="97" t="inlineStr">
        <is>
          <t>Tidak</t>
        </is>
      </c>
    </row>
    <row r="650" ht="15.75" customHeight="1" s="95">
      <c r="A650" s="97" t="inlineStr">
        <is>
          <t>anonymus0649</t>
        </is>
      </c>
      <c r="B650" s="97" t="inlineStr">
        <is>
          <t xml:space="preserve">P </t>
        </is>
      </c>
      <c r="C650" s="97" t="inlineStr">
        <is>
          <t>35-69 Bulan</t>
        </is>
      </c>
      <c r="D650" s="97" t="inlineStr">
        <is>
          <t>17.3</t>
        </is>
      </c>
      <c r="E650" s="97" t="n">
        <v>109</v>
      </c>
      <c r="F650" s="97" t="inlineStr">
        <is>
          <t>Normal</t>
        </is>
      </c>
      <c r="G650" s="97" t="inlineStr">
        <is>
          <t>Normal</t>
        </is>
      </c>
      <c r="H650" s="97" t="inlineStr">
        <is>
          <t>Gizi Baik</t>
        </is>
      </c>
      <c r="I650" s="97" t="inlineStr">
        <is>
          <t>Ya</t>
        </is>
      </c>
      <c r="J650" s="97" t="inlineStr">
        <is>
          <t>Tidak</t>
        </is>
      </c>
    </row>
    <row r="651" ht="15.75" customHeight="1" s="95">
      <c r="A651" s="97" t="inlineStr">
        <is>
          <t>anonymus0650</t>
        </is>
      </c>
      <c r="B651" s="97" t="inlineStr">
        <is>
          <t>P</t>
        </is>
      </c>
      <c r="C651" s="97" t="inlineStr">
        <is>
          <t>35-69 Bulan</t>
        </is>
      </c>
      <c r="D651" s="97" t="n">
        <v>8.4</v>
      </c>
      <c r="E651" s="97" t="n">
        <v>78</v>
      </c>
      <c r="F651" s="97" t="inlineStr">
        <is>
          <t>Kurang</t>
        </is>
      </c>
      <c r="G651" s="97" t="inlineStr">
        <is>
          <t>Pendek</t>
        </is>
      </c>
      <c r="H651" s="97" t="inlineStr">
        <is>
          <t>Gizi Baik</t>
        </is>
      </c>
      <c r="I651" s="97" t="inlineStr">
        <is>
          <t>Ya</t>
        </is>
      </c>
      <c r="J651" s="97" t="inlineStr">
        <is>
          <t>Potensi Stunting</t>
        </is>
      </c>
    </row>
    <row r="652" ht="15.75" customHeight="1" s="95">
      <c r="A652" s="97" t="inlineStr">
        <is>
          <t>anonymus0651</t>
        </is>
      </c>
      <c r="B652" s="97" t="inlineStr">
        <is>
          <t>P</t>
        </is>
      </c>
      <c r="C652" s="97" t="inlineStr">
        <is>
          <t>35-69 Bulan</t>
        </is>
      </c>
      <c r="D652" s="97" t="n">
        <v>9.300000000000001</v>
      </c>
      <c r="E652" s="97" t="n">
        <v>79</v>
      </c>
      <c r="F652" s="97" t="inlineStr">
        <is>
          <t>Normal</t>
        </is>
      </c>
      <c r="G652" s="97" t="inlineStr">
        <is>
          <t>Pendek</t>
        </is>
      </c>
      <c r="H652" s="97" t="inlineStr">
        <is>
          <t>Gizi Baik</t>
        </is>
      </c>
      <c r="I652" s="97" t="inlineStr">
        <is>
          <t>Ya</t>
        </is>
      </c>
      <c r="J652" s="97" t="inlineStr">
        <is>
          <t>Potensi Stunting</t>
        </is>
      </c>
    </row>
    <row r="653" ht="15.75" customHeight="1" s="95">
      <c r="A653" s="97" t="inlineStr">
        <is>
          <t>anonymus0652</t>
        </is>
      </c>
      <c r="B653" s="97" t="inlineStr">
        <is>
          <t xml:space="preserve">P </t>
        </is>
      </c>
      <c r="C653" s="97" t="inlineStr">
        <is>
          <t>1-34 Bulan</t>
        </is>
      </c>
      <c r="D653" s="97" t="n">
        <v>8</v>
      </c>
      <c r="E653" s="97" t="inlineStr">
        <is>
          <t>68.1</t>
        </is>
      </c>
      <c r="F653" s="97" t="inlineStr">
        <is>
          <t>Normal</t>
        </is>
      </c>
      <c r="G653" s="97" t="inlineStr">
        <is>
          <t>Normal</t>
        </is>
      </c>
      <c r="H653" s="97" t="inlineStr">
        <is>
          <t>Gizi Baik</t>
        </is>
      </c>
      <c r="I653" s="97" t="inlineStr">
        <is>
          <t>Ya</t>
        </is>
      </c>
      <c r="J653" s="97" t="inlineStr">
        <is>
          <t>Tidak</t>
        </is>
      </c>
    </row>
    <row r="654" ht="15.75" customHeight="1" s="95">
      <c r="A654" s="97" t="inlineStr">
        <is>
          <t>anonymus0653</t>
        </is>
      </c>
      <c r="B654" s="97" t="inlineStr">
        <is>
          <t xml:space="preserve">L </t>
        </is>
      </c>
      <c r="C654" s="97" t="inlineStr">
        <is>
          <t>35-69 Bulan</t>
        </is>
      </c>
      <c r="D654" s="97" t="inlineStr">
        <is>
          <t>14.4</t>
        </is>
      </c>
      <c r="E654" s="97" t="n">
        <v>102</v>
      </c>
      <c r="F654" s="97" t="inlineStr">
        <is>
          <t>Normal</t>
        </is>
      </c>
      <c r="G654" s="97" t="inlineStr">
        <is>
          <t>Normal</t>
        </is>
      </c>
      <c r="H654" s="97" t="inlineStr">
        <is>
          <t>Gizi Baik</t>
        </is>
      </c>
      <c r="I654" s="97" t="inlineStr">
        <is>
          <t>Ya</t>
        </is>
      </c>
      <c r="J654" s="97" t="inlineStr">
        <is>
          <t>Tidak</t>
        </is>
      </c>
    </row>
    <row r="655" ht="15.75" customHeight="1" s="95">
      <c r="A655" s="97" t="inlineStr">
        <is>
          <t>anonymus0654</t>
        </is>
      </c>
      <c r="B655" s="97" t="inlineStr">
        <is>
          <t>P</t>
        </is>
      </c>
      <c r="C655" s="97" t="inlineStr">
        <is>
          <t>1-34 Bulan</t>
        </is>
      </c>
      <c r="D655" s="97" t="n">
        <v>10.8</v>
      </c>
      <c r="E655" s="97" t="n">
        <v>80</v>
      </c>
      <c r="F655" s="97" t="inlineStr">
        <is>
          <t>Normal</t>
        </is>
      </c>
      <c r="G655" s="97" t="inlineStr">
        <is>
          <t>Normal</t>
        </is>
      </c>
      <c r="H655" s="97" t="inlineStr">
        <is>
          <t>Gizi Baik</t>
        </is>
      </c>
      <c r="I655" s="97" t="inlineStr">
        <is>
          <t>Ya</t>
        </is>
      </c>
      <c r="J655" s="97" t="inlineStr">
        <is>
          <t>Tidak</t>
        </is>
      </c>
    </row>
    <row r="656" ht="15.75" customHeight="1" s="95">
      <c r="A656" s="97" t="inlineStr">
        <is>
          <t>anonymus0655</t>
        </is>
      </c>
      <c r="B656" s="97" t="inlineStr">
        <is>
          <t xml:space="preserve">L </t>
        </is>
      </c>
      <c r="C656" s="97" t="inlineStr">
        <is>
          <t>35-69 Bulan</t>
        </is>
      </c>
      <c r="D656" s="97" t="inlineStr">
        <is>
          <t>16.9</t>
        </is>
      </c>
      <c r="E656" s="97" t="n">
        <v>102</v>
      </c>
      <c r="F656" s="97" t="inlineStr">
        <is>
          <t>Normal</t>
        </is>
      </c>
      <c r="G656" s="97" t="inlineStr">
        <is>
          <t>Normal</t>
        </is>
      </c>
      <c r="H656" s="97" t="inlineStr">
        <is>
          <t>Gizi Baik</t>
        </is>
      </c>
      <c r="I656" s="97" t="inlineStr">
        <is>
          <t>Ya</t>
        </is>
      </c>
      <c r="J656" s="97" t="inlineStr">
        <is>
          <t>Tidak</t>
        </is>
      </c>
    </row>
    <row r="657" ht="15.75" customHeight="1" s="95">
      <c r="A657" s="97" t="inlineStr">
        <is>
          <t>anonymus0656</t>
        </is>
      </c>
      <c r="B657" s="97" t="inlineStr">
        <is>
          <t xml:space="preserve">P </t>
        </is>
      </c>
      <c r="C657" s="97" t="inlineStr">
        <is>
          <t>35-69 Bulan</t>
        </is>
      </c>
      <c r="D657" s="97" t="n">
        <v>16</v>
      </c>
      <c r="E657" s="97" t="n">
        <v>104</v>
      </c>
      <c r="F657" s="97" t="inlineStr">
        <is>
          <t>Normal</t>
        </is>
      </c>
      <c r="G657" s="97" t="inlineStr">
        <is>
          <t>Normal</t>
        </is>
      </c>
      <c r="H657" s="97" t="inlineStr">
        <is>
          <t>Gizi Baik</t>
        </is>
      </c>
      <c r="I657" s="97" t="inlineStr">
        <is>
          <t>Ya</t>
        </is>
      </c>
      <c r="J657" s="97" t="inlineStr">
        <is>
          <t>Tidak</t>
        </is>
      </c>
    </row>
    <row r="658" ht="15.75" customHeight="1" s="95">
      <c r="A658" s="97" t="inlineStr">
        <is>
          <t>anonymus0657</t>
        </is>
      </c>
      <c r="B658" s="97" t="inlineStr">
        <is>
          <t xml:space="preserve">P </t>
        </is>
      </c>
      <c r="C658" s="97" t="inlineStr">
        <is>
          <t>1-34 Bulan</t>
        </is>
      </c>
      <c r="D658" s="97" t="inlineStr">
        <is>
          <t>9.5</t>
        </is>
      </c>
      <c r="E658" s="97" t="n">
        <v>79</v>
      </c>
      <c r="F658" s="97" t="inlineStr">
        <is>
          <t>Normal</t>
        </is>
      </c>
      <c r="G658" s="97" t="inlineStr">
        <is>
          <t>Normal</t>
        </is>
      </c>
      <c r="H658" s="97" t="inlineStr">
        <is>
          <t>Gizi Baik</t>
        </is>
      </c>
      <c r="I658" s="97" t="inlineStr">
        <is>
          <t>Ya</t>
        </is>
      </c>
      <c r="J658" s="97" t="inlineStr">
        <is>
          <t>Tidak</t>
        </is>
      </c>
    </row>
    <row r="659" ht="15.75" customHeight="1" s="95">
      <c r="A659" s="97" t="inlineStr">
        <is>
          <t>anonymus0658</t>
        </is>
      </c>
      <c r="B659" s="97" t="inlineStr">
        <is>
          <t xml:space="preserve">P </t>
        </is>
      </c>
      <c r="C659" s="97" t="inlineStr">
        <is>
          <t>35-69 Bulan</t>
        </is>
      </c>
      <c r="D659" s="97" t="inlineStr">
        <is>
          <t>11.8</t>
        </is>
      </c>
      <c r="E659" s="97" t="n">
        <v>92</v>
      </c>
      <c r="F659" s="97" t="inlineStr">
        <is>
          <t>Normal</t>
        </is>
      </c>
      <c r="G659" s="97" t="inlineStr">
        <is>
          <t>Normal</t>
        </is>
      </c>
      <c r="H659" s="97" t="inlineStr">
        <is>
          <t>Gizi Baik</t>
        </is>
      </c>
      <c r="I659" s="97" t="inlineStr">
        <is>
          <t>Ya</t>
        </is>
      </c>
      <c r="J659" s="97" t="inlineStr">
        <is>
          <t>Tidak</t>
        </is>
      </c>
    </row>
    <row r="660" ht="15.75" customHeight="1" s="95">
      <c r="A660" s="97" t="inlineStr">
        <is>
          <t>anonymus0659</t>
        </is>
      </c>
      <c r="B660" s="97" t="inlineStr">
        <is>
          <t>P</t>
        </is>
      </c>
      <c r="C660" s="97" t="inlineStr">
        <is>
          <t>35-69 Bulan</t>
        </is>
      </c>
      <c r="D660" s="97" t="n">
        <v>18.8</v>
      </c>
      <c r="E660" s="97" t="n">
        <v>102</v>
      </c>
      <c r="F660" s="97" t="inlineStr">
        <is>
          <t>Risiko Lebih</t>
        </is>
      </c>
      <c r="G660" s="97" t="inlineStr">
        <is>
          <t>Normal</t>
        </is>
      </c>
      <c r="H660" s="97" t="inlineStr">
        <is>
          <t>Gizi Lebih</t>
        </is>
      </c>
      <c r="I660" s="97" t="inlineStr">
        <is>
          <t>Ya</t>
        </is>
      </c>
      <c r="J660" s="97" t="inlineStr">
        <is>
          <t>Tidak</t>
        </is>
      </c>
    </row>
    <row r="661" ht="15.75" customHeight="1" s="95">
      <c r="A661" s="97" t="inlineStr">
        <is>
          <t>anonymus0660</t>
        </is>
      </c>
      <c r="B661" s="97" t="inlineStr">
        <is>
          <t>L</t>
        </is>
      </c>
      <c r="C661" s="97" t="inlineStr">
        <is>
          <t>1-34 Bulan</t>
        </is>
      </c>
      <c r="D661" s="97" t="n">
        <v>9</v>
      </c>
      <c r="E661" s="97" t="n">
        <v>82</v>
      </c>
      <c r="F661" s="97" t="inlineStr">
        <is>
          <t>Kurang</t>
        </is>
      </c>
      <c r="G661" s="97" t="inlineStr">
        <is>
          <t>Normal</t>
        </is>
      </c>
      <c r="H661" s="97" t="inlineStr">
        <is>
          <t>Gizi Kurang</t>
        </is>
      </c>
      <c r="I661" s="97" t="inlineStr">
        <is>
          <t>Ya</t>
        </is>
      </c>
      <c r="J661" s="97" t="inlineStr">
        <is>
          <t>Tidak</t>
        </is>
      </c>
    </row>
    <row r="662" ht="15.75" customHeight="1" s="95">
      <c r="A662" s="97" t="inlineStr">
        <is>
          <t>anonymus0661</t>
        </is>
      </c>
      <c r="B662" s="97" t="inlineStr">
        <is>
          <t>L</t>
        </is>
      </c>
      <c r="C662" s="97" t="inlineStr">
        <is>
          <t>1-34 Bulan</t>
        </is>
      </c>
      <c r="D662" s="97" t="n">
        <v>13.6</v>
      </c>
      <c r="E662" s="97" t="n">
        <v>79</v>
      </c>
      <c r="F662" s="97" t="inlineStr">
        <is>
          <t>Normal</t>
        </is>
      </c>
      <c r="G662" s="97" t="inlineStr">
        <is>
          <t>Normal</t>
        </is>
      </c>
      <c r="H662" s="97" t="inlineStr">
        <is>
          <t>Gizi Baik</t>
        </is>
      </c>
      <c r="I662" s="97" t="inlineStr">
        <is>
          <t>Ya</t>
        </is>
      </c>
      <c r="J662" s="97" t="inlineStr">
        <is>
          <t>Tidak</t>
        </is>
      </c>
    </row>
    <row r="663" ht="15.75" customHeight="1" s="95">
      <c r="A663" s="97" t="inlineStr">
        <is>
          <t>anonymus0662</t>
        </is>
      </c>
      <c r="B663" s="97" t="inlineStr">
        <is>
          <t xml:space="preserve">L </t>
        </is>
      </c>
      <c r="C663" s="97" t="inlineStr">
        <is>
          <t>1-34 Bulan</t>
        </is>
      </c>
      <c r="D663" s="97" t="inlineStr">
        <is>
          <t>8.6</t>
        </is>
      </c>
      <c r="E663" s="97" t="n">
        <v>68</v>
      </c>
      <c r="F663" s="97" t="inlineStr">
        <is>
          <t>Normal</t>
        </is>
      </c>
      <c r="G663" s="97" t="inlineStr">
        <is>
          <t>Normal</t>
        </is>
      </c>
      <c r="H663" s="97" t="inlineStr">
        <is>
          <t>Gizi Baik</t>
        </is>
      </c>
      <c r="I663" s="97" t="inlineStr">
        <is>
          <t>Ya</t>
        </is>
      </c>
      <c r="J663" s="97" t="inlineStr">
        <is>
          <t>Tidak</t>
        </is>
      </c>
    </row>
    <row r="664" ht="15.75" customHeight="1" s="95">
      <c r="A664" s="97" t="inlineStr">
        <is>
          <t>anonymus0663</t>
        </is>
      </c>
      <c r="B664" s="97" t="inlineStr">
        <is>
          <t>P</t>
        </is>
      </c>
      <c r="C664" s="97" t="inlineStr">
        <is>
          <t>35-69 Bulan</t>
        </is>
      </c>
      <c r="D664" s="97" t="n">
        <v>10.4</v>
      </c>
      <c r="E664" s="97" t="n">
        <v>94</v>
      </c>
      <c r="F664" s="97" t="inlineStr">
        <is>
          <t>Sangat Kurang</t>
        </is>
      </c>
      <c r="G664" s="97" t="inlineStr">
        <is>
          <t>Pendek</t>
        </is>
      </c>
      <c r="H664" s="97" t="inlineStr">
        <is>
          <t>Gizi Buruk</t>
        </is>
      </c>
      <c r="I664" s="97" t="inlineStr">
        <is>
          <t>Ya</t>
        </is>
      </c>
      <c r="J664" s="97" t="inlineStr">
        <is>
          <t>Potensi Stunting</t>
        </is>
      </c>
    </row>
    <row r="665" ht="15.75" customHeight="1" s="95">
      <c r="A665" s="97" t="inlineStr">
        <is>
          <t>anonymus0664</t>
        </is>
      </c>
      <c r="B665" s="97" t="inlineStr">
        <is>
          <t>P</t>
        </is>
      </c>
      <c r="C665" s="97" t="inlineStr">
        <is>
          <t>35-69 Bulan</t>
        </is>
      </c>
      <c r="D665" s="97" t="n">
        <v>11</v>
      </c>
      <c r="E665" s="97" t="n">
        <v>120</v>
      </c>
      <c r="F665" s="97" t="inlineStr">
        <is>
          <t>Normal</t>
        </is>
      </c>
      <c r="G665" s="97" t="inlineStr">
        <is>
          <t>Normal</t>
        </is>
      </c>
      <c r="H665" s="97" t="inlineStr">
        <is>
          <t>Gizi Baik</t>
        </is>
      </c>
      <c r="I665" s="97" t="inlineStr">
        <is>
          <t>Ya</t>
        </is>
      </c>
      <c r="J665" s="97" t="inlineStr">
        <is>
          <t>Tidak</t>
        </is>
      </c>
    </row>
    <row r="666" ht="15.75" customHeight="1" s="95">
      <c r="A666" s="97" t="inlineStr">
        <is>
          <t>anonymus0665</t>
        </is>
      </c>
      <c r="B666" s="97" t="inlineStr">
        <is>
          <t>L</t>
        </is>
      </c>
      <c r="C666" s="97" t="inlineStr">
        <is>
          <t>35-69 Bulan</t>
        </is>
      </c>
      <c r="D666" s="97" t="n">
        <v>18</v>
      </c>
      <c r="E666" s="97" t="n">
        <v>116</v>
      </c>
      <c r="F666" s="97" t="inlineStr">
        <is>
          <t>Risiko Lebih</t>
        </is>
      </c>
      <c r="G666" s="97" t="inlineStr">
        <is>
          <t>Normal</t>
        </is>
      </c>
      <c r="H666" s="97" t="inlineStr">
        <is>
          <t>Gizi Lebih</t>
        </is>
      </c>
      <c r="I666" s="97" t="inlineStr">
        <is>
          <t>Ya</t>
        </is>
      </c>
      <c r="J666" s="97" t="inlineStr">
        <is>
          <t>Tidak</t>
        </is>
      </c>
    </row>
    <row r="667" ht="15.75" customHeight="1" s="95">
      <c r="A667" s="97" t="inlineStr">
        <is>
          <t>anonymus0666</t>
        </is>
      </c>
      <c r="B667" s="97" t="inlineStr">
        <is>
          <t>L</t>
        </is>
      </c>
      <c r="C667" s="97" t="inlineStr">
        <is>
          <t>35-69 Bulan</t>
        </is>
      </c>
      <c r="D667" s="97" t="n">
        <v>13.4</v>
      </c>
      <c r="E667" s="97" t="n">
        <v>91</v>
      </c>
      <c r="F667" s="97" t="inlineStr">
        <is>
          <t>Normal</t>
        </is>
      </c>
      <c r="G667" s="97" t="inlineStr">
        <is>
          <t>Pendek</t>
        </is>
      </c>
      <c r="H667" s="97" t="inlineStr">
        <is>
          <t>Gizi Baik</t>
        </is>
      </c>
      <c r="I667" s="97" t="inlineStr">
        <is>
          <t>Ya</t>
        </is>
      </c>
      <c r="J667" s="97" t="inlineStr">
        <is>
          <t>Potensi Stunting</t>
        </is>
      </c>
    </row>
    <row r="668" ht="15.75" customHeight="1" s="95">
      <c r="A668" s="97" t="inlineStr">
        <is>
          <t>anonymus0667</t>
        </is>
      </c>
      <c r="B668" s="97" t="inlineStr">
        <is>
          <t>L</t>
        </is>
      </c>
      <c r="C668" s="97" t="inlineStr">
        <is>
          <t>35-69 Bulan</t>
        </is>
      </c>
      <c r="D668" s="97" t="n">
        <v>9.6</v>
      </c>
      <c r="E668" s="97" t="n">
        <v>80.40000000000001</v>
      </c>
      <c r="F668" s="97" t="inlineStr">
        <is>
          <t>Kurang</t>
        </is>
      </c>
      <c r="G668" s="97" t="inlineStr">
        <is>
          <t>Pendek</t>
        </is>
      </c>
      <c r="H668" s="97" t="inlineStr">
        <is>
          <t>Gizi Baik</t>
        </is>
      </c>
      <c r="I668" s="97" t="inlineStr">
        <is>
          <t>Ya</t>
        </is>
      </c>
      <c r="J668" s="97" t="inlineStr">
        <is>
          <t>Potensi Stunting</t>
        </is>
      </c>
    </row>
    <row r="669" ht="15.75" customHeight="1" s="95">
      <c r="A669" s="97" t="inlineStr">
        <is>
          <t>anonymus0668</t>
        </is>
      </c>
      <c r="B669" s="97" t="inlineStr">
        <is>
          <t>L</t>
        </is>
      </c>
      <c r="C669" s="97" t="inlineStr">
        <is>
          <t>1-34 Bulan</t>
        </is>
      </c>
      <c r="D669" s="97" t="n">
        <v>13.8</v>
      </c>
      <c r="E669" s="97" t="n">
        <v>83</v>
      </c>
      <c r="F669" s="97" t="inlineStr">
        <is>
          <t>Normal</t>
        </is>
      </c>
      <c r="G669" s="97" t="inlineStr">
        <is>
          <t>Normal</t>
        </is>
      </c>
      <c r="H669" s="97" t="inlineStr">
        <is>
          <t>Gizi Baik</t>
        </is>
      </c>
      <c r="I669" s="97" t="inlineStr">
        <is>
          <t>Ya</t>
        </is>
      </c>
      <c r="J669" s="97" t="inlineStr">
        <is>
          <t>Tidak</t>
        </is>
      </c>
    </row>
    <row r="670" ht="15.75" customHeight="1" s="95">
      <c r="A670" s="97" t="inlineStr">
        <is>
          <t>anonymus0669</t>
        </is>
      </c>
      <c r="B670" s="97" t="inlineStr">
        <is>
          <t xml:space="preserve">P </t>
        </is>
      </c>
      <c r="C670" s="97" t="inlineStr">
        <is>
          <t>35-69 Bulan</t>
        </is>
      </c>
      <c r="D670" s="97" t="inlineStr">
        <is>
          <t>14.8</t>
        </is>
      </c>
      <c r="E670" s="97" t="n">
        <v>99</v>
      </c>
      <c r="F670" s="97" t="inlineStr">
        <is>
          <t>Normal</t>
        </is>
      </c>
      <c r="G670" s="97" t="inlineStr">
        <is>
          <t>Normal</t>
        </is>
      </c>
      <c r="H670" s="97" t="inlineStr">
        <is>
          <t>Gizi Baik</t>
        </is>
      </c>
      <c r="I670" s="97" t="inlineStr">
        <is>
          <t>Ya</t>
        </is>
      </c>
      <c r="J670" s="97" t="inlineStr">
        <is>
          <t>Tidak</t>
        </is>
      </c>
    </row>
    <row r="671" ht="15.75" customHeight="1" s="95">
      <c r="A671" s="97" t="inlineStr">
        <is>
          <t>anonymus0670</t>
        </is>
      </c>
      <c r="B671" s="97" t="inlineStr">
        <is>
          <t xml:space="preserve">L </t>
        </is>
      </c>
      <c r="C671" s="97" t="inlineStr">
        <is>
          <t>35-69 Bulan</t>
        </is>
      </c>
      <c r="D671" s="97" t="inlineStr">
        <is>
          <t>11.8</t>
        </is>
      </c>
      <c r="E671" s="97" t="n">
        <v>90</v>
      </c>
      <c r="F671" s="97" t="inlineStr">
        <is>
          <t>Normal</t>
        </is>
      </c>
      <c r="G671" s="97" t="inlineStr">
        <is>
          <t>Normal</t>
        </is>
      </c>
      <c r="H671" s="97" t="inlineStr">
        <is>
          <t>Gizi Baik</t>
        </is>
      </c>
      <c r="I671" s="97" t="inlineStr">
        <is>
          <t>Ya</t>
        </is>
      </c>
      <c r="J671" s="97" t="inlineStr">
        <is>
          <t>Tidak</t>
        </is>
      </c>
    </row>
    <row r="672" ht="15.75" customHeight="1" s="95">
      <c r="A672" s="97" t="inlineStr">
        <is>
          <t>anonymus0671</t>
        </is>
      </c>
      <c r="B672" s="97" t="inlineStr">
        <is>
          <t>L</t>
        </is>
      </c>
      <c r="C672" s="97" t="inlineStr">
        <is>
          <t>35-69 Bulan</t>
        </is>
      </c>
      <c r="D672" s="97" t="n">
        <v>13.2</v>
      </c>
      <c r="E672" s="97" t="n">
        <v>93</v>
      </c>
      <c r="F672" s="97" t="inlineStr">
        <is>
          <t>Kurang</t>
        </is>
      </c>
      <c r="G672" s="97" t="inlineStr">
        <is>
          <t>Sangat Pendek</t>
        </is>
      </c>
      <c r="H672" s="97" t="inlineStr">
        <is>
          <t>Gizi Baik</t>
        </is>
      </c>
      <c r="I672" s="97" t="inlineStr">
        <is>
          <t>Ya</t>
        </is>
      </c>
      <c r="J672" s="97" t="inlineStr">
        <is>
          <t>Stunting</t>
        </is>
      </c>
    </row>
    <row r="673" ht="15.75" customHeight="1" s="95">
      <c r="A673" s="97" t="inlineStr">
        <is>
          <t>anonymus0672</t>
        </is>
      </c>
      <c r="B673" s="97" t="inlineStr">
        <is>
          <t>P</t>
        </is>
      </c>
      <c r="C673" s="97" t="inlineStr">
        <is>
          <t>1-34 Bulan</t>
        </is>
      </c>
      <c r="D673" s="97" t="n">
        <v>8.4</v>
      </c>
      <c r="E673" s="97" t="n">
        <v>80</v>
      </c>
      <c r="F673" s="97" t="inlineStr">
        <is>
          <t>Kurang</t>
        </is>
      </c>
      <c r="G673" s="97" t="inlineStr">
        <is>
          <t>Normal</t>
        </is>
      </c>
      <c r="H673" s="97" t="inlineStr">
        <is>
          <t>Gizi Kurang</t>
        </is>
      </c>
      <c r="I673" s="97" t="inlineStr">
        <is>
          <t>Ya</t>
        </is>
      </c>
      <c r="J673" s="97" t="inlineStr">
        <is>
          <t>Tidak</t>
        </is>
      </c>
    </row>
    <row r="674" ht="15.75" customHeight="1" s="95">
      <c r="A674" s="97" t="inlineStr">
        <is>
          <t>anonymus0673</t>
        </is>
      </c>
      <c r="B674" s="97" t="inlineStr">
        <is>
          <t>L</t>
        </is>
      </c>
      <c r="C674" s="97" t="inlineStr">
        <is>
          <t>1-34 Bulan</t>
        </is>
      </c>
      <c r="D674" s="97" t="n">
        <v>8.199999999999999</v>
      </c>
      <c r="E674" s="97" t="n">
        <v>76.5</v>
      </c>
      <c r="F674" s="97" t="inlineStr">
        <is>
          <t>Kurang</t>
        </is>
      </c>
      <c r="G674" s="97" t="inlineStr">
        <is>
          <t>Pendek</t>
        </is>
      </c>
      <c r="H674" s="97" t="inlineStr">
        <is>
          <t>Gizi Kurang</t>
        </is>
      </c>
      <c r="I674" s="97" t="inlineStr">
        <is>
          <t>Ya</t>
        </is>
      </c>
      <c r="J674" s="97" t="inlineStr">
        <is>
          <t>Potensi Stunting</t>
        </is>
      </c>
    </row>
    <row r="675" ht="15.75" customHeight="1" s="95">
      <c r="A675" s="97" t="inlineStr">
        <is>
          <t>anonymus0674</t>
        </is>
      </c>
      <c r="B675" s="97" t="inlineStr">
        <is>
          <t>P</t>
        </is>
      </c>
      <c r="C675" s="97" t="inlineStr">
        <is>
          <t>35-69 Bulan</t>
        </is>
      </c>
      <c r="D675" s="97" t="n">
        <v>12.7</v>
      </c>
      <c r="E675" s="97" t="n">
        <v>117</v>
      </c>
      <c r="F675" s="97" t="inlineStr">
        <is>
          <t>Normal</t>
        </is>
      </c>
      <c r="G675" s="97" t="inlineStr">
        <is>
          <t>Normal</t>
        </is>
      </c>
      <c r="H675" s="97" t="inlineStr">
        <is>
          <t>Gizi Baik</t>
        </is>
      </c>
      <c r="I675" s="97" t="inlineStr">
        <is>
          <t>Ya</t>
        </is>
      </c>
      <c r="J675" s="97" t="inlineStr">
        <is>
          <t>Tidak</t>
        </is>
      </c>
    </row>
    <row r="676" ht="15.75" customHeight="1" s="95">
      <c r="A676" s="97" t="inlineStr">
        <is>
          <t>anonymus0675</t>
        </is>
      </c>
      <c r="B676" s="97" t="inlineStr">
        <is>
          <t>P</t>
        </is>
      </c>
      <c r="C676" s="97" t="inlineStr">
        <is>
          <t>1-34 Bulan</t>
        </is>
      </c>
      <c r="D676" s="97" t="n">
        <v>10.9</v>
      </c>
      <c r="E676" s="97" t="n">
        <v>93</v>
      </c>
      <c r="F676" s="97" t="inlineStr">
        <is>
          <t>Normal</t>
        </is>
      </c>
      <c r="G676" s="97" t="inlineStr">
        <is>
          <t>Normal</t>
        </is>
      </c>
      <c r="H676" s="97" t="inlineStr">
        <is>
          <t>Gizi Baik</t>
        </is>
      </c>
      <c r="I676" s="97" t="inlineStr">
        <is>
          <t>Ya</t>
        </is>
      </c>
      <c r="J676" s="97" t="inlineStr">
        <is>
          <t>Tidak</t>
        </is>
      </c>
    </row>
    <row r="677" ht="15.75" customHeight="1" s="95">
      <c r="A677" s="97" t="inlineStr">
        <is>
          <t>anonymus0676</t>
        </is>
      </c>
      <c r="B677" s="97" t="inlineStr">
        <is>
          <t xml:space="preserve">L </t>
        </is>
      </c>
      <c r="C677" s="97" t="inlineStr">
        <is>
          <t>1-34 Bulan</t>
        </is>
      </c>
      <c r="D677" s="97" t="inlineStr">
        <is>
          <t>9.1</t>
        </is>
      </c>
      <c r="E677" s="97" t="n">
        <v>70</v>
      </c>
      <c r="F677" s="97" t="inlineStr">
        <is>
          <t>Normal</t>
        </is>
      </c>
      <c r="G677" s="97" t="inlineStr">
        <is>
          <t>Normal</t>
        </is>
      </c>
      <c r="H677" s="97" t="inlineStr">
        <is>
          <t>Gizi Baik</t>
        </is>
      </c>
      <c r="I677" s="97" t="inlineStr">
        <is>
          <t>Ya</t>
        </is>
      </c>
      <c r="J677" s="97" t="inlineStr">
        <is>
          <t>Tidak</t>
        </is>
      </c>
    </row>
    <row r="678" ht="15.75" customHeight="1" s="95">
      <c r="A678" s="97" t="inlineStr">
        <is>
          <t>anonymus0677</t>
        </is>
      </c>
      <c r="B678" s="97" t="inlineStr">
        <is>
          <t>L</t>
        </is>
      </c>
      <c r="C678" s="97" t="inlineStr">
        <is>
          <t>1-34 Bulan</t>
        </is>
      </c>
      <c r="D678" s="97" t="n">
        <v>8</v>
      </c>
      <c r="E678" s="97" t="n">
        <v>70</v>
      </c>
      <c r="F678" s="97" t="inlineStr">
        <is>
          <t>Kurang</t>
        </is>
      </c>
      <c r="G678" s="97" t="inlineStr">
        <is>
          <t>Normal</t>
        </is>
      </c>
      <c r="H678" s="97" t="inlineStr">
        <is>
          <t>Gizi Kurang</t>
        </is>
      </c>
      <c r="I678" s="97" t="inlineStr">
        <is>
          <t>Ya</t>
        </is>
      </c>
      <c r="J678" s="97" t="inlineStr">
        <is>
          <t>Tidak</t>
        </is>
      </c>
    </row>
    <row r="679" ht="15.75" customHeight="1" s="95">
      <c r="A679" s="97" t="inlineStr">
        <is>
          <t>anonymus0678</t>
        </is>
      </c>
      <c r="B679" s="97" t="inlineStr">
        <is>
          <t xml:space="preserve">L </t>
        </is>
      </c>
      <c r="C679" s="97" t="inlineStr">
        <is>
          <t>35-69 Bulan</t>
        </is>
      </c>
      <c r="D679" s="97" t="n">
        <v>14</v>
      </c>
      <c r="E679" s="97" t="n">
        <v>104</v>
      </c>
      <c r="F679" s="97" t="inlineStr">
        <is>
          <t>Normal</t>
        </is>
      </c>
      <c r="G679" s="97" t="inlineStr">
        <is>
          <t>Normal</t>
        </is>
      </c>
      <c r="H679" s="97" t="inlineStr">
        <is>
          <t>Gizi Kurang</t>
        </is>
      </c>
      <c r="I679" s="97" t="inlineStr">
        <is>
          <t>Ya</t>
        </is>
      </c>
      <c r="J679" s="97" t="inlineStr">
        <is>
          <t>Tidak</t>
        </is>
      </c>
    </row>
    <row r="680" ht="15.75" customHeight="1" s="95">
      <c r="A680" s="97" t="inlineStr">
        <is>
          <t>anonymus0679</t>
        </is>
      </c>
      <c r="B680" s="97" t="inlineStr">
        <is>
          <t xml:space="preserve">L </t>
        </is>
      </c>
      <c r="C680" s="97" t="inlineStr">
        <is>
          <t>35-69 Bulan</t>
        </is>
      </c>
      <c r="D680" s="97" t="inlineStr">
        <is>
          <t>17.3</t>
        </is>
      </c>
      <c r="E680" s="97" t="n">
        <v>105</v>
      </c>
      <c r="F680" s="97" t="inlineStr">
        <is>
          <t>Normal</t>
        </is>
      </c>
      <c r="G680" s="97" t="inlineStr">
        <is>
          <t>Normal</t>
        </is>
      </c>
      <c r="H680" s="97" t="inlineStr">
        <is>
          <t>Gizi Baik</t>
        </is>
      </c>
      <c r="I680" s="97" t="inlineStr">
        <is>
          <t>Ya</t>
        </is>
      </c>
      <c r="J680" s="97" t="inlineStr">
        <is>
          <t>Tidak</t>
        </is>
      </c>
    </row>
    <row r="681" ht="15.75" customHeight="1" s="95">
      <c r="A681" s="97" t="inlineStr">
        <is>
          <t>anonymus0680</t>
        </is>
      </c>
      <c r="B681" s="97" t="inlineStr">
        <is>
          <t>P</t>
        </is>
      </c>
      <c r="C681" s="97" t="inlineStr">
        <is>
          <t>35-69 Bulan</t>
        </is>
      </c>
      <c r="D681" s="97" t="n">
        <v>12.4</v>
      </c>
      <c r="E681" s="97" t="n">
        <v>93</v>
      </c>
      <c r="F681" s="97" t="inlineStr">
        <is>
          <t>Kurang</t>
        </is>
      </c>
      <c r="G681" s="97" t="inlineStr">
        <is>
          <t>Pendek</t>
        </is>
      </c>
      <c r="H681" s="97" t="inlineStr">
        <is>
          <t>Gizi Baik</t>
        </is>
      </c>
      <c r="I681" s="97" t="inlineStr">
        <is>
          <t>Ya</t>
        </is>
      </c>
      <c r="J681" s="97" t="inlineStr">
        <is>
          <t>Potensi Stunting</t>
        </is>
      </c>
    </row>
    <row r="682" ht="15.75" customHeight="1" s="95">
      <c r="A682" s="97" t="inlineStr">
        <is>
          <t>anonymus0681</t>
        </is>
      </c>
      <c r="B682" s="97" t="inlineStr">
        <is>
          <t xml:space="preserve">P </t>
        </is>
      </c>
      <c r="C682" s="97" t="inlineStr">
        <is>
          <t>35-69 Bulan</t>
        </is>
      </c>
      <c r="D682" s="97" t="n">
        <v>15</v>
      </c>
      <c r="E682" s="97" t="n">
        <v>99</v>
      </c>
      <c r="F682" s="97" t="inlineStr">
        <is>
          <t>Normal</t>
        </is>
      </c>
      <c r="G682" s="97" t="inlineStr">
        <is>
          <t>Normal</t>
        </is>
      </c>
      <c r="H682" s="97" t="inlineStr">
        <is>
          <t>Gizi Baik</t>
        </is>
      </c>
      <c r="I682" s="97" t="inlineStr">
        <is>
          <t>Ya</t>
        </is>
      </c>
      <c r="J682" s="97" t="inlineStr">
        <is>
          <t>Tidak</t>
        </is>
      </c>
    </row>
    <row r="683" ht="15.75" customHeight="1" s="95">
      <c r="A683" s="97" t="inlineStr">
        <is>
          <t>anonymus0682</t>
        </is>
      </c>
      <c r="B683" s="97" t="inlineStr">
        <is>
          <t>L</t>
        </is>
      </c>
      <c r="C683" s="97" t="inlineStr">
        <is>
          <t>35-69 Bulan</t>
        </is>
      </c>
      <c r="D683" s="97" t="n">
        <v>12.1</v>
      </c>
      <c r="E683" s="97" t="n">
        <v>96</v>
      </c>
      <c r="F683" s="97" t="inlineStr">
        <is>
          <t>Kurang</t>
        </is>
      </c>
      <c r="G683" s="97" t="inlineStr">
        <is>
          <t>Normal</t>
        </is>
      </c>
      <c r="H683" s="97" t="inlineStr">
        <is>
          <t>Gizi Kurang</t>
        </is>
      </c>
      <c r="I683" s="97" t="inlineStr">
        <is>
          <t>Ya</t>
        </is>
      </c>
      <c r="J683" s="97" t="inlineStr">
        <is>
          <t>Tidak</t>
        </is>
      </c>
    </row>
    <row r="684" ht="15.75" customHeight="1" s="95">
      <c r="A684" s="97" t="inlineStr">
        <is>
          <t>anonymus0683</t>
        </is>
      </c>
      <c r="B684" s="97" t="inlineStr">
        <is>
          <t>P</t>
        </is>
      </c>
      <c r="C684" s="97" t="inlineStr">
        <is>
          <t>35-69 Bulan</t>
        </is>
      </c>
      <c r="D684" s="97" t="n">
        <v>12.2</v>
      </c>
      <c r="E684" s="97" t="n">
        <v>89.2</v>
      </c>
      <c r="F684" s="97" t="inlineStr">
        <is>
          <t>Normal</t>
        </is>
      </c>
      <c r="G684" s="97" t="inlineStr">
        <is>
          <t>Pendek</t>
        </is>
      </c>
      <c r="H684" s="97" t="inlineStr">
        <is>
          <t>Gizi Baik</t>
        </is>
      </c>
      <c r="I684" s="97" t="inlineStr">
        <is>
          <t>Ya</t>
        </is>
      </c>
      <c r="J684" s="97" t="inlineStr">
        <is>
          <t>Potensi Stunting</t>
        </is>
      </c>
    </row>
    <row r="685" ht="15.75" customHeight="1" s="95">
      <c r="A685" s="97" t="inlineStr">
        <is>
          <t>anonymus0684</t>
        </is>
      </c>
      <c r="B685" s="97" t="inlineStr">
        <is>
          <t xml:space="preserve">L </t>
        </is>
      </c>
      <c r="C685" s="97" t="inlineStr">
        <is>
          <t>1-34 Bulan</t>
        </is>
      </c>
      <c r="D685" s="97" t="n">
        <v>13</v>
      </c>
      <c r="E685" s="97" t="n">
        <v>94</v>
      </c>
      <c r="F685" s="97" t="inlineStr">
        <is>
          <t>Normal</t>
        </is>
      </c>
      <c r="G685" s="97" t="inlineStr">
        <is>
          <t>Normal</t>
        </is>
      </c>
      <c r="H685" s="97" t="inlineStr">
        <is>
          <t>Gizi Baik</t>
        </is>
      </c>
      <c r="I685" s="97" t="inlineStr">
        <is>
          <t>Ya</t>
        </is>
      </c>
      <c r="J685" s="97" t="inlineStr">
        <is>
          <t>Tidak</t>
        </is>
      </c>
    </row>
    <row r="686" ht="15.75" customHeight="1" s="95">
      <c r="A686" s="97" t="inlineStr">
        <is>
          <t>anonymus0685</t>
        </is>
      </c>
      <c r="B686" s="97" t="inlineStr">
        <is>
          <t xml:space="preserve">L </t>
        </is>
      </c>
      <c r="C686" s="97" t="inlineStr">
        <is>
          <t>35-69 Bulan</t>
        </is>
      </c>
      <c r="D686" s="97" t="inlineStr">
        <is>
          <t>15.7</t>
        </is>
      </c>
      <c r="E686" s="97" t="n">
        <v>102</v>
      </c>
      <c r="F686" s="97" t="inlineStr">
        <is>
          <t>Normal</t>
        </is>
      </c>
      <c r="G686" s="97" t="inlineStr">
        <is>
          <t>Normal</t>
        </is>
      </c>
      <c r="H686" s="97" t="inlineStr">
        <is>
          <t>Gizi Baik</t>
        </is>
      </c>
      <c r="I686" s="97" t="inlineStr">
        <is>
          <t>Ya</t>
        </is>
      </c>
      <c r="J686" s="97" t="inlineStr">
        <is>
          <t>Tidak</t>
        </is>
      </c>
    </row>
    <row r="687" ht="15.75" customHeight="1" s="95">
      <c r="A687" s="97" t="inlineStr">
        <is>
          <t>anonymus0686</t>
        </is>
      </c>
      <c r="B687" s="97" t="inlineStr">
        <is>
          <t>P</t>
        </is>
      </c>
      <c r="C687" s="97" t="inlineStr">
        <is>
          <t>35-69 Bulan</t>
        </is>
      </c>
      <c r="D687" s="97" t="n">
        <v>7.9</v>
      </c>
      <c r="E687" s="97" t="n">
        <v>78</v>
      </c>
      <c r="F687" s="97" t="inlineStr">
        <is>
          <t>Sangat Kurang</t>
        </is>
      </c>
      <c r="G687" s="97" t="inlineStr">
        <is>
          <t>Pendek</t>
        </is>
      </c>
      <c r="H687" s="97" t="inlineStr">
        <is>
          <t>Gizi Kurang</t>
        </is>
      </c>
      <c r="I687" s="97" t="inlineStr">
        <is>
          <t>Ya</t>
        </is>
      </c>
      <c r="J687" s="97" t="inlineStr">
        <is>
          <t>Potensi Stunting</t>
        </is>
      </c>
    </row>
    <row r="688" ht="15.75" customHeight="1" s="95">
      <c r="A688" s="97" t="inlineStr">
        <is>
          <t>anonymus0687</t>
        </is>
      </c>
      <c r="B688" s="97" t="inlineStr">
        <is>
          <t>L</t>
        </is>
      </c>
      <c r="C688" s="97" t="inlineStr">
        <is>
          <t>35-69 Bulan</t>
        </is>
      </c>
      <c r="D688" s="97" t="n">
        <v>14.5</v>
      </c>
      <c r="E688" s="97" t="n">
        <v>118</v>
      </c>
      <c r="F688" s="97" t="inlineStr">
        <is>
          <t>Normal</t>
        </is>
      </c>
      <c r="G688" s="97" t="inlineStr">
        <is>
          <t>Normal</t>
        </is>
      </c>
      <c r="H688" s="97" t="inlineStr">
        <is>
          <t>Gizi Baik</t>
        </is>
      </c>
      <c r="I688" s="97" t="inlineStr">
        <is>
          <t>Ya</t>
        </is>
      </c>
      <c r="J688" s="97" t="inlineStr">
        <is>
          <t>Tidak</t>
        </is>
      </c>
    </row>
    <row r="689" ht="15.75" customHeight="1" s="95">
      <c r="A689" s="97" t="inlineStr">
        <is>
          <t>anonymus0688</t>
        </is>
      </c>
      <c r="B689" s="97" t="inlineStr">
        <is>
          <t>L</t>
        </is>
      </c>
      <c r="C689" s="97" t="inlineStr">
        <is>
          <t>1-34 Bulan</t>
        </is>
      </c>
      <c r="D689" s="97" t="n">
        <v>7.4</v>
      </c>
      <c r="E689" s="97" t="n">
        <v>80</v>
      </c>
      <c r="F689" s="97" t="inlineStr">
        <is>
          <t>Kurang</t>
        </is>
      </c>
      <c r="G689" s="97" t="inlineStr">
        <is>
          <t>Normal</t>
        </is>
      </c>
      <c r="H689" s="97" t="inlineStr">
        <is>
          <t>Gizi Kurang</t>
        </is>
      </c>
      <c r="I689" s="97" t="inlineStr">
        <is>
          <t>Ya</t>
        </is>
      </c>
      <c r="J689" s="97" t="inlineStr">
        <is>
          <t>Tidak</t>
        </is>
      </c>
    </row>
    <row r="690" ht="15.75" customHeight="1" s="95">
      <c r="A690" s="97" t="inlineStr">
        <is>
          <t>anonymus0689</t>
        </is>
      </c>
      <c r="B690" s="97" t="inlineStr">
        <is>
          <t>L</t>
        </is>
      </c>
      <c r="C690" s="97" t="inlineStr">
        <is>
          <t>1-34 Bulan</t>
        </is>
      </c>
      <c r="D690" s="97" t="n">
        <v>7.4</v>
      </c>
      <c r="E690" s="97" t="n">
        <v>72</v>
      </c>
      <c r="F690" s="97" t="inlineStr">
        <is>
          <t>Kurang</t>
        </is>
      </c>
      <c r="G690" s="97" t="inlineStr">
        <is>
          <t>Pendek</t>
        </is>
      </c>
      <c r="H690" s="97" t="inlineStr">
        <is>
          <t>Gizi Kurang</t>
        </is>
      </c>
      <c r="I690" s="97" t="inlineStr">
        <is>
          <t>Ya</t>
        </is>
      </c>
      <c r="J690" s="97" t="inlineStr">
        <is>
          <t>Potensi Stunting</t>
        </is>
      </c>
    </row>
    <row r="691" ht="15.75" customHeight="1" s="95">
      <c r="A691" s="97" t="inlineStr">
        <is>
          <t>anonymus0690</t>
        </is>
      </c>
      <c r="B691" s="97" t="inlineStr">
        <is>
          <t xml:space="preserve">P </t>
        </is>
      </c>
      <c r="C691" s="97" t="inlineStr">
        <is>
          <t>1-34 Bulan</t>
        </is>
      </c>
      <c r="D691" s="97" t="inlineStr">
        <is>
          <t>9.8</t>
        </is>
      </c>
      <c r="E691" s="97" t="n">
        <v>77</v>
      </c>
      <c r="F691" s="97" t="inlineStr">
        <is>
          <t>Normal</t>
        </is>
      </c>
      <c r="G691" s="97" t="inlineStr">
        <is>
          <t>Normal</t>
        </is>
      </c>
      <c r="H691" s="97" t="inlineStr">
        <is>
          <t>Gizi Baik</t>
        </is>
      </c>
      <c r="I691" s="97" t="inlineStr">
        <is>
          <t>Ya</t>
        </is>
      </c>
      <c r="J691" s="97" t="inlineStr">
        <is>
          <t>Tidak</t>
        </is>
      </c>
    </row>
    <row r="692" ht="15.75" customHeight="1" s="95">
      <c r="A692" s="97" t="inlineStr">
        <is>
          <t>anonymus0691</t>
        </is>
      </c>
      <c r="B692" s="97" t="inlineStr">
        <is>
          <t>P</t>
        </is>
      </c>
      <c r="C692" s="97" t="inlineStr">
        <is>
          <t>35-69 Bulan</t>
        </is>
      </c>
      <c r="D692" s="97" t="n">
        <v>12</v>
      </c>
      <c r="E692" s="97" t="n">
        <v>97</v>
      </c>
      <c r="F692" s="97" t="inlineStr">
        <is>
          <t>Normal</t>
        </is>
      </c>
      <c r="G692" s="97" t="inlineStr">
        <is>
          <t>Normal</t>
        </is>
      </c>
      <c r="H692" s="97" t="inlineStr">
        <is>
          <t>Gizi Kurang</t>
        </is>
      </c>
      <c r="I692" s="97" t="inlineStr">
        <is>
          <t>Ya</t>
        </is>
      </c>
      <c r="J692" s="97" t="inlineStr">
        <is>
          <t>Tidak</t>
        </is>
      </c>
    </row>
    <row r="693" ht="15.75" customHeight="1" s="95">
      <c r="A693" s="97" t="inlineStr">
        <is>
          <t>anonymus0692</t>
        </is>
      </c>
      <c r="B693" s="97" t="inlineStr">
        <is>
          <t>L</t>
        </is>
      </c>
      <c r="C693" s="97" t="inlineStr">
        <is>
          <t>35-69 Bulan</t>
        </is>
      </c>
      <c r="D693" s="97" t="n">
        <v>17</v>
      </c>
      <c r="E693" s="97" t="n">
        <v>99</v>
      </c>
      <c r="F693" s="97" t="inlineStr">
        <is>
          <t>Normal</t>
        </is>
      </c>
      <c r="G693" s="97" t="inlineStr">
        <is>
          <t>Normal</t>
        </is>
      </c>
      <c r="H693" s="97" t="inlineStr">
        <is>
          <t>Gizi Baik</t>
        </is>
      </c>
      <c r="I693" s="97" t="inlineStr">
        <is>
          <t>Ya</t>
        </is>
      </c>
      <c r="J693" s="97" t="inlineStr">
        <is>
          <t>Tidak</t>
        </is>
      </c>
    </row>
    <row r="694" ht="15.75" customHeight="1" s="95">
      <c r="A694" s="97" t="inlineStr">
        <is>
          <t>anonymus0693</t>
        </is>
      </c>
      <c r="B694" s="97" t="inlineStr">
        <is>
          <t>L</t>
        </is>
      </c>
      <c r="C694" s="97" t="inlineStr">
        <is>
          <t>35-69 Bulan</t>
        </is>
      </c>
      <c r="D694" s="97" t="n">
        <v>11.7</v>
      </c>
      <c r="E694" s="97" t="n">
        <v>93</v>
      </c>
      <c r="F694" s="97" t="inlineStr">
        <is>
          <t>Kurang</t>
        </is>
      </c>
      <c r="G694" s="97" t="inlineStr">
        <is>
          <t>Pendek</t>
        </is>
      </c>
      <c r="H694" s="97" t="inlineStr">
        <is>
          <t>Gizi Baik</t>
        </is>
      </c>
      <c r="I694" s="97" t="inlineStr">
        <is>
          <t>Ya</t>
        </is>
      </c>
      <c r="J694" s="97" t="inlineStr">
        <is>
          <t>Potensi Stunting</t>
        </is>
      </c>
    </row>
    <row r="695" ht="15.75" customHeight="1" s="95">
      <c r="A695" s="97" t="inlineStr">
        <is>
          <t>anonymus0694</t>
        </is>
      </c>
      <c r="B695" s="97" t="inlineStr">
        <is>
          <t>L</t>
        </is>
      </c>
      <c r="C695" s="97" t="inlineStr">
        <is>
          <t>1-34 Bulan</t>
        </is>
      </c>
      <c r="D695" s="97" t="n">
        <v>7</v>
      </c>
      <c r="E695" s="97" t="n">
        <v>83</v>
      </c>
      <c r="F695" s="97" t="inlineStr">
        <is>
          <t>Kurang</t>
        </is>
      </c>
      <c r="G695" s="97" t="inlineStr">
        <is>
          <t>Normal</t>
        </is>
      </c>
      <c r="H695" s="97" t="inlineStr">
        <is>
          <t>Gizi Kurang</t>
        </is>
      </c>
      <c r="I695" s="97" t="inlineStr">
        <is>
          <t>Ya</t>
        </is>
      </c>
      <c r="J695" s="97" t="inlineStr">
        <is>
          <t>Tidak</t>
        </is>
      </c>
    </row>
    <row r="696" ht="15.75" customHeight="1" s="95">
      <c r="A696" s="97" t="inlineStr">
        <is>
          <t>anonymus0695</t>
        </is>
      </c>
      <c r="B696" s="97" t="inlineStr">
        <is>
          <t xml:space="preserve">L </t>
        </is>
      </c>
      <c r="C696" s="97" t="inlineStr">
        <is>
          <t>1-34 Bulan</t>
        </is>
      </c>
      <c r="D696" s="97" t="inlineStr">
        <is>
          <t>9.4</t>
        </is>
      </c>
      <c r="E696" s="97" t="n">
        <v>72</v>
      </c>
      <c r="F696" s="97" t="inlineStr">
        <is>
          <t>Normal</t>
        </is>
      </c>
      <c r="G696" s="97" t="inlineStr">
        <is>
          <t>Normal</t>
        </is>
      </c>
      <c r="H696" s="97" t="inlineStr">
        <is>
          <t>Gizi Baik</t>
        </is>
      </c>
      <c r="I696" s="97" t="inlineStr">
        <is>
          <t>Ya</t>
        </is>
      </c>
      <c r="J696" s="97" t="inlineStr">
        <is>
          <t>Tidak</t>
        </is>
      </c>
    </row>
    <row r="697" ht="15.75" customHeight="1" s="95">
      <c r="A697" s="97" t="inlineStr">
        <is>
          <t>anonymus0696</t>
        </is>
      </c>
      <c r="B697" s="97" t="inlineStr">
        <is>
          <t>P</t>
        </is>
      </c>
      <c r="C697" s="97" t="inlineStr">
        <is>
          <t>35-69 Bulan</t>
        </is>
      </c>
      <c r="D697" s="97" t="n">
        <v>10.2</v>
      </c>
      <c r="E697" s="97" t="n">
        <v>91</v>
      </c>
      <c r="F697" s="97" t="inlineStr">
        <is>
          <t>Normal</t>
        </is>
      </c>
      <c r="G697" s="97" t="inlineStr">
        <is>
          <t>Normal</t>
        </is>
      </c>
      <c r="H697" s="97" t="inlineStr">
        <is>
          <t>Gizi Baik</t>
        </is>
      </c>
      <c r="I697" s="97" t="inlineStr">
        <is>
          <t>Ya</t>
        </is>
      </c>
      <c r="J697" s="97" t="inlineStr">
        <is>
          <t>Tidak</t>
        </is>
      </c>
    </row>
    <row r="698" ht="15.75" customHeight="1" s="95">
      <c r="A698" s="97" t="inlineStr">
        <is>
          <t>anonymus0697</t>
        </is>
      </c>
      <c r="B698" s="97" t="inlineStr">
        <is>
          <t>L</t>
        </is>
      </c>
      <c r="C698" s="97" t="inlineStr">
        <is>
          <t>1-34 Bulan</t>
        </is>
      </c>
      <c r="D698" s="97" t="n">
        <v>14</v>
      </c>
      <c r="E698" s="97" t="n">
        <v>75</v>
      </c>
      <c r="F698" s="97" t="inlineStr">
        <is>
          <t>Normal</t>
        </is>
      </c>
      <c r="G698" s="97" t="inlineStr">
        <is>
          <t>Normal</t>
        </is>
      </c>
      <c r="H698" s="97" t="inlineStr">
        <is>
          <t>Gizi Baik</t>
        </is>
      </c>
      <c r="I698" s="97" t="inlineStr">
        <is>
          <t>Ya</t>
        </is>
      </c>
      <c r="J698" s="97" t="inlineStr">
        <is>
          <t>Tidak</t>
        </is>
      </c>
    </row>
    <row r="699" ht="15.75" customHeight="1" s="95">
      <c r="A699" s="97" t="inlineStr">
        <is>
          <t>anonymus0698</t>
        </is>
      </c>
      <c r="B699" s="97" t="inlineStr">
        <is>
          <t>P</t>
        </is>
      </c>
      <c r="C699" s="97" t="inlineStr">
        <is>
          <t>35-69 Bulan</t>
        </is>
      </c>
      <c r="D699" s="97" t="n">
        <v>11</v>
      </c>
      <c r="E699" s="97" t="n">
        <v>93</v>
      </c>
      <c r="F699" s="97" t="inlineStr">
        <is>
          <t>Sangat Kurang</t>
        </is>
      </c>
      <c r="G699" s="97" t="inlineStr">
        <is>
          <t>Pendek</t>
        </is>
      </c>
      <c r="H699" s="97" t="inlineStr">
        <is>
          <t>Gizi Kurang</t>
        </is>
      </c>
      <c r="I699" s="97" t="inlineStr">
        <is>
          <t>Ya</t>
        </is>
      </c>
      <c r="J699" s="97" t="inlineStr">
        <is>
          <t>Potensi Stunting</t>
        </is>
      </c>
    </row>
    <row r="700" ht="15.75" customHeight="1" s="95">
      <c r="A700" s="97" t="inlineStr">
        <is>
          <t>anonymus0699</t>
        </is>
      </c>
      <c r="B700" s="97" t="inlineStr">
        <is>
          <t xml:space="preserve">P </t>
        </is>
      </c>
      <c r="C700" s="97" t="inlineStr">
        <is>
          <t>35-69 Bulan</t>
        </is>
      </c>
      <c r="D700" s="97" t="inlineStr">
        <is>
          <t>17.1</t>
        </is>
      </c>
      <c r="E700" s="97" t="n">
        <v>104</v>
      </c>
      <c r="F700" s="97" t="inlineStr">
        <is>
          <t>Normal</t>
        </is>
      </c>
      <c r="G700" s="97" t="inlineStr">
        <is>
          <t>Normal</t>
        </is>
      </c>
      <c r="H700" s="97" t="inlineStr">
        <is>
          <t>Gizi Baik</t>
        </is>
      </c>
      <c r="I700" s="97" t="inlineStr">
        <is>
          <t>Ya</t>
        </is>
      </c>
      <c r="J700" s="97" t="inlineStr">
        <is>
          <t>Tidak</t>
        </is>
      </c>
    </row>
    <row r="701" ht="15.75" customHeight="1" s="95">
      <c r="A701" s="97" t="inlineStr">
        <is>
          <t>anonymus0700</t>
        </is>
      </c>
      <c r="B701" s="97" t="inlineStr">
        <is>
          <t>P</t>
        </is>
      </c>
      <c r="C701" s="97" t="inlineStr">
        <is>
          <t>1-34 Bulan</t>
        </is>
      </c>
      <c r="D701" s="97" t="n">
        <v>11.6</v>
      </c>
      <c r="E701" s="97" t="n">
        <v>94</v>
      </c>
      <c r="F701" s="97" t="inlineStr">
        <is>
          <t>Normal</t>
        </is>
      </c>
      <c r="G701" s="97" t="inlineStr">
        <is>
          <t>Normal</t>
        </is>
      </c>
      <c r="H701" s="97" t="inlineStr">
        <is>
          <t>Gizi Baik</t>
        </is>
      </c>
      <c r="I701" s="97" t="inlineStr">
        <is>
          <t>Ya</t>
        </is>
      </c>
      <c r="J701" s="97" t="inlineStr">
        <is>
          <t>Tidak</t>
        </is>
      </c>
    </row>
    <row r="702" ht="15.75" customHeight="1" s="95">
      <c r="A702" s="97" t="inlineStr">
        <is>
          <t>anonymus0701</t>
        </is>
      </c>
      <c r="B702" s="97" t="inlineStr">
        <is>
          <t>P</t>
        </is>
      </c>
      <c r="C702" s="97" t="inlineStr">
        <is>
          <t>1-34 Bulan</t>
        </is>
      </c>
      <c r="D702" s="97" t="n">
        <v>5.9</v>
      </c>
      <c r="E702" s="97" t="n">
        <v>67</v>
      </c>
      <c r="F702" s="97" t="inlineStr">
        <is>
          <t>Normal</t>
        </is>
      </c>
      <c r="G702" s="97" t="inlineStr">
        <is>
          <t>Normal</t>
        </is>
      </c>
      <c r="H702" s="97" t="inlineStr">
        <is>
          <t>Gizi Kurang</t>
        </is>
      </c>
      <c r="I702" s="97" t="inlineStr">
        <is>
          <t>Ya</t>
        </is>
      </c>
      <c r="J702" s="97" t="inlineStr">
        <is>
          <t>Tidak</t>
        </is>
      </c>
    </row>
    <row r="703" ht="15.75" customHeight="1" s="95">
      <c r="A703" s="97" t="inlineStr">
        <is>
          <t>anonymus0702</t>
        </is>
      </c>
      <c r="B703" s="97" t="inlineStr">
        <is>
          <t>L</t>
        </is>
      </c>
      <c r="C703" s="97" t="inlineStr">
        <is>
          <t>35-69 Bulan</t>
        </is>
      </c>
      <c r="D703" s="97" t="n">
        <v>15.2</v>
      </c>
      <c r="E703" s="97" t="n">
        <v>98</v>
      </c>
      <c r="F703" s="97" t="inlineStr">
        <is>
          <t>Normal</t>
        </is>
      </c>
      <c r="G703" s="97" t="inlineStr">
        <is>
          <t>Normal</t>
        </is>
      </c>
      <c r="H703" s="97" t="inlineStr">
        <is>
          <t>Gizi Baik</t>
        </is>
      </c>
      <c r="I703" s="97" t="inlineStr">
        <is>
          <t>Ya</t>
        </is>
      </c>
      <c r="J703" s="97" t="inlineStr">
        <is>
          <t>Tidak</t>
        </is>
      </c>
    </row>
    <row r="704" ht="15.75" customHeight="1" s="95">
      <c r="A704" s="97" t="inlineStr">
        <is>
          <t>anonymus0703</t>
        </is>
      </c>
      <c r="B704" s="97" t="inlineStr">
        <is>
          <t>P</t>
        </is>
      </c>
      <c r="C704" s="97" t="inlineStr">
        <is>
          <t>1-34 Bulan</t>
        </is>
      </c>
      <c r="D704" s="97" t="n">
        <v>7.7</v>
      </c>
      <c r="E704" s="97" t="n">
        <v>91</v>
      </c>
      <c r="F704" s="97" t="inlineStr">
        <is>
          <t>Kurang</t>
        </is>
      </c>
      <c r="G704" s="97" t="inlineStr">
        <is>
          <t>Normal</t>
        </is>
      </c>
      <c r="H704" s="97" t="inlineStr">
        <is>
          <t>Gizi Kurang</t>
        </is>
      </c>
      <c r="I704" s="97" t="inlineStr">
        <is>
          <t>Ya</t>
        </is>
      </c>
      <c r="J704" s="97" t="inlineStr">
        <is>
          <t>Tidak</t>
        </is>
      </c>
    </row>
    <row r="705" ht="15.75" customHeight="1" s="95">
      <c r="A705" s="97" t="inlineStr">
        <is>
          <t>anonymus0704</t>
        </is>
      </c>
      <c r="B705" s="97" t="inlineStr">
        <is>
          <t xml:space="preserve">L </t>
        </is>
      </c>
      <c r="C705" s="97" t="inlineStr">
        <is>
          <t>1-34 Bulan</t>
        </is>
      </c>
      <c r="D705" s="97" t="n">
        <v>6</v>
      </c>
      <c r="E705" s="97" t="n">
        <v>60</v>
      </c>
      <c r="F705" s="97" t="inlineStr">
        <is>
          <t>Risiko Lebih</t>
        </is>
      </c>
      <c r="G705" s="97" t="inlineStr">
        <is>
          <t>Normal</t>
        </is>
      </c>
      <c r="H705" s="97" t="inlineStr">
        <is>
          <t>Gizi Baik</t>
        </is>
      </c>
      <c r="I705" s="97" t="inlineStr">
        <is>
          <t>Ya</t>
        </is>
      </c>
      <c r="J705" s="97" t="inlineStr">
        <is>
          <t>Tidak</t>
        </is>
      </c>
    </row>
    <row r="706" ht="15.75" customHeight="1" s="95">
      <c r="A706" s="97" t="inlineStr">
        <is>
          <t>anonymus0705</t>
        </is>
      </c>
      <c r="B706" s="97" t="inlineStr">
        <is>
          <t>L</t>
        </is>
      </c>
      <c r="C706" s="97" t="inlineStr">
        <is>
          <t>35-69 Bulan</t>
        </is>
      </c>
      <c r="D706" s="97" t="n">
        <v>13.5</v>
      </c>
      <c r="E706" s="97" t="n">
        <v>96</v>
      </c>
      <c r="F706" s="97" t="inlineStr">
        <is>
          <t>Kurang</t>
        </is>
      </c>
      <c r="G706" s="97" t="inlineStr">
        <is>
          <t>Pendek</t>
        </is>
      </c>
      <c r="H706" s="97" t="inlineStr">
        <is>
          <t>Gizi Baik</t>
        </is>
      </c>
      <c r="I706" s="97" t="inlineStr">
        <is>
          <t>Ya</t>
        </is>
      </c>
      <c r="J706" s="97" t="inlineStr">
        <is>
          <t>Potensi Stunting</t>
        </is>
      </c>
    </row>
    <row r="707" ht="15.75" customHeight="1" s="95">
      <c r="A707" s="97" t="inlineStr">
        <is>
          <t>anonymus0706</t>
        </is>
      </c>
      <c r="B707" s="97" t="inlineStr">
        <is>
          <t>P</t>
        </is>
      </c>
      <c r="C707" s="97" t="inlineStr">
        <is>
          <t>1-34 Bulan</t>
        </is>
      </c>
      <c r="D707" s="97" t="n">
        <v>12.3</v>
      </c>
      <c r="E707" s="97" t="n">
        <v>86</v>
      </c>
      <c r="F707" s="97" t="inlineStr">
        <is>
          <t>Normal</t>
        </is>
      </c>
      <c r="G707" s="97" t="inlineStr">
        <is>
          <t>Normal</t>
        </is>
      </c>
      <c r="H707" s="97" t="inlineStr">
        <is>
          <t>Gizi Baik</t>
        </is>
      </c>
      <c r="I707" s="97" t="inlineStr">
        <is>
          <t>Ya</t>
        </is>
      </c>
      <c r="J707" s="97" t="inlineStr">
        <is>
          <t>Tidak</t>
        </is>
      </c>
    </row>
    <row r="708" ht="15.75" customHeight="1" s="95">
      <c r="A708" s="97" t="inlineStr">
        <is>
          <t>anonymus0707</t>
        </is>
      </c>
      <c r="B708" s="97" t="inlineStr">
        <is>
          <t>L</t>
        </is>
      </c>
      <c r="C708" s="97" t="inlineStr">
        <is>
          <t>1-34 Bulan</t>
        </is>
      </c>
      <c r="D708" s="97" t="n">
        <v>14.7</v>
      </c>
      <c r="E708" s="97" t="n">
        <v>88</v>
      </c>
      <c r="F708" s="97" t="inlineStr">
        <is>
          <t>Normal</t>
        </is>
      </c>
      <c r="G708" s="97" t="inlineStr">
        <is>
          <t>Normal</t>
        </is>
      </c>
      <c r="H708" s="97" t="inlineStr">
        <is>
          <t>Gizi Baik</t>
        </is>
      </c>
      <c r="I708" s="97" t="inlineStr">
        <is>
          <t>Ya</t>
        </is>
      </c>
      <c r="J708" s="97" t="inlineStr">
        <is>
          <t>Tidak</t>
        </is>
      </c>
    </row>
    <row r="709" ht="15.75" customHeight="1" s="95">
      <c r="A709" s="97" t="inlineStr">
        <is>
          <t>anonymus0708</t>
        </is>
      </c>
      <c r="B709" s="97" t="inlineStr">
        <is>
          <t xml:space="preserve">L </t>
        </is>
      </c>
      <c r="C709" s="97" t="inlineStr">
        <is>
          <t>1-34 Bulan</t>
        </is>
      </c>
      <c r="D709" s="97" t="inlineStr">
        <is>
          <t>7.6</t>
        </is>
      </c>
      <c r="E709" s="97" t="n">
        <v>71</v>
      </c>
      <c r="F709" s="97" t="inlineStr">
        <is>
          <t>Normal</t>
        </is>
      </c>
      <c r="G709" s="97" t="inlineStr">
        <is>
          <t>Normal</t>
        </is>
      </c>
      <c r="H709" s="97" t="inlineStr">
        <is>
          <t>Gizi Baik</t>
        </is>
      </c>
      <c r="I709" s="97" t="inlineStr">
        <is>
          <t>Ya</t>
        </is>
      </c>
      <c r="J709" s="97" t="inlineStr">
        <is>
          <t>Tidak</t>
        </is>
      </c>
    </row>
    <row r="710" ht="15.75" customHeight="1" s="95">
      <c r="A710" s="97" t="inlineStr">
        <is>
          <t>anonymus0709</t>
        </is>
      </c>
      <c r="B710" s="97" t="inlineStr">
        <is>
          <t>L</t>
        </is>
      </c>
      <c r="C710" s="97" t="inlineStr">
        <is>
          <t>1-34 Bulan</t>
        </is>
      </c>
      <c r="D710" s="97" t="n">
        <v>10.3</v>
      </c>
      <c r="E710" s="97" t="n">
        <v>74</v>
      </c>
      <c r="F710" s="97" t="inlineStr">
        <is>
          <t>Normal</t>
        </is>
      </c>
      <c r="G710" s="97" t="inlineStr">
        <is>
          <t>Normal</t>
        </is>
      </c>
      <c r="H710" s="97" t="inlineStr">
        <is>
          <t>Gizi Baik</t>
        </is>
      </c>
      <c r="I710" s="97" t="inlineStr">
        <is>
          <t>Ya</t>
        </is>
      </c>
      <c r="J710" s="97" t="inlineStr">
        <is>
          <t>Tidak</t>
        </is>
      </c>
    </row>
    <row r="711" ht="15.75" customHeight="1" s="95">
      <c r="A711" s="97" t="inlineStr">
        <is>
          <t>anonymus0710</t>
        </is>
      </c>
      <c r="B711" s="97" t="inlineStr">
        <is>
          <t>P</t>
        </is>
      </c>
      <c r="C711" s="97" t="inlineStr">
        <is>
          <t>35-69 Bulan</t>
        </is>
      </c>
      <c r="D711" s="97" t="n">
        <v>19.9</v>
      </c>
      <c r="E711" s="97" t="n">
        <v>99</v>
      </c>
      <c r="F711" s="97" t="inlineStr">
        <is>
          <t>Risiko Lebih</t>
        </is>
      </c>
      <c r="G711" s="97" t="inlineStr">
        <is>
          <t>Normal</t>
        </is>
      </c>
      <c r="H711" s="97" t="inlineStr">
        <is>
          <t>Gizi Lebih</t>
        </is>
      </c>
      <c r="I711" s="97" t="inlineStr">
        <is>
          <t>Ya</t>
        </is>
      </c>
      <c r="J711" s="97" t="inlineStr">
        <is>
          <t>Tidak</t>
        </is>
      </c>
    </row>
    <row r="712" ht="15.75" customHeight="1" s="95">
      <c r="A712" s="97" t="inlineStr">
        <is>
          <t>anonymus0711</t>
        </is>
      </c>
      <c r="B712" s="97" t="inlineStr">
        <is>
          <t xml:space="preserve">P </t>
        </is>
      </c>
      <c r="C712" s="97" t="inlineStr">
        <is>
          <t>1-34 Bulan</t>
        </is>
      </c>
      <c r="D712" s="97" t="inlineStr">
        <is>
          <t>11.7</t>
        </is>
      </c>
      <c r="E712" s="97" t="n">
        <v>86</v>
      </c>
      <c r="F712" s="97" t="inlineStr">
        <is>
          <t>Normal</t>
        </is>
      </c>
      <c r="G712" s="97" t="inlineStr">
        <is>
          <t>Normal</t>
        </is>
      </c>
      <c r="H712" s="97" t="inlineStr">
        <is>
          <t>Gizi Baik</t>
        </is>
      </c>
      <c r="I712" s="97" t="inlineStr">
        <is>
          <t>Ya</t>
        </is>
      </c>
      <c r="J712" s="97" t="inlineStr">
        <is>
          <t>Tidak</t>
        </is>
      </c>
    </row>
    <row r="713" ht="15.75" customHeight="1" s="95">
      <c r="A713" s="97" t="inlineStr">
        <is>
          <t>anonymus0712</t>
        </is>
      </c>
      <c r="B713" s="97" t="inlineStr">
        <is>
          <t>P</t>
        </is>
      </c>
      <c r="C713" s="97" t="inlineStr">
        <is>
          <t>1-34 Bulan</t>
        </is>
      </c>
      <c r="D713" s="97" t="n">
        <v>12.9</v>
      </c>
      <c r="E713" s="97" t="n">
        <v>90</v>
      </c>
      <c r="F713" s="97" t="inlineStr">
        <is>
          <t>Normal</t>
        </is>
      </c>
      <c r="G713" s="97" t="inlineStr">
        <is>
          <t>Normal</t>
        </is>
      </c>
      <c r="H713" s="97" t="inlineStr">
        <is>
          <t>Gizi Baik</t>
        </is>
      </c>
      <c r="I713" s="97" t="inlineStr">
        <is>
          <t>Ya</t>
        </is>
      </c>
      <c r="J713" s="97" t="inlineStr">
        <is>
          <t>Tidak</t>
        </is>
      </c>
    </row>
    <row r="714" ht="15.75" customHeight="1" s="95">
      <c r="A714" s="97" t="inlineStr">
        <is>
          <t>anonymus0713</t>
        </is>
      </c>
      <c r="B714" s="97" t="inlineStr">
        <is>
          <t>L</t>
        </is>
      </c>
      <c r="C714" s="97" t="inlineStr">
        <is>
          <t>1-34 Bulan</t>
        </is>
      </c>
      <c r="D714" s="97" t="n">
        <v>3</v>
      </c>
      <c r="E714" s="97" t="n">
        <v>50</v>
      </c>
      <c r="F714" s="97" t="inlineStr">
        <is>
          <t>Kurang</t>
        </is>
      </c>
      <c r="G714" s="97" t="inlineStr">
        <is>
          <t>Pendek</t>
        </is>
      </c>
      <c r="H714" s="97" t="inlineStr">
        <is>
          <t>Gizi Baik</t>
        </is>
      </c>
      <c r="I714" s="97" t="inlineStr">
        <is>
          <t>Ya</t>
        </is>
      </c>
      <c r="J714" s="97" t="inlineStr">
        <is>
          <t>Potensi Stunting</t>
        </is>
      </c>
    </row>
    <row r="715" ht="15.75" customHeight="1" s="95">
      <c r="A715" s="97" t="inlineStr">
        <is>
          <t>anonymus0714</t>
        </is>
      </c>
      <c r="B715" s="97" t="inlineStr">
        <is>
          <t>P</t>
        </is>
      </c>
      <c r="C715" s="97" t="inlineStr">
        <is>
          <t>35-69 Bulan</t>
        </is>
      </c>
      <c r="D715" s="97" t="n">
        <v>11</v>
      </c>
      <c r="E715" s="97" t="n">
        <v>85</v>
      </c>
      <c r="F715" s="97" t="inlineStr">
        <is>
          <t>Normal</t>
        </is>
      </c>
      <c r="G715" s="97" t="inlineStr">
        <is>
          <t>Pendek</t>
        </is>
      </c>
      <c r="H715" s="97" t="inlineStr">
        <is>
          <t>Gizi Baik</t>
        </is>
      </c>
      <c r="I715" s="97" t="inlineStr">
        <is>
          <t>Ya</t>
        </is>
      </c>
      <c r="J715" s="97" t="inlineStr">
        <is>
          <t>Potensi Stunting</t>
        </is>
      </c>
    </row>
    <row r="716" ht="15.75" customHeight="1" s="95">
      <c r="A716" s="97" t="inlineStr">
        <is>
          <t>anonymus0715</t>
        </is>
      </c>
      <c r="B716" s="97" t="inlineStr">
        <is>
          <t xml:space="preserve">L </t>
        </is>
      </c>
      <c r="C716" s="97" t="inlineStr">
        <is>
          <t>1-34 Bulan</t>
        </is>
      </c>
      <c r="D716" s="97" t="n">
        <v>10</v>
      </c>
      <c r="E716" s="97" t="n">
        <v>76</v>
      </c>
      <c r="F716" s="97" t="inlineStr">
        <is>
          <t>Normal</t>
        </is>
      </c>
      <c r="G716" s="97" t="inlineStr">
        <is>
          <t>Pendek</t>
        </is>
      </c>
      <c r="H716" s="97" t="inlineStr">
        <is>
          <t>Gizi Baik</t>
        </is>
      </c>
      <c r="I716" s="97" t="inlineStr">
        <is>
          <t>Ya</t>
        </is>
      </c>
      <c r="J716" s="97" t="inlineStr">
        <is>
          <t>Potensi Stunting</t>
        </is>
      </c>
    </row>
    <row r="717" ht="15.75" customHeight="1" s="95">
      <c r="A717" s="97" t="inlineStr">
        <is>
          <t>anonymus0716</t>
        </is>
      </c>
      <c r="B717" s="97" t="inlineStr">
        <is>
          <t>L</t>
        </is>
      </c>
      <c r="C717" s="97" t="inlineStr">
        <is>
          <t>35-69 Bulan</t>
        </is>
      </c>
      <c r="D717" s="97" t="n">
        <v>12</v>
      </c>
      <c r="E717" s="97" t="n">
        <v>95</v>
      </c>
      <c r="F717" s="97" t="inlineStr">
        <is>
          <t>Kurang</t>
        </is>
      </c>
      <c r="G717" s="97" t="inlineStr">
        <is>
          <t>Normal</t>
        </is>
      </c>
      <c r="H717" s="97" t="inlineStr">
        <is>
          <t>Gizi Kurang</t>
        </is>
      </c>
      <c r="I717" s="97" t="inlineStr">
        <is>
          <t>Ya</t>
        </is>
      </c>
      <c r="J717" s="97" t="inlineStr">
        <is>
          <t>Tidak</t>
        </is>
      </c>
    </row>
    <row r="718" ht="15.75" customHeight="1" s="95">
      <c r="A718" s="97" t="inlineStr">
        <is>
          <t>anonymus0717</t>
        </is>
      </c>
      <c r="B718" s="97" t="inlineStr">
        <is>
          <t>L</t>
        </is>
      </c>
      <c r="C718" s="97" t="inlineStr">
        <is>
          <t>1-34 Bulan</t>
        </is>
      </c>
      <c r="D718" s="97" t="n">
        <v>10.7</v>
      </c>
      <c r="E718" s="97" t="n">
        <v>73</v>
      </c>
      <c r="F718" s="97" t="inlineStr">
        <is>
          <t>Normal</t>
        </is>
      </c>
      <c r="G718" s="97" t="inlineStr">
        <is>
          <t>Normal</t>
        </is>
      </c>
      <c r="H718" s="97" t="inlineStr">
        <is>
          <t>Gizi Baik</t>
        </is>
      </c>
      <c r="I718" s="97" t="inlineStr">
        <is>
          <t>Ya</t>
        </is>
      </c>
      <c r="J718" s="97" t="inlineStr">
        <is>
          <t>Tidak</t>
        </is>
      </c>
    </row>
    <row r="719" ht="15.75" customHeight="1" s="95">
      <c r="A719" s="97" t="inlineStr">
        <is>
          <t>anonymus0718</t>
        </is>
      </c>
      <c r="B719" s="97" t="inlineStr">
        <is>
          <t>P</t>
        </is>
      </c>
      <c r="C719" s="97" t="inlineStr">
        <is>
          <t>35-69 Bulan</t>
        </is>
      </c>
      <c r="D719" s="97" t="n">
        <v>12.2</v>
      </c>
      <c r="E719" s="97" t="n">
        <v>99</v>
      </c>
      <c r="F719" s="97" t="inlineStr">
        <is>
          <t>Normal</t>
        </is>
      </c>
      <c r="G719" s="97" t="inlineStr">
        <is>
          <t>Normal</t>
        </is>
      </c>
      <c r="H719" s="97" t="inlineStr">
        <is>
          <t>Gizi Kurang</t>
        </is>
      </c>
      <c r="I719" s="97" t="inlineStr">
        <is>
          <t>Ya</t>
        </is>
      </c>
      <c r="J719" s="97" t="inlineStr">
        <is>
          <t>Tidak</t>
        </is>
      </c>
    </row>
    <row r="720" ht="15.75" customHeight="1" s="95">
      <c r="A720" s="97" t="inlineStr">
        <is>
          <t>anonymus0719</t>
        </is>
      </c>
      <c r="B720" s="97" t="inlineStr">
        <is>
          <t>P</t>
        </is>
      </c>
      <c r="C720" s="97" t="inlineStr">
        <is>
          <t>35-69 Bulan</t>
        </is>
      </c>
      <c r="D720" s="97" t="n">
        <v>11.4</v>
      </c>
      <c r="E720" s="97" t="n">
        <v>106</v>
      </c>
      <c r="F720" s="97" t="inlineStr">
        <is>
          <t>Normal</t>
        </is>
      </c>
      <c r="G720" s="97" t="inlineStr">
        <is>
          <t>Normal</t>
        </is>
      </c>
      <c r="H720" s="97" t="inlineStr">
        <is>
          <t>Gizi Baik</t>
        </is>
      </c>
      <c r="I720" s="97" t="inlineStr">
        <is>
          <t>Ya</t>
        </is>
      </c>
      <c r="J720" s="97" t="inlineStr">
        <is>
          <t>Tidak</t>
        </is>
      </c>
    </row>
    <row r="721" ht="15.75" customHeight="1" s="95">
      <c r="A721" s="97" t="inlineStr">
        <is>
          <t>anonymus0720</t>
        </is>
      </c>
      <c r="B721" s="97" t="inlineStr">
        <is>
          <t xml:space="preserve">L </t>
        </is>
      </c>
      <c r="C721" s="97" t="inlineStr">
        <is>
          <t>35-69 Bulan</t>
        </is>
      </c>
      <c r="D721" s="97" t="inlineStr">
        <is>
          <t>15.3</t>
        </is>
      </c>
      <c r="E721" s="97" t="n">
        <v>100</v>
      </c>
      <c r="F721" s="97" t="inlineStr">
        <is>
          <t>Normal</t>
        </is>
      </c>
      <c r="G721" s="97" t="inlineStr">
        <is>
          <t>Normal</t>
        </is>
      </c>
      <c r="H721" s="97" t="inlineStr">
        <is>
          <t>Gizi Baik</t>
        </is>
      </c>
      <c r="I721" s="97" t="inlineStr">
        <is>
          <t>Ya</t>
        </is>
      </c>
      <c r="J721" s="97" t="inlineStr">
        <is>
          <t>Tidak</t>
        </is>
      </c>
    </row>
    <row r="722" ht="15.75" customHeight="1" s="95">
      <c r="A722" s="97" t="inlineStr">
        <is>
          <t>anonymus0721</t>
        </is>
      </c>
      <c r="B722" s="97" t="inlineStr">
        <is>
          <t xml:space="preserve">L </t>
        </is>
      </c>
      <c r="C722" s="97" t="inlineStr">
        <is>
          <t>35-69 Bulan</t>
        </is>
      </c>
      <c r="D722" s="97" t="inlineStr">
        <is>
          <t>13.7</t>
        </is>
      </c>
      <c r="E722" s="97" t="n">
        <v>97</v>
      </c>
      <c r="F722" s="97" t="inlineStr">
        <is>
          <t>Normal</t>
        </is>
      </c>
      <c r="G722" s="97" t="inlineStr">
        <is>
          <t>Normal</t>
        </is>
      </c>
      <c r="H722" s="97" t="inlineStr">
        <is>
          <t>Gizi Baik</t>
        </is>
      </c>
      <c r="I722" s="97" t="inlineStr">
        <is>
          <t>Ya</t>
        </is>
      </c>
      <c r="J722" s="97" t="inlineStr">
        <is>
          <t>Tidak</t>
        </is>
      </c>
    </row>
    <row r="723" ht="15.75" customHeight="1" s="95">
      <c r="A723" s="97" t="inlineStr">
        <is>
          <t>anonymus0722</t>
        </is>
      </c>
      <c r="B723" s="97" t="inlineStr">
        <is>
          <t>L</t>
        </is>
      </c>
      <c r="C723" s="97" t="inlineStr">
        <is>
          <t>35-69 Bulan</t>
        </is>
      </c>
      <c r="D723" s="97" t="n">
        <v>19.7</v>
      </c>
      <c r="E723" s="97" t="n">
        <v>114</v>
      </c>
      <c r="F723" s="97" t="inlineStr">
        <is>
          <t>Risiko Lebih</t>
        </is>
      </c>
      <c r="G723" s="97" t="inlineStr">
        <is>
          <t>Normal</t>
        </is>
      </c>
      <c r="H723" s="97" t="inlineStr">
        <is>
          <t>Gizi Lebih</t>
        </is>
      </c>
      <c r="I723" s="97" t="inlineStr">
        <is>
          <t>Ya</t>
        </is>
      </c>
      <c r="J723" s="97" t="inlineStr">
        <is>
          <t>Tidak</t>
        </is>
      </c>
    </row>
    <row r="724" ht="15.75" customHeight="1" s="95">
      <c r="A724" s="97" t="inlineStr">
        <is>
          <t>anonymus0723</t>
        </is>
      </c>
      <c r="B724" s="97" t="inlineStr">
        <is>
          <t>L</t>
        </is>
      </c>
      <c r="C724" s="97" t="inlineStr">
        <is>
          <t>1-34 Bulan</t>
        </is>
      </c>
      <c r="D724" s="97" t="n">
        <v>6.9</v>
      </c>
      <c r="E724" s="97" t="n">
        <v>76</v>
      </c>
      <c r="F724" s="97" t="inlineStr">
        <is>
          <t>Kurang</t>
        </is>
      </c>
      <c r="G724" s="97" t="inlineStr">
        <is>
          <t>Normal</t>
        </is>
      </c>
      <c r="H724" s="97" t="inlineStr">
        <is>
          <t>Gizi Kurang</t>
        </is>
      </c>
      <c r="I724" s="97" t="inlineStr">
        <is>
          <t>Ya</t>
        </is>
      </c>
      <c r="J724" s="97" t="inlineStr">
        <is>
          <t>Tidak</t>
        </is>
      </c>
    </row>
    <row r="725" ht="15.75" customHeight="1" s="95">
      <c r="A725" s="97" t="inlineStr">
        <is>
          <t>anonymus0724</t>
        </is>
      </c>
      <c r="B725" s="97" t="inlineStr">
        <is>
          <t xml:space="preserve">P </t>
        </is>
      </c>
      <c r="C725" s="97" t="inlineStr">
        <is>
          <t>1-34 Bulan</t>
        </is>
      </c>
      <c r="D725" s="97" t="inlineStr">
        <is>
          <t>13.9</t>
        </is>
      </c>
      <c r="E725" s="97" t="n">
        <v>81</v>
      </c>
      <c r="F725" s="97" t="inlineStr">
        <is>
          <t>Risiko Lebih</t>
        </is>
      </c>
      <c r="G725" s="97" t="inlineStr">
        <is>
          <t>Normal</t>
        </is>
      </c>
      <c r="H725" s="97" t="inlineStr">
        <is>
          <t>Obesitas</t>
        </is>
      </c>
      <c r="I725" s="97" t="inlineStr">
        <is>
          <t>Ya</t>
        </is>
      </c>
      <c r="J725" s="97" t="inlineStr">
        <is>
          <t>Tidak</t>
        </is>
      </c>
    </row>
    <row r="726" ht="15.75" customHeight="1" s="95">
      <c r="A726" s="97" t="inlineStr">
        <is>
          <t>anonymus0725</t>
        </is>
      </c>
      <c r="B726" s="97" t="inlineStr">
        <is>
          <t>P</t>
        </is>
      </c>
      <c r="C726" s="97" t="inlineStr">
        <is>
          <t>1-34 Bulan</t>
        </is>
      </c>
      <c r="D726" s="97" t="n">
        <v>9.6</v>
      </c>
      <c r="E726" s="97" t="n">
        <v>87</v>
      </c>
      <c r="F726" s="97" t="inlineStr">
        <is>
          <t>Normal</t>
        </is>
      </c>
      <c r="G726" s="97" t="inlineStr">
        <is>
          <t>Normal</t>
        </is>
      </c>
      <c r="H726" s="97" t="inlineStr">
        <is>
          <t>Gizi Baik</t>
        </is>
      </c>
      <c r="I726" s="97" t="inlineStr">
        <is>
          <t>Ya</t>
        </is>
      </c>
      <c r="J726" s="97" t="inlineStr">
        <is>
          <t>Tidak</t>
        </is>
      </c>
    </row>
    <row r="727" ht="15.75" customHeight="1" s="95">
      <c r="A727" s="97" t="inlineStr">
        <is>
          <t>anonymus0726</t>
        </is>
      </c>
      <c r="B727" s="97" t="inlineStr">
        <is>
          <t xml:space="preserve">L </t>
        </is>
      </c>
      <c r="C727" s="97" t="inlineStr">
        <is>
          <t>35-69 Bulan</t>
        </is>
      </c>
      <c r="D727" s="97" t="inlineStr">
        <is>
          <t>10.8</t>
        </is>
      </c>
      <c r="E727" s="97" t="n">
        <v>86</v>
      </c>
      <c r="F727" s="97" t="inlineStr">
        <is>
          <t>Normal</t>
        </is>
      </c>
      <c r="G727" s="97" t="inlineStr">
        <is>
          <t>Normal</t>
        </is>
      </c>
      <c r="H727" s="97" t="inlineStr">
        <is>
          <t>Gizi Baik</t>
        </is>
      </c>
      <c r="I727" s="97" t="inlineStr">
        <is>
          <t>Ya</t>
        </is>
      </c>
      <c r="J727" s="97" t="inlineStr">
        <is>
          <t>Tidak</t>
        </is>
      </c>
    </row>
    <row r="728" ht="15.75" customHeight="1" s="95">
      <c r="A728" s="97" t="inlineStr">
        <is>
          <t>anonymus0727</t>
        </is>
      </c>
      <c r="B728" s="97" t="inlineStr">
        <is>
          <t>L</t>
        </is>
      </c>
      <c r="C728" s="97" t="inlineStr">
        <is>
          <t>1-34 Bulan</t>
        </is>
      </c>
      <c r="D728" s="97" t="n">
        <v>6.6</v>
      </c>
      <c r="E728" s="97" t="n">
        <v>65</v>
      </c>
      <c r="F728" s="97" t="inlineStr">
        <is>
          <t>Kurang</t>
        </is>
      </c>
      <c r="G728" s="97" t="inlineStr">
        <is>
          <t>Sangat Pendek</t>
        </is>
      </c>
      <c r="H728" s="97" t="inlineStr">
        <is>
          <t>Gizi Baik</t>
        </is>
      </c>
      <c r="I728" s="97" t="inlineStr">
        <is>
          <t>Ya</t>
        </is>
      </c>
      <c r="J728" s="97" t="inlineStr">
        <is>
          <t>Stunting</t>
        </is>
      </c>
    </row>
    <row r="729" ht="15.75" customHeight="1" s="95">
      <c r="A729" s="97" t="inlineStr">
        <is>
          <t>anonymus0728</t>
        </is>
      </c>
      <c r="B729" s="97" t="inlineStr">
        <is>
          <t>L</t>
        </is>
      </c>
      <c r="C729" s="97" t="inlineStr">
        <is>
          <t>35-69 Bulan</t>
        </is>
      </c>
      <c r="D729" s="97" t="n">
        <v>12.4</v>
      </c>
      <c r="E729" s="97" t="n">
        <v>98</v>
      </c>
      <c r="F729" s="97" t="inlineStr">
        <is>
          <t>Normal</t>
        </is>
      </c>
      <c r="G729" s="97" t="inlineStr">
        <is>
          <t>Normal</t>
        </is>
      </c>
      <c r="H729" s="97" t="inlineStr">
        <is>
          <t>Gizi Kurang</t>
        </is>
      </c>
      <c r="I729" s="97" t="inlineStr">
        <is>
          <t>Ya</t>
        </is>
      </c>
      <c r="J729" s="97" t="inlineStr">
        <is>
          <t>Tidak</t>
        </is>
      </c>
    </row>
    <row r="730" ht="15.75" customHeight="1" s="95">
      <c r="A730" s="97" t="inlineStr">
        <is>
          <t>anonymus0729</t>
        </is>
      </c>
      <c r="B730" s="97" t="inlineStr">
        <is>
          <t xml:space="preserve">P </t>
        </is>
      </c>
      <c r="C730" s="97" t="inlineStr">
        <is>
          <t>35-69 Bulan</t>
        </is>
      </c>
      <c r="D730" s="97" t="inlineStr">
        <is>
          <t>13.6</t>
        </is>
      </c>
      <c r="E730" s="97" t="n">
        <v>102</v>
      </c>
      <c r="F730" s="97" t="inlineStr">
        <is>
          <t>Normal</t>
        </is>
      </c>
      <c r="G730" s="97" t="inlineStr">
        <is>
          <t>Normal</t>
        </is>
      </c>
      <c r="H730" s="97" t="inlineStr">
        <is>
          <t>Gizi Baik</t>
        </is>
      </c>
      <c r="I730" s="97" t="inlineStr">
        <is>
          <t>Ya</t>
        </is>
      </c>
      <c r="J730" s="97" t="inlineStr">
        <is>
          <t>Tidak</t>
        </is>
      </c>
    </row>
    <row r="731" ht="15.75" customHeight="1" s="95">
      <c r="A731" s="97" t="inlineStr">
        <is>
          <t>anonymus0730</t>
        </is>
      </c>
      <c r="B731" s="97" t="inlineStr">
        <is>
          <t xml:space="preserve">P </t>
        </is>
      </c>
      <c r="C731" s="97" t="inlineStr">
        <is>
          <t>1-34 Bulan</t>
        </is>
      </c>
      <c r="D731" s="97" t="inlineStr">
        <is>
          <t>8.1</t>
        </is>
      </c>
      <c r="E731" s="97" t="n">
        <v>69</v>
      </c>
      <c r="F731" s="97" t="inlineStr">
        <is>
          <t>Normal</t>
        </is>
      </c>
      <c r="G731" s="97" t="inlineStr">
        <is>
          <t>Normal</t>
        </is>
      </c>
      <c r="H731" s="97" t="inlineStr">
        <is>
          <t>Gizi Baik</t>
        </is>
      </c>
      <c r="I731" s="97" t="inlineStr">
        <is>
          <t>Ya</t>
        </is>
      </c>
      <c r="J731" s="97" t="inlineStr">
        <is>
          <t>Tidak</t>
        </is>
      </c>
    </row>
    <row r="732" ht="15.75" customHeight="1" s="95">
      <c r="A732" s="97" t="inlineStr">
        <is>
          <t>anonymus0731</t>
        </is>
      </c>
      <c r="B732" s="97" t="inlineStr">
        <is>
          <t>L</t>
        </is>
      </c>
      <c r="C732" s="97" t="inlineStr">
        <is>
          <t>1-34 Bulan</t>
        </is>
      </c>
      <c r="D732" s="97" t="n">
        <v>10.5</v>
      </c>
      <c r="E732" s="97" t="n">
        <v>76</v>
      </c>
      <c r="F732" s="97" t="inlineStr">
        <is>
          <t>Normal</t>
        </is>
      </c>
      <c r="G732" s="97" t="inlineStr">
        <is>
          <t>Pendek</t>
        </is>
      </c>
      <c r="H732" s="97" t="inlineStr">
        <is>
          <t>Gizi Baik</t>
        </is>
      </c>
      <c r="I732" s="97" t="inlineStr">
        <is>
          <t>Ya</t>
        </is>
      </c>
      <c r="J732" s="97" t="inlineStr">
        <is>
          <t>Potensi Stunting</t>
        </is>
      </c>
    </row>
    <row r="733" ht="15.75" customHeight="1" s="95">
      <c r="A733" s="97" t="inlineStr">
        <is>
          <t>anonymus0732</t>
        </is>
      </c>
      <c r="B733" s="97" t="inlineStr">
        <is>
          <t>P</t>
        </is>
      </c>
      <c r="C733" s="97" t="inlineStr">
        <is>
          <t>35-69 Bulan</t>
        </is>
      </c>
      <c r="D733" s="97" t="n">
        <v>17.7</v>
      </c>
      <c r="E733" s="97" t="n">
        <v>114</v>
      </c>
      <c r="F733" s="97" t="inlineStr">
        <is>
          <t>Risiko Lebih</t>
        </is>
      </c>
      <c r="G733" s="97" t="inlineStr">
        <is>
          <t>Normal</t>
        </is>
      </c>
      <c r="H733" s="97" t="inlineStr">
        <is>
          <t>Gizi Lebih</t>
        </is>
      </c>
      <c r="I733" s="97" t="inlineStr">
        <is>
          <t>Ya</t>
        </is>
      </c>
      <c r="J733" s="97" t="inlineStr">
        <is>
          <t>Tidak</t>
        </is>
      </c>
    </row>
    <row r="734" ht="15.75" customHeight="1" s="95">
      <c r="A734" s="97" t="inlineStr">
        <is>
          <t>anonymus0733</t>
        </is>
      </c>
      <c r="B734" s="97" t="inlineStr">
        <is>
          <t xml:space="preserve">L </t>
        </is>
      </c>
      <c r="C734" s="97" t="inlineStr">
        <is>
          <t>35-69 Bulan</t>
        </is>
      </c>
      <c r="D734" s="97" t="n">
        <v>15</v>
      </c>
      <c r="E734" s="97" t="n">
        <v>99</v>
      </c>
      <c r="F734" s="97" t="inlineStr">
        <is>
          <t>Normal</t>
        </is>
      </c>
      <c r="G734" s="97" t="inlineStr">
        <is>
          <t>Normal</t>
        </is>
      </c>
      <c r="H734" s="97" t="inlineStr">
        <is>
          <t>Gizi Baik</t>
        </is>
      </c>
      <c r="I734" s="97" t="inlineStr">
        <is>
          <t>Ya</t>
        </is>
      </c>
      <c r="J734" s="97" t="inlineStr">
        <is>
          <t>Tidak</t>
        </is>
      </c>
    </row>
    <row r="735" ht="15.75" customHeight="1" s="95">
      <c r="A735" s="97" t="inlineStr">
        <is>
          <t>anonymus0734</t>
        </is>
      </c>
      <c r="B735" s="97" t="inlineStr">
        <is>
          <t xml:space="preserve">P </t>
        </is>
      </c>
      <c r="C735" s="97" t="inlineStr">
        <is>
          <t>1-34 Bulan</t>
        </is>
      </c>
      <c r="D735" s="97" t="inlineStr">
        <is>
          <t>13.1</t>
        </is>
      </c>
      <c r="E735" s="97" t="n">
        <v>90</v>
      </c>
      <c r="F735" s="97" t="inlineStr">
        <is>
          <t>Normal</t>
        </is>
      </c>
      <c r="G735" s="97" t="inlineStr">
        <is>
          <t>Normal</t>
        </is>
      </c>
      <c r="H735" s="97" t="inlineStr">
        <is>
          <t>Gizi Baik</t>
        </is>
      </c>
      <c r="I735" s="97" t="inlineStr">
        <is>
          <t>Ya</t>
        </is>
      </c>
      <c r="J735" s="97" t="inlineStr">
        <is>
          <t>Tidak</t>
        </is>
      </c>
    </row>
    <row r="736" ht="15.75" customHeight="1" s="95">
      <c r="A736" s="97" t="inlineStr">
        <is>
          <t>anonymus0735</t>
        </is>
      </c>
      <c r="B736" s="97" t="inlineStr">
        <is>
          <t xml:space="preserve">P </t>
        </is>
      </c>
      <c r="C736" s="97" t="inlineStr">
        <is>
          <t>35-69 Bulan</t>
        </is>
      </c>
      <c r="D736" s="97" t="n">
        <v>13</v>
      </c>
      <c r="E736" s="97" t="n">
        <v>104</v>
      </c>
      <c r="F736" s="97" t="inlineStr">
        <is>
          <t>Kurang</t>
        </is>
      </c>
      <c r="G736" s="97" t="inlineStr">
        <is>
          <t>Normal</t>
        </is>
      </c>
      <c r="H736" s="97" t="inlineStr">
        <is>
          <t>Gizi Kurang</t>
        </is>
      </c>
      <c r="I736" s="97" t="inlineStr">
        <is>
          <t>Ya</t>
        </is>
      </c>
      <c r="J736" s="97" t="inlineStr">
        <is>
          <t>Tidak</t>
        </is>
      </c>
    </row>
    <row r="737" ht="15.75" customHeight="1" s="95">
      <c r="A737" s="97" t="inlineStr">
        <is>
          <t>anonymus0736</t>
        </is>
      </c>
      <c r="B737" s="97" t="inlineStr">
        <is>
          <t xml:space="preserve">P </t>
        </is>
      </c>
      <c r="C737" s="97" t="inlineStr">
        <is>
          <t>35-69 Bulan</t>
        </is>
      </c>
      <c r="D737" s="97" t="inlineStr">
        <is>
          <t>17.2</t>
        </is>
      </c>
      <c r="E737" s="97" t="n">
        <v>107</v>
      </c>
      <c r="F737" s="97" t="inlineStr">
        <is>
          <t>Normal</t>
        </is>
      </c>
      <c r="G737" s="97" t="inlineStr">
        <is>
          <t>Normal</t>
        </is>
      </c>
      <c r="H737" s="97" t="inlineStr">
        <is>
          <t>Gizi Baik</t>
        </is>
      </c>
      <c r="I737" s="97" t="inlineStr">
        <is>
          <t>Ya</t>
        </is>
      </c>
      <c r="J737" s="97" t="inlineStr">
        <is>
          <t>Tidak</t>
        </is>
      </c>
    </row>
    <row r="738" ht="15.75" customHeight="1" s="95">
      <c r="A738" s="97" t="inlineStr">
        <is>
          <t>anonymus0737</t>
        </is>
      </c>
      <c r="B738" s="97" t="inlineStr">
        <is>
          <t>P</t>
        </is>
      </c>
      <c r="C738" s="97" t="inlineStr">
        <is>
          <t>35-69 Bulan</t>
        </is>
      </c>
      <c r="D738" s="97" t="n">
        <v>9.300000000000001</v>
      </c>
      <c r="E738" s="97" t="n">
        <v>89</v>
      </c>
      <c r="F738" s="97" t="inlineStr">
        <is>
          <t>Sangat Kurang</t>
        </is>
      </c>
      <c r="G738" s="97" t="inlineStr">
        <is>
          <t>Pendek</t>
        </is>
      </c>
      <c r="H738" s="97" t="inlineStr">
        <is>
          <t>Gizi Buruk</t>
        </is>
      </c>
      <c r="I738" s="97" t="inlineStr">
        <is>
          <t>Ya</t>
        </is>
      </c>
      <c r="J738" s="97" t="inlineStr">
        <is>
          <t>Potensi Stunting</t>
        </is>
      </c>
    </row>
    <row r="739" ht="15.75" customHeight="1" s="95">
      <c r="A739" s="97" t="inlineStr">
        <is>
          <t>anonymus0738</t>
        </is>
      </c>
      <c r="B739" s="97" t="inlineStr">
        <is>
          <t>P</t>
        </is>
      </c>
      <c r="C739" s="97" t="inlineStr">
        <is>
          <t>35-69 Bulan</t>
        </is>
      </c>
      <c r="D739" s="97" t="n">
        <v>9</v>
      </c>
      <c r="E739" s="97" t="n">
        <v>80</v>
      </c>
      <c r="F739" s="97" t="inlineStr">
        <is>
          <t>Kurang</t>
        </is>
      </c>
      <c r="G739" s="97" t="inlineStr">
        <is>
          <t>Pendek</t>
        </is>
      </c>
      <c r="H739" s="97" t="inlineStr">
        <is>
          <t>Gizi Baik</t>
        </is>
      </c>
      <c r="I739" s="97" t="inlineStr">
        <is>
          <t>Ya</t>
        </is>
      </c>
      <c r="J739" s="97" t="inlineStr">
        <is>
          <t>Potensi Stunting</t>
        </is>
      </c>
    </row>
    <row r="740" ht="15.75" customHeight="1" s="95">
      <c r="A740" s="97" t="inlineStr">
        <is>
          <t>anonymus0739</t>
        </is>
      </c>
      <c r="B740" s="97" t="inlineStr">
        <is>
          <t>P</t>
        </is>
      </c>
      <c r="C740" s="97" t="inlineStr">
        <is>
          <t>35-69 Bulan</t>
        </is>
      </c>
      <c r="D740" s="97" t="n">
        <v>12.6</v>
      </c>
      <c r="E740" s="97" t="n">
        <v>91</v>
      </c>
      <c r="F740" s="97" t="inlineStr">
        <is>
          <t>Normal</t>
        </is>
      </c>
      <c r="G740" s="97" t="inlineStr">
        <is>
          <t>Normal</t>
        </is>
      </c>
      <c r="H740" s="97" t="inlineStr">
        <is>
          <t>Gizi Baik</t>
        </is>
      </c>
      <c r="I740" s="97" t="inlineStr">
        <is>
          <t>Ya</t>
        </is>
      </c>
      <c r="J740" s="97" t="inlineStr">
        <is>
          <t>Tidak</t>
        </is>
      </c>
    </row>
    <row r="741" ht="15.75" customHeight="1" s="95">
      <c r="A741" s="97" t="inlineStr">
        <is>
          <t>anonymus0740</t>
        </is>
      </c>
      <c r="B741" s="97" t="inlineStr">
        <is>
          <t>L</t>
        </is>
      </c>
      <c r="C741" s="97" t="inlineStr">
        <is>
          <t>35-69 Bulan</t>
        </is>
      </c>
      <c r="D741" s="97" t="n">
        <v>11.4</v>
      </c>
      <c r="E741" s="97" t="n">
        <v>95</v>
      </c>
      <c r="F741" s="97" t="inlineStr">
        <is>
          <t>Normal</t>
        </is>
      </c>
      <c r="G741" s="97" t="inlineStr">
        <is>
          <t>Normal</t>
        </is>
      </c>
      <c r="H741" s="97" t="inlineStr">
        <is>
          <t>Gizi Baik</t>
        </is>
      </c>
      <c r="I741" s="97" t="inlineStr">
        <is>
          <t>Ya</t>
        </is>
      </c>
      <c r="J741" s="97" t="inlineStr">
        <is>
          <t>Tidak</t>
        </is>
      </c>
    </row>
    <row r="742" ht="15.75" customHeight="1" s="95">
      <c r="A742" s="97" t="inlineStr">
        <is>
          <t>anonymus0741</t>
        </is>
      </c>
      <c r="B742" s="97" t="inlineStr">
        <is>
          <t>P</t>
        </is>
      </c>
      <c r="C742" s="97" t="inlineStr">
        <is>
          <t>35-69 Bulan</t>
        </is>
      </c>
      <c r="D742" s="97" t="n">
        <v>9.1</v>
      </c>
      <c r="E742" s="97" t="n">
        <v>80</v>
      </c>
      <c r="F742" s="97" t="inlineStr">
        <is>
          <t>Kurang</t>
        </is>
      </c>
      <c r="G742" s="97" t="inlineStr">
        <is>
          <t>Pendek</t>
        </is>
      </c>
      <c r="H742" s="97" t="inlineStr">
        <is>
          <t>Gizi Baik</t>
        </is>
      </c>
      <c r="I742" s="97" t="inlineStr">
        <is>
          <t>Ya</t>
        </is>
      </c>
      <c r="J742" s="97" t="inlineStr">
        <is>
          <t>Potensi Stunting</t>
        </is>
      </c>
    </row>
    <row r="743" ht="15.75" customHeight="1" s="95">
      <c r="A743" s="97" t="inlineStr">
        <is>
          <t>anonymus0742</t>
        </is>
      </c>
      <c r="B743" s="97" t="inlineStr">
        <is>
          <t xml:space="preserve">L </t>
        </is>
      </c>
      <c r="C743" s="97" t="inlineStr">
        <is>
          <t>35-69 Bulan</t>
        </is>
      </c>
      <c r="D743" s="97" t="inlineStr">
        <is>
          <t>21.2</t>
        </is>
      </c>
      <c r="E743" s="97" t="n">
        <v>103</v>
      </c>
      <c r="F743" s="97" t="inlineStr">
        <is>
          <t>Risiko Lebih</t>
        </is>
      </c>
      <c r="G743" s="97" t="inlineStr">
        <is>
          <t>Normal</t>
        </is>
      </c>
      <c r="H743" s="97" t="inlineStr">
        <is>
          <t>Obesitas</t>
        </is>
      </c>
      <c r="I743" s="97" t="inlineStr">
        <is>
          <t>Ya</t>
        </is>
      </c>
      <c r="J743" s="97" t="inlineStr">
        <is>
          <t>Tidak</t>
        </is>
      </c>
    </row>
    <row r="744" ht="15.75" customHeight="1" s="95">
      <c r="A744" s="97" t="inlineStr">
        <is>
          <t>anonymus0743</t>
        </is>
      </c>
      <c r="B744" s="97" t="inlineStr">
        <is>
          <t xml:space="preserve">P </t>
        </is>
      </c>
      <c r="C744" s="97" t="inlineStr">
        <is>
          <t>35-69 Bulan</t>
        </is>
      </c>
      <c r="D744" s="97" t="n">
        <v>13</v>
      </c>
      <c r="E744" s="97" t="n">
        <v>104</v>
      </c>
      <c r="F744" s="97" t="inlineStr">
        <is>
          <t>Kurang</t>
        </is>
      </c>
      <c r="G744" s="97" t="inlineStr">
        <is>
          <t>Normal</t>
        </is>
      </c>
      <c r="H744" s="97" t="inlineStr">
        <is>
          <t>Gizi Baik</t>
        </is>
      </c>
      <c r="I744" s="97" t="inlineStr">
        <is>
          <t>Ya</t>
        </is>
      </c>
      <c r="J744" s="97" t="inlineStr">
        <is>
          <t>Tidak</t>
        </is>
      </c>
    </row>
    <row r="745" ht="15.75" customHeight="1" s="95">
      <c r="A745" s="97" t="inlineStr">
        <is>
          <t>anonymus0744</t>
        </is>
      </c>
      <c r="B745" s="97" t="inlineStr">
        <is>
          <t>P</t>
        </is>
      </c>
      <c r="C745" s="97" t="inlineStr">
        <is>
          <t>35-69 Bulan</t>
        </is>
      </c>
      <c r="D745" s="97" t="n">
        <v>12</v>
      </c>
      <c r="E745" s="97" t="n">
        <v>97</v>
      </c>
      <c r="F745" s="97" t="inlineStr">
        <is>
          <t>Kurang</t>
        </is>
      </c>
      <c r="G745" s="97" t="inlineStr">
        <is>
          <t>Normal</t>
        </is>
      </c>
      <c r="H745" s="97" t="inlineStr">
        <is>
          <t>Gizi Kurang</t>
        </is>
      </c>
      <c r="I745" s="97" t="inlineStr">
        <is>
          <t>Ya</t>
        </is>
      </c>
      <c r="J745" s="97" t="inlineStr">
        <is>
          <t>Tidak</t>
        </is>
      </c>
    </row>
    <row r="746" ht="15.75" customHeight="1" s="95">
      <c r="A746" s="97" t="inlineStr">
        <is>
          <t>anonymus0745</t>
        </is>
      </c>
      <c r="B746" s="97" t="inlineStr">
        <is>
          <t xml:space="preserve">P </t>
        </is>
      </c>
      <c r="C746" s="97" t="inlineStr">
        <is>
          <t>1-34 Bulan</t>
        </is>
      </c>
      <c r="D746" s="97" t="inlineStr">
        <is>
          <t>10.7</t>
        </is>
      </c>
      <c r="E746" s="97" t="n">
        <v>80</v>
      </c>
      <c r="F746" s="97" t="inlineStr">
        <is>
          <t>Normal</t>
        </is>
      </c>
      <c r="G746" s="97" t="inlineStr">
        <is>
          <t>Normal</t>
        </is>
      </c>
      <c r="H746" s="97" t="inlineStr">
        <is>
          <t>Gizi Baik</t>
        </is>
      </c>
      <c r="I746" s="97" t="inlineStr">
        <is>
          <t>Ya</t>
        </is>
      </c>
      <c r="J746" s="97" t="inlineStr">
        <is>
          <t>Tidak</t>
        </is>
      </c>
    </row>
    <row r="747" ht="15.75" customHeight="1" s="95">
      <c r="A747" s="97" t="inlineStr">
        <is>
          <t>anonymus0746</t>
        </is>
      </c>
      <c r="B747" s="97" t="inlineStr">
        <is>
          <t>L</t>
        </is>
      </c>
      <c r="C747" s="97" t="inlineStr">
        <is>
          <t>1-34 Bulan</t>
        </is>
      </c>
      <c r="D747" s="97" t="n">
        <v>8.800000000000001</v>
      </c>
      <c r="E747" s="97" t="n">
        <v>74</v>
      </c>
      <c r="F747" s="97" t="inlineStr">
        <is>
          <t>Normal</t>
        </is>
      </c>
      <c r="G747" s="97" t="inlineStr">
        <is>
          <t>Pendek</t>
        </is>
      </c>
      <c r="H747" s="97" t="inlineStr">
        <is>
          <t>Gizi Baik</t>
        </is>
      </c>
      <c r="I747" s="97" t="inlineStr">
        <is>
          <t>Ya</t>
        </is>
      </c>
      <c r="J747" s="97" t="inlineStr">
        <is>
          <t>Potensi Stunting</t>
        </is>
      </c>
    </row>
    <row r="748" ht="15.75" customHeight="1" s="95">
      <c r="A748" s="97" t="inlineStr">
        <is>
          <t>anonymus0747</t>
        </is>
      </c>
      <c r="B748" s="97" t="inlineStr">
        <is>
          <t>L</t>
        </is>
      </c>
      <c r="C748" s="97" t="inlineStr">
        <is>
          <t>35-69 Bulan</t>
        </is>
      </c>
      <c r="D748" s="97" t="n">
        <v>7.9</v>
      </c>
      <c r="E748" s="97" t="n">
        <v>80</v>
      </c>
      <c r="F748" s="97" t="inlineStr">
        <is>
          <t>Sangat Kurang</t>
        </is>
      </c>
      <c r="G748" s="97" t="inlineStr">
        <is>
          <t>Sangat Pendek</t>
        </is>
      </c>
      <c r="H748" s="97" t="inlineStr">
        <is>
          <t>Gizi Buruk</t>
        </is>
      </c>
      <c r="I748" s="97" t="inlineStr">
        <is>
          <t>Ya</t>
        </is>
      </c>
      <c r="J748" s="97" t="inlineStr">
        <is>
          <t>Stunting</t>
        </is>
      </c>
    </row>
    <row r="749" ht="15.75" customHeight="1" s="95">
      <c r="A749" s="97" t="inlineStr">
        <is>
          <t>anonymus0748</t>
        </is>
      </c>
      <c r="B749" s="97" t="inlineStr">
        <is>
          <t>P</t>
        </is>
      </c>
      <c r="C749" s="97" t="inlineStr">
        <is>
          <t>35-69 Bulan</t>
        </is>
      </c>
      <c r="D749" s="97" t="n">
        <v>11.3</v>
      </c>
      <c r="E749" s="97" t="n">
        <v>115</v>
      </c>
      <c r="F749" s="97" t="inlineStr">
        <is>
          <t>Normal</t>
        </is>
      </c>
      <c r="G749" s="97" t="inlineStr">
        <is>
          <t>Normal</t>
        </is>
      </c>
      <c r="H749" s="97" t="inlineStr">
        <is>
          <t>Gizi Baik</t>
        </is>
      </c>
      <c r="I749" s="97" t="inlineStr">
        <is>
          <t>Ya</t>
        </is>
      </c>
      <c r="J749" s="97" t="inlineStr">
        <is>
          <t>Tidak</t>
        </is>
      </c>
    </row>
    <row r="750" ht="15.75" customHeight="1" s="95">
      <c r="A750" s="97" t="inlineStr">
        <is>
          <t>anonymus0749</t>
        </is>
      </c>
      <c r="B750" s="97" t="inlineStr">
        <is>
          <t xml:space="preserve">L </t>
        </is>
      </c>
      <c r="C750" s="97" t="inlineStr">
        <is>
          <t>1-34 Bulan</t>
        </is>
      </c>
      <c r="D750" s="97" t="inlineStr">
        <is>
          <t>9.5</t>
        </is>
      </c>
      <c r="E750" s="97" t="n">
        <v>81</v>
      </c>
      <c r="F750" s="97" t="inlineStr">
        <is>
          <t>Kurang</t>
        </is>
      </c>
      <c r="G750" s="97" t="inlineStr">
        <is>
          <t>Sangat Pendek</t>
        </is>
      </c>
      <c r="H750" s="97" t="inlineStr">
        <is>
          <t>Gizi Baik</t>
        </is>
      </c>
      <c r="I750" s="97" t="inlineStr">
        <is>
          <t>Ya</t>
        </is>
      </c>
      <c r="J750" s="97" t="inlineStr">
        <is>
          <t>Stunting</t>
        </is>
      </c>
    </row>
    <row r="751" ht="15.75" customHeight="1" s="95">
      <c r="A751" s="97" t="inlineStr">
        <is>
          <t>anonymus0750</t>
        </is>
      </c>
      <c r="B751" s="97" t="inlineStr">
        <is>
          <t xml:space="preserve">P </t>
        </is>
      </c>
      <c r="C751" s="97" t="inlineStr">
        <is>
          <t>35-69 Bulan</t>
        </is>
      </c>
      <c r="D751" s="97" t="inlineStr">
        <is>
          <t>13.6</t>
        </is>
      </c>
      <c r="E751" s="97" t="n">
        <v>92</v>
      </c>
      <c r="F751" s="97" t="inlineStr">
        <is>
          <t>Normal</t>
        </is>
      </c>
      <c r="G751" s="97" t="inlineStr">
        <is>
          <t>Normal</t>
        </is>
      </c>
      <c r="H751" s="97" t="inlineStr">
        <is>
          <t>Gizi Baik</t>
        </is>
      </c>
      <c r="I751" s="97" t="inlineStr">
        <is>
          <t>Ya</t>
        </is>
      </c>
      <c r="J751" s="97" t="inlineStr">
        <is>
          <t>Tidak</t>
        </is>
      </c>
    </row>
    <row r="752" ht="15.75" customHeight="1" s="95">
      <c r="A752" s="97" t="inlineStr">
        <is>
          <t>anonymus0751</t>
        </is>
      </c>
      <c r="B752" s="97" t="inlineStr">
        <is>
          <t>P</t>
        </is>
      </c>
      <c r="C752" s="97" t="inlineStr">
        <is>
          <t>35-69 Bulan</t>
        </is>
      </c>
      <c r="D752" s="97" t="n">
        <v>12.6</v>
      </c>
      <c r="E752" s="97" t="n">
        <v>99.59999999999999</v>
      </c>
      <c r="F752" s="97" t="inlineStr">
        <is>
          <t>Normal</t>
        </is>
      </c>
      <c r="G752" s="97" t="inlineStr">
        <is>
          <t>Normal</t>
        </is>
      </c>
      <c r="H752" s="97" t="inlineStr">
        <is>
          <t>Gizi Kurang</t>
        </is>
      </c>
      <c r="I752" s="97" t="inlineStr">
        <is>
          <t>Ya</t>
        </is>
      </c>
      <c r="J752" s="97" t="inlineStr">
        <is>
          <t>Tidak</t>
        </is>
      </c>
    </row>
    <row r="753" ht="15.75" customHeight="1" s="95">
      <c r="A753" s="97" t="inlineStr">
        <is>
          <t>anonymus0752</t>
        </is>
      </c>
      <c r="B753" s="97" t="inlineStr">
        <is>
          <t>L</t>
        </is>
      </c>
      <c r="C753" s="97" t="inlineStr">
        <is>
          <t>35-69 Bulan</t>
        </is>
      </c>
      <c r="D753" s="97" t="n">
        <v>12.6</v>
      </c>
      <c r="E753" s="97" t="n">
        <v>93.2</v>
      </c>
      <c r="F753" s="97" t="inlineStr">
        <is>
          <t>Kurang</t>
        </is>
      </c>
      <c r="G753" s="97" t="inlineStr">
        <is>
          <t>Pendek</t>
        </is>
      </c>
      <c r="H753" s="97" t="inlineStr">
        <is>
          <t>Gizi Baik</t>
        </is>
      </c>
      <c r="I753" s="97" t="inlineStr">
        <is>
          <t>Ya</t>
        </is>
      </c>
      <c r="J753" s="97" t="inlineStr">
        <is>
          <t>Potensi Stunting</t>
        </is>
      </c>
    </row>
    <row r="754" ht="15.75" customHeight="1" s="95">
      <c r="A754" s="97" t="inlineStr">
        <is>
          <t>anonymus0753</t>
        </is>
      </c>
      <c r="B754" s="97" t="inlineStr">
        <is>
          <t xml:space="preserve">L </t>
        </is>
      </c>
      <c r="C754" s="97" t="inlineStr">
        <is>
          <t>35-69 Bulan</t>
        </is>
      </c>
      <c r="D754" s="97" t="inlineStr">
        <is>
          <t>11.1</t>
        </is>
      </c>
      <c r="E754" s="97" t="n">
        <v>93</v>
      </c>
      <c r="F754" s="97" t="inlineStr">
        <is>
          <t>Kurang</t>
        </is>
      </c>
      <c r="G754" s="97" t="inlineStr">
        <is>
          <t>Normal</t>
        </is>
      </c>
      <c r="H754" s="97" t="inlineStr">
        <is>
          <t>Gizi Kurang</t>
        </is>
      </c>
      <c r="I754" s="97" t="inlineStr">
        <is>
          <t>Ya</t>
        </is>
      </c>
      <c r="J754" s="97" t="inlineStr">
        <is>
          <t>Tidak</t>
        </is>
      </c>
    </row>
    <row r="755" ht="15.75" customHeight="1" s="95">
      <c r="A755" s="97" t="inlineStr">
        <is>
          <t>anonymus0754</t>
        </is>
      </c>
      <c r="B755" s="97" t="inlineStr">
        <is>
          <t>L</t>
        </is>
      </c>
      <c r="C755" s="97" t="inlineStr">
        <is>
          <t>1-34 Bulan</t>
        </is>
      </c>
      <c r="D755" s="97" t="n">
        <v>8</v>
      </c>
      <c r="E755" s="97" t="n">
        <v>89</v>
      </c>
      <c r="F755" s="97" t="inlineStr">
        <is>
          <t>Kurang</t>
        </is>
      </c>
      <c r="G755" s="97" t="inlineStr">
        <is>
          <t>Normal</t>
        </is>
      </c>
      <c r="H755" s="97" t="inlineStr">
        <is>
          <t>Gizi Kurang</t>
        </is>
      </c>
      <c r="I755" s="97" t="inlineStr">
        <is>
          <t>Ya</t>
        </is>
      </c>
      <c r="J755" s="97" t="inlineStr">
        <is>
          <t>Tidak</t>
        </is>
      </c>
    </row>
    <row r="756" ht="15.75" customHeight="1" s="95">
      <c r="A756" s="97" t="inlineStr">
        <is>
          <t>anonymus0755</t>
        </is>
      </c>
      <c r="B756" s="97" t="inlineStr">
        <is>
          <t xml:space="preserve">L </t>
        </is>
      </c>
      <c r="C756" s="97" t="inlineStr">
        <is>
          <t>1-34 Bulan</t>
        </is>
      </c>
      <c r="D756" s="97" t="inlineStr">
        <is>
          <t>5.2</t>
        </is>
      </c>
      <c r="E756" s="97" t="n">
        <v>55</v>
      </c>
      <c r="F756" s="97" t="inlineStr">
        <is>
          <t>Normal</t>
        </is>
      </c>
      <c r="G756" s="97" t="inlineStr">
        <is>
          <t>Normal</t>
        </is>
      </c>
      <c r="H756" s="97" t="inlineStr">
        <is>
          <t>Risiko Gizi Lebih</t>
        </is>
      </c>
      <c r="I756" s="97" t="inlineStr">
        <is>
          <t>Ya</t>
        </is>
      </c>
      <c r="J756" s="97" t="inlineStr">
        <is>
          <t>Tidak</t>
        </is>
      </c>
    </row>
    <row r="757" ht="15.75" customHeight="1" s="95">
      <c r="A757" s="97" t="inlineStr">
        <is>
          <t>anonymus0756</t>
        </is>
      </c>
      <c r="B757" s="97" t="inlineStr">
        <is>
          <t>L</t>
        </is>
      </c>
      <c r="C757" s="97" t="inlineStr">
        <is>
          <t>1-34 Bulan</t>
        </is>
      </c>
      <c r="D757" s="97" t="n">
        <v>4.1</v>
      </c>
      <c r="E757" s="97" t="n">
        <v>53</v>
      </c>
      <c r="F757" s="97" t="inlineStr">
        <is>
          <t>Normal</t>
        </is>
      </c>
      <c r="G757" s="97" t="inlineStr">
        <is>
          <t>Pendek</t>
        </is>
      </c>
      <c r="H757" s="97" t="inlineStr">
        <is>
          <t>Gizi Baik</t>
        </is>
      </c>
      <c r="I757" s="97" t="inlineStr">
        <is>
          <t>Ya</t>
        </is>
      </c>
      <c r="J757" s="97" t="inlineStr">
        <is>
          <t>Potensi Stunting</t>
        </is>
      </c>
    </row>
    <row r="758" ht="15.75" customHeight="1" s="95">
      <c r="A758" s="97" t="inlineStr">
        <is>
          <t>anonymus0757</t>
        </is>
      </c>
      <c r="B758" s="97" t="inlineStr">
        <is>
          <t>L</t>
        </is>
      </c>
      <c r="C758" s="97" t="inlineStr">
        <is>
          <t>35-69 Bulan</t>
        </is>
      </c>
      <c r="D758" s="97" t="n">
        <v>11.4</v>
      </c>
      <c r="E758" s="97" t="n">
        <v>114</v>
      </c>
      <c r="F758" s="97" t="inlineStr">
        <is>
          <t>Normal</t>
        </is>
      </c>
      <c r="G758" s="97" t="inlineStr">
        <is>
          <t>Normal</t>
        </is>
      </c>
      <c r="H758" s="97" t="inlineStr">
        <is>
          <t>Gizi Baik</t>
        </is>
      </c>
      <c r="I758" s="97" t="inlineStr">
        <is>
          <t>Ya</t>
        </is>
      </c>
      <c r="J758" s="97" t="inlineStr">
        <is>
          <t>Tidak</t>
        </is>
      </c>
    </row>
    <row r="759" ht="15.75" customHeight="1" s="95">
      <c r="A759" s="97" t="inlineStr">
        <is>
          <t>anonymus0758</t>
        </is>
      </c>
      <c r="B759" s="97" t="inlineStr">
        <is>
          <t>L</t>
        </is>
      </c>
      <c r="C759" s="97" t="inlineStr">
        <is>
          <t>1-34 Bulan</t>
        </is>
      </c>
      <c r="D759" s="97" t="n">
        <v>9.1</v>
      </c>
      <c r="E759" s="97" t="n">
        <v>76</v>
      </c>
      <c r="F759" s="97" t="inlineStr">
        <is>
          <t>Normal</t>
        </is>
      </c>
      <c r="G759" s="97" t="inlineStr">
        <is>
          <t>Normal</t>
        </is>
      </c>
      <c r="H759" s="97" t="inlineStr">
        <is>
          <t>Gizi Baik</t>
        </is>
      </c>
      <c r="I759" s="97" t="inlineStr">
        <is>
          <t>Ya</t>
        </is>
      </c>
      <c r="J759" s="97" t="inlineStr">
        <is>
          <t>Tidak</t>
        </is>
      </c>
    </row>
    <row r="760" ht="15.75" customHeight="1" s="95">
      <c r="A760" s="97" t="inlineStr">
        <is>
          <t>anonymus0759</t>
        </is>
      </c>
      <c r="B760" s="97" t="inlineStr">
        <is>
          <t>L</t>
        </is>
      </c>
      <c r="C760" s="97" t="inlineStr">
        <is>
          <t>35-69 Bulan</t>
        </is>
      </c>
      <c r="D760" s="97" t="n">
        <v>12.8</v>
      </c>
      <c r="E760" s="97" t="n">
        <v>104</v>
      </c>
      <c r="F760" s="97" t="inlineStr">
        <is>
          <t>Normal</t>
        </is>
      </c>
      <c r="G760" s="97" t="inlineStr">
        <is>
          <t>Normal</t>
        </is>
      </c>
      <c r="H760" s="97" t="inlineStr">
        <is>
          <t>Gizi Baik</t>
        </is>
      </c>
      <c r="I760" s="97" t="inlineStr">
        <is>
          <t>Ya</t>
        </is>
      </c>
      <c r="J760" s="97" t="inlineStr">
        <is>
          <t>Tidak</t>
        </is>
      </c>
    </row>
    <row r="761" ht="15.75" customHeight="1" s="95">
      <c r="A761" s="97" t="inlineStr">
        <is>
          <t>anonymus0760</t>
        </is>
      </c>
      <c r="B761" s="97" t="inlineStr">
        <is>
          <t>P</t>
        </is>
      </c>
      <c r="C761" s="97" t="inlineStr">
        <is>
          <t>1-34 Bulan</t>
        </is>
      </c>
      <c r="D761" s="97" t="n">
        <v>11.8</v>
      </c>
      <c r="E761" s="97" t="n">
        <v>93</v>
      </c>
      <c r="F761" s="97" t="inlineStr">
        <is>
          <t>Normal</t>
        </is>
      </c>
      <c r="G761" s="97" t="inlineStr">
        <is>
          <t>Normal</t>
        </is>
      </c>
      <c r="H761" s="97" t="inlineStr">
        <is>
          <t>Gizi Baik</t>
        </is>
      </c>
      <c r="I761" s="97" t="inlineStr">
        <is>
          <t>Ya</t>
        </is>
      </c>
      <c r="J761" s="97" t="inlineStr">
        <is>
          <t>Tidak</t>
        </is>
      </c>
    </row>
    <row r="762" ht="15.75" customHeight="1" s="95">
      <c r="A762" s="97" t="inlineStr">
        <is>
          <t>anonymus0761</t>
        </is>
      </c>
      <c r="B762" s="97" t="inlineStr">
        <is>
          <t>P</t>
        </is>
      </c>
      <c r="C762" s="97" t="inlineStr">
        <is>
          <t>35-69 Bulan</t>
        </is>
      </c>
      <c r="D762" s="97" t="n">
        <v>18.8</v>
      </c>
      <c r="E762" s="97" t="n">
        <v>101</v>
      </c>
      <c r="F762" s="97" t="inlineStr">
        <is>
          <t>Risiko Lebih</t>
        </is>
      </c>
      <c r="G762" s="97" t="inlineStr">
        <is>
          <t>Normal</t>
        </is>
      </c>
      <c r="H762" s="97" t="inlineStr">
        <is>
          <t>Gizi Lebih</t>
        </is>
      </c>
      <c r="I762" s="97" t="inlineStr">
        <is>
          <t>Ya</t>
        </is>
      </c>
      <c r="J762" s="97" t="inlineStr">
        <is>
          <t>Tidak</t>
        </is>
      </c>
    </row>
    <row r="763" ht="15.75" customHeight="1" s="95">
      <c r="A763" s="97" t="inlineStr">
        <is>
          <t>anonymus0762</t>
        </is>
      </c>
      <c r="B763" s="97" t="inlineStr">
        <is>
          <t>P</t>
        </is>
      </c>
      <c r="C763" s="97" t="inlineStr">
        <is>
          <t>35-69 Bulan</t>
        </is>
      </c>
      <c r="D763" s="97" t="n">
        <v>12.8</v>
      </c>
      <c r="E763" s="97" t="n">
        <v>91</v>
      </c>
      <c r="F763" s="97" t="inlineStr">
        <is>
          <t>Normal</t>
        </is>
      </c>
      <c r="G763" s="97" t="inlineStr">
        <is>
          <t>Normal</t>
        </is>
      </c>
      <c r="H763" s="97" t="inlineStr">
        <is>
          <t>Gizi Baik</t>
        </is>
      </c>
      <c r="I763" s="97" t="inlineStr">
        <is>
          <t>Ya</t>
        </is>
      </c>
      <c r="J763" s="97" t="inlineStr">
        <is>
          <t>Tidak</t>
        </is>
      </c>
    </row>
    <row r="764" ht="15.75" customHeight="1" s="95">
      <c r="A764" s="97" t="inlineStr">
        <is>
          <t>anonymus0763</t>
        </is>
      </c>
      <c r="B764" s="97" t="inlineStr">
        <is>
          <t>P</t>
        </is>
      </c>
      <c r="C764" s="97" t="inlineStr">
        <is>
          <t>1-34 Bulan</t>
        </is>
      </c>
      <c r="D764" s="97" t="n">
        <v>14.2</v>
      </c>
      <c r="E764" s="97" t="n">
        <v>95</v>
      </c>
      <c r="F764" s="97" t="inlineStr">
        <is>
          <t>Normal</t>
        </is>
      </c>
      <c r="G764" s="97" t="inlineStr">
        <is>
          <t>Normal</t>
        </is>
      </c>
      <c r="H764" s="97" t="inlineStr">
        <is>
          <t>Gizi Baik</t>
        </is>
      </c>
      <c r="I764" s="97" t="inlineStr">
        <is>
          <t>Ya</t>
        </is>
      </c>
      <c r="J764" s="97" t="inlineStr">
        <is>
          <t>Tidak</t>
        </is>
      </c>
    </row>
    <row r="765" ht="15.75" customHeight="1" s="95">
      <c r="A765" s="97" t="inlineStr">
        <is>
          <t>anonymus0764</t>
        </is>
      </c>
      <c r="B765" s="97" t="inlineStr">
        <is>
          <t>L</t>
        </is>
      </c>
      <c r="C765" s="97" t="inlineStr">
        <is>
          <t>1-34 Bulan</t>
        </is>
      </c>
      <c r="D765" s="97" t="n">
        <v>9</v>
      </c>
      <c r="E765" s="97" t="n">
        <v>84</v>
      </c>
      <c r="F765" s="97" t="inlineStr">
        <is>
          <t>Normal</t>
        </is>
      </c>
      <c r="G765" s="97" t="inlineStr">
        <is>
          <t>Normal</t>
        </is>
      </c>
      <c r="H765" s="97" t="inlineStr">
        <is>
          <t>Gizi Baik</t>
        </is>
      </c>
      <c r="I765" s="97" t="inlineStr">
        <is>
          <t>Ya</t>
        </is>
      </c>
      <c r="J765" s="97" t="inlineStr">
        <is>
          <t>Tidak</t>
        </is>
      </c>
    </row>
    <row r="766" ht="15.75" customHeight="1" s="95">
      <c r="A766" s="97" t="inlineStr">
        <is>
          <t>anonymus0765</t>
        </is>
      </c>
      <c r="B766" s="97" t="inlineStr">
        <is>
          <t>P</t>
        </is>
      </c>
      <c r="C766" s="97" t="inlineStr">
        <is>
          <t>35-69 Bulan</t>
        </is>
      </c>
      <c r="D766" s="97" t="n">
        <v>10.8</v>
      </c>
      <c r="E766" s="97" t="n">
        <v>86</v>
      </c>
      <c r="F766" s="97" t="inlineStr">
        <is>
          <t>Kurang</t>
        </is>
      </c>
      <c r="G766" s="97" t="inlineStr">
        <is>
          <t>Sangat Pendek</t>
        </is>
      </c>
      <c r="H766" s="97" t="inlineStr">
        <is>
          <t>Gizi Baik</t>
        </is>
      </c>
      <c r="I766" s="97" t="inlineStr">
        <is>
          <t>Tidak</t>
        </is>
      </c>
      <c r="J766" s="97" t="inlineStr">
        <is>
          <t>Stunting</t>
        </is>
      </c>
    </row>
    <row r="767" ht="15.75" customHeight="1" s="95">
      <c r="A767" s="97" t="inlineStr">
        <is>
          <t>anonymus0766</t>
        </is>
      </c>
      <c r="B767" s="97" t="inlineStr">
        <is>
          <t>P</t>
        </is>
      </c>
      <c r="C767" s="97" t="inlineStr">
        <is>
          <t>35-69 Bulan</t>
        </is>
      </c>
      <c r="D767" s="97" t="n">
        <v>18</v>
      </c>
      <c r="E767" s="97" t="n">
        <v>93</v>
      </c>
      <c r="F767" s="97" t="inlineStr">
        <is>
          <t>Risiko Lebih</t>
        </is>
      </c>
      <c r="G767" s="97" t="inlineStr">
        <is>
          <t>Normal</t>
        </is>
      </c>
      <c r="H767" s="97" t="inlineStr">
        <is>
          <t>Gizi Lebih</t>
        </is>
      </c>
      <c r="I767" s="97" t="inlineStr">
        <is>
          <t>Ya</t>
        </is>
      </c>
      <c r="J767" s="97" t="inlineStr">
        <is>
          <t>Tidak</t>
        </is>
      </c>
    </row>
    <row r="768" ht="15.75" customHeight="1" s="95">
      <c r="A768" s="97" t="inlineStr">
        <is>
          <t>anonymus0767</t>
        </is>
      </c>
      <c r="B768" s="97" t="inlineStr">
        <is>
          <t>L</t>
        </is>
      </c>
      <c r="C768" s="97" t="inlineStr">
        <is>
          <t>1-34 Bulan</t>
        </is>
      </c>
      <c r="D768" s="97" t="n">
        <v>9.300000000000001</v>
      </c>
      <c r="E768" s="97" t="n">
        <v>71</v>
      </c>
      <c r="F768" s="97" t="inlineStr">
        <is>
          <t>Normal</t>
        </is>
      </c>
      <c r="G768" s="97" t="inlineStr">
        <is>
          <t>Pendek</t>
        </is>
      </c>
      <c r="H768" s="97" t="inlineStr">
        <is>
          <t>Gizi Baik</t>
        </is>
      </c>
      <c r="I768" s="97" t="inlineStr">
        <is>
          <t>Ya</t>
        </is>
      </c>
      <c r="J768" s="97" t="inlineStr">
        <is>
          <t>Potensi Stunting</t>
        </is>
      </c>
    </row>
    <row r="769" ht="15.75" customHeight="1" s="95">
      <c r="A769" s="97" t="inlineStr">
        <is>
          <t>anonymus0768</t>
        </is>
      </c>
      <c r="B769" s="97" t="inlineStr">
        <is>
          <t>L</t>
        </is>
      </c>
      <c r="C769" s="97" t="inlineStr">
        <is>
          <t>35-69 Bulan</t>
        </is>
      </c>
      <c r="D769" s="97" t="n">
        <v>14.8</v>
      </c>
      <c r="E769" s="97" t="n">
        <v>103</v>
      </c>
      <c r="F769" s="97" t="inlineStr">
        <is>
          <t>Normal</t>
        </is>
      </c>
      <c r="G769" s="97" t="inlineStr">
        <is>
          <t>Normal</t>
        </is>
      </c>
      <c r="H769" s="97" t="inlineStr">
        <is>
          <t>Gizi Baik</t>
        </is>
      </c>
      <c r="I769" s="97" t="inlineStr">
        <is>
          <t>Ya</t>
        </is>
      </c>
      <c r="J769" s="97" t="inlineStr">
        <is>
          <t>Tidak</t>
        </is>
      </c>
    </row>
    <row r="770" ht="15.75" customHeight="1" s="95">
      <c r="A770" s="97" t="inlineStr">
        <is>
          <t>anonymus0769</t>
        </is>
      </c>
      <c r="B770" s="97" t="inlineStr">
        <is>
          <t>P</t>
        </is>
      </c>
      <c r="C770" s="97" t="inlineStr">
        <is>
          <t>1-34 Bulan</t>
        </is>
      </c>
      <c r="D770" s="97" t="n">
        <v>13</v>
      </c>
      <c r="E770" s="97" t="n">
        <v>77</v>
      </c>
      <c r="F770" s="97" t="inlineStr">
        <is>
          <t>Normal</t>
        </is>
      </c>
      <c r="G770" s="97" t="inlineStr">
        <is>
          <t>Normal</t>
        </is>
      </c>
      <c r="H770" s="97" t="inlineStr">
        <is>
          <t>Gizi Baik</t>
        </is>
      </c>
      <c r="I770" s="97" t="inlineStr">
        <is>
          <t>Ya</t>
        </is>
      </c>
      <c r="J770" s="97" t="inlineStr">
        <is>
          <t>Tidak</t>
        </is>
      </c>
    </row>
    <row r="771" ht="15.75" customHeight="1" s="95">
      <c r="A771" s="97" t="inlineStr">
        <is>
          <t>anonymus0770</t>
        </is>
      </c>
      <c r="B771" s="97" t="inlineStr">
        <is>
          <t>P</t>
        </is>
      </c>
      <c r="C771" s="97" t="inlineStr">
        <is>
          <t>1-34 Bulan</t>
        </is>
      </c>
      <c r="D771" s="97" t="n">
        <v>12.9</v>
      </c>
      <c r="E771" s="97" t="n">
        <v>72</v>
      </c>
      <c r="F771" s="97" t="inlineStr">
        <is>
          <t>Normal</t>
        </is>
      </c>
      <c r="G771" s="97" t="inlineStr">
        <is>
          <t>Normal</t>
        </is>
      </c>
      <c r="H771" s="97" t="inlineStr">
        <is>
          <t>Gizi Baik</t>
        </is>
      </c>
      <c r="I771" s="97" t="inlineStr">
        <is>
          <t>Ya</t>
        </is>
      </c>
      <c r="J771" s="97" t="inlineStr">
        <is>
          <t>Tidak</t>
        </is>
      </c>
    </row>
    <row r="772" ht="15.75" customHeight="1" s="95">
      <c r="A772" s="97" t="inlineStr">
        <is>
          <t>anonymus0771</t>
        </is>
      </c>
      <c r="B772" s="97" t="inlineStr">
        <is>
          <t>L</t>
        </is>
      </c>
      <c r="C772" s="97" t="inlineStr">
        <is>
          <t>1-34 Bulan</t>
        </is>
      </c>
      <c r="D772" s="97" t="n">
        <v>9.800000000000001</v>
      </c>
      <c r="E772" s="97" t="n">
        <v>76</v>
      </c>
      <c r="F772" s="97" t="inlineStr">
        <is>
          <t>Normal</t>
        </is>
      </c>
      <c r="G772" s="97" t="inlineStr">
        <is>
          <t>Pendek</t>
        </is>
      </c>
      <c r="H772" s="97" t="inlineStr">
        <is>
          <t>Gizi Baik</t>
        </is>
      </c>
      <c r="I772" s="97" t="inlineStr">
        <is>
          <t>Ya</t>
        </is>
      </c>
      <c r="J772" s="97" t="inlineStr">
        <is>
          <t>Potensi Stunting</t>
        </is>
      </c>
    </row>
    <row r="773" ht="15.75" customHeight="1" s="95">
      <c r="A773" s="97" t="inlineStr">
        <is>
          <t>anonymus0772</t>
        </is>
      </c>
      <c r="B773" s="97" t="inlineStr">
        <is>
          <t>L</t>
        </is>
      </c>
      <c r="C773" s="97" t="inlineStr">
        <is>
          <t>1-34 Bulan</t>
        </is>
      </c>
      <c r="D773" s="97" t="n">
        <v>2.5</v>
      </c>
      <c r="E773" s="97" t="n">
        <v>48</v>
      </c>
      <c r="F773" s="97" t="inlineStr">
        <is>
          <t>Sangat Kurang</t>
        </is>
      </c>
      <c r="G773" s="97" t="inlineStr">
        <is>
          <t>Pendek</t>
        </is>
      </c>
      <c r="H773" s="97" t="inlineStr">
        <is>
          <t>Gizi Kurang</t>
        </is>
      </c>
      <c r="I773" s="97" t="inlineStr">
        <is>
          <t>Ya</t>
        </is>
      </c>
      <c r="J773" s="97" t="inlineStr">
        <is>
          <t>Potensi Stunting</t>
        </is>
      </c>
    </row>
    <row r="774" ht="15.75" customHeight="1" s="95">
      <c r="A774" s="97" t="inlineStr">
        <is>
          <t>anonymus0773</t>
        </is>
      </c>
      <c r="B774" s="97" t="inlineStr">
        <is>
          <t xml:space="preserve">P </t>
        </is>
      </c>
      <c r="C774" s="97" t="inlineStr">
        <is>
          <t>1-34 Bulan</t>
        </is>
      </c>
      <c r="D774" s="97" t="n">
        <v>14</v>
      </c>
      <c r="E774" s="97" t="n">
        <v>96</v>
      </c>
      <c r="F774" s="97" t="inlineStr">
        <is>
          <t>Normal</t>
        </is>
      </c>
      <c r="G774" s="97" t="inlineStr">
        <is>
          <t>Normal</t>
        </is>
      </c>
      <c r="H774" s="97" t="inlineStr">
        <is>
          <t>Gizi Baik</t>
        </is>
      </c>
      <c r="I774" s="97" t="inlineStr">
        <is>
          <t>Ya</t>
        </is>
      </c>
      <c r="J774" s="97" t="inlineStr">
        <is>
          <t>Tidak</t>
        </is>
      </c>
    </row>
    <row r="775" ht="15.75" customHeight="1" s="95">
      <c r="A775" s="97" t="inlineStr">
        <is>
          <t>anonymus0774</t>
        </is>
      </c>
      <c r="B775" s="97" t="inlineStr">
        <is>
          <t xml:space="preserve">P </t>
        </is>
      </c>
      <c r="C775" s="97" t="inlineStr">
        <is>
          <t>35-69 Bulan</t>
        </is>
      </c>
      <c r="D775" s="97" t="inlineStr">
        <is>
          <t>12.2</t>
        </is>
      </c>
      <c r="E775" s="97" t="n">
        <v>96</v>
      </c>
      <c r="F775" s="97" t="inlineStr">
        <is>
          <t>Kurang</t>
        </is>
      </c>
      <c r="G775" s="97" t="inlineStr">
        <is>
          <t>Pendek</t>
        </is>
      </c>
      <c r="H775" s="97" t="inlineStr">
        <is>
          <t>Gizi Baik</t>
        </is>
      </c>
      <c r="I775" s="97" t="inlineStr">
        <is>
          <t>Ya</t>
        </is>
      </c>
      <c r="J775" s="97" t="inlineStr">
        <is>
          <t>Potensi Stunting</t>
        </is>
      </c>
    </row>
    <row r="776" ht="15.75" customHeight="1" s="95">
      <c r="A776" s="97" t="inlineStr">
        <is>
          <t>anonymus0775</t>
        </is>
      </c>
      <c r="B776" s="97" t="inlineStr">
        <is>
          <t>L</t>
        </is>
      </c>
      <c r="C776" s="97" t="inlineStr">
        <is>
          <t>1-34 Bulan</t>
        </is>
      </c>
      <c r="D776" s="97" t="n">
        <v>13.3</v>
      </c>
      <c r="E776" s="97" t="n">
        <v>76</v>
      </c>
      <c r="F776" s="97" t="inlineStr">
        <is>
          <t>Normal</t>
        </is>
      </c>
      <c r="G776" s="97" t="inlineStr">
        <is>
          <t>Normal</t>
        </is>
      </c>
      <c r="H776" s="97" t="inlineStr">
        <is>
          <t>Gizi Baik</t>
        </is>
      </c>
      <c r="I776" s="97" t="inlineStr">
        <is>
          <t>Ya</t>
        </is>
      </c>
      <c r="J776" s="97" t="inlineStr">
        <is>
          <t>Tidak</t>
        </is>
      </c>
    </row>
    <row r="777" ht="15.75" customHeight="1" s="95">
      <c r="A777" s="97" t="inlineStr">
        <is>
          <t>anonymus0776</t>
        </is>
      </c>
      <c r="B777" s="97" t="inlineStr">
        <is>
          <t>L</t>
        </is>
      </c>
      <c r="C777" s="97" t="inlineStr">
        <is>
          <t>1-34 Bulan</t>
        </is>
      </c>
      <c r="D777" s="97" t="n">
        <v>6.5</v>
      </c>
      <c r="E777" s="97" t="n">
        <v>65</v>
      </c>
      <c r="F777" s="97" t="inlineStr">
        <is>
          <t>Kurang</t>
        </is>
      </c>
      <c r="G777" s="97" t="inlineStr">
        <is>
          <t>Pendek</t>
        </is>
      </c>
      <c r="H777" s="97" t="inlineStr">
        <is>
          <t>Gizi Baik</t>
        </is>
      </c>
      <c r="I777" s="97" t="inlineStr">
        <is>
          <t>Ya</t>
        </is>
      </c>
      <c r="J777" s="97" t="inlineStr">
        <is>
          <t>Potensi Stunting</t>
        </is>
      </c>
    </row>
    <row r="778" ht="15.75" customHeight="1" s="95">
      <c r="A778" s="97" t="inlineStr">
        <is>
          <t>anonymus0777</t>
        </is>
      </c>
      <c r="B778" s="97" t="inlineStr">
        <is>
          <t xml:space="preserve">L </t>
        </is>
      </c>
      <c r="C778" s="97" t="inlineStr">
        <is>
          <t>1-34 Bulan</t>
        </is>
      </c>
      <c r="D778" s="97" t="inlineStr">
        <is>
          <t>13.4</t>
        </is>
      </c>
      <c r="E778" s="97" t="n">
        <v>87</v>
      </c>
      <c r="F778" s="97" t="inlineStr">
        <is>
          <t>Normal</t>
        </is>
      </c>
      <c r="G778" s="97" t="inlineStr">
        <is>
          <t>Normal</t>
        </is>
      </c>
      <c r="H778" s="97" t="inlineStr">
        <is>
          <t>Risiko Gizi Lebih</t>
        </is>
      </c>
      <c r="I778" s="97" t="inlineStr">
        <is>
          <t>Ya</t>
        </is>
      </c>
      <c r="J778" s="97" t="inlineStr">
        <is>
          <t>Tidak</t>
        </is>
      </c>
    </row>
    <row r="779" ht="15.75" customHeight="1" s="95">
      <c r="A779" s="97" t="inlineStr">
        <is>
          <t>anonymus0778</t>
        </is>
      </c>
      <c r="B779" s="97" t="inlineStr">
        <is>
          <t xml:space="preserve">P </t>
        </is>
      </c>
      <c r="C779" s="97" t="inlineStr">
        <is>
          <t>1-34 Bulan</t>
        </is>
      </c>
      <c r="D779" s="97" t="inlineStr">
        <is>
          <t>13.2</t>
        </is>
      </c>
      <c r="E779" s="97" t="n">
        <v>91</v>
      </c>
      <c r="F779" s="97" t="inlineStr">
        <is>
          <t>Risiko Lebih</t>
        </is>
      </c>
      <c r="G779" s="97" t="inlineStr">
        <is>
          <t>Normal</t>
        </is>
      </c>
      <c r="H779" s="97" t="inlineStr">
        <is>
          <t>Gizi Baik</t>
        </is>
      </c>
      <c r="I779" s="97" t="inlineStr">
        <is>
          <t>Ya</t>
        </is>
      </c>
      <c r="J779" s="97" t="inlineStr">
        <is>
          <t>Tidak</t>
        </is>
      </c>
    </row>
    <row r="780" ht="15.75" customHeight="1" s="95">
      <c r="A780" s="97" t="inlineStr">
        <is>
          <t>anonymus0779</t>
        </is>
      </c>
      <c r="B780" s="97" t="inlineStr">
        <is>
          <t xml:space="preserve">L </t>
        </is>
      </c>
      <c r="C780" s="97" t="inlineStr">
        <is>
          <t>1-34 Bulan</t>
        </is>
      </c>
      <c r="D780" s="97" t="inlineStr">
        <is>
          <t>10.3</t>
        </is>
      </c>
      <c r="E780" s="97" t="n">
        <v>87</v>
      </c>
      <c r="F780" s="97" t="inlineStr">
        <is>
          <t>Kurang</t>
        </is>
      </c>
      <c r="G780" s="97" t="inlineStr">
        <is>
          <t>Pendek</t>
        </is>
      </c>
      <c r="H780" s="97" t="inlineStr">
        <is>
          <t>Gizi Baik</t>
        </is>
      </c>
      <c r="I780" s="97" t="inlineStr">
        <is>
          <t>Ya</t>
        </is>
      </c>
      <c r="J780" s="97" t="inlineStr">
        <is>
          <t>Potensi Stunting</t>
        </is>
      </c>
    </row>
    <row r="781" ht="15.75" customHeight="1" s="95">
      <c r="A781" s="97" t="inlineStr">
        <is>
          <t>anonymus0780</t>
        </is>
      </c>
      <c r="B781" s="97" t="inlineStr">
        <is>
          <t>L</t>
        </is>
      </c>
      <c r="C781" s="97" t="inlineStr">
        <is>
          <t>1-34 Bulan</t>
        </is>
      </c>
      <c r="D781" s="97" t="n">
        <v>10.8</v>
      </c>
      <c r="E781" s="97" t="n">
        <v>77</v>
      </c>
      <c r="F781" s="97" t="inlineStr">
        <is>
          <t>Normal</t>
        </is>
      </c>
      <c r="G781" s="97" t="inlineStr">
        <is>
          <t>Pendek</t>
        </is>
      </c>
      <c r="H781" s="97" t="inlineStr">
        <is>
          <t>Gizi Baik</t>
        </is>
      </c>
      <c r="I781" s="97" t="inlineStr">
        <is>
          <t>Ya</t>
        </is>
      </c>
      <c r="J781" s="97" t="inlineStr">
        <is>
          <t>Potensi Stunting</t>
        </is>
      </c>
    </row>
    <row r="782" ht="15.75" customHeight="1" s="95">
      <c r="A782" s="97" t="inlineStr">
        <is>
          <t>anonymus0781</t>
        </is>
      </c>
      <c r="B782" s="97" t="inlineStr">
        <is>
          <t>P</t>
        </is>
      </c>
      <c r="C782" s="97" t="inlineStr">
        <is>
          <t>1-34 Bulan</t>
        </is>
      </c>
      <c r="D782" s="97" t="n">
        <v>10</v>
      </c>
      <c r="E782" s="97" t="n">
        <v>88</v>
      </c>
      <c r="F782" s="97" t="inlineStr">
        <is>
          <t>Normal</t>
        </is>
      </c>
      <c r="G782" s="97" t="inlineStr">
        <is>
          <t>Normal</t>
        </is>
      </c>
      <c r="H782" s="97" t="inlineStr">
        <is>
          <t>Gizi Kurang</t>
        </is>
      </c>
      <c r="I782" s="97" t="inlineStr">
        <is>
          <t>Ya</t>
        </is>
      </c>
      <c r="J782" s="97" t="inlineStr">
        <is>
          <t>Tidak</t>
        </is>
      </c>
    </row>
    <row r="783" ht="15.75" customHeight="1" s="95">
      <c r="A783" s="97" t="inlineStr">
        <is>
          <t>anonymus0782</t>
        </is>
      </c>
      <c r="B783" s="97" t="inlineStr">
        <is>
          <t>L</t>
        </is>
      </c>
      <c r="C783" s="97" t="inlineStr">
        <is>
          <t>1-34 Bulan</t>
        </is>
      </c>
      <c r="D783" s="97" t="n">
        <v>9.199999999999999</v>
      </c>
      <c r="E783" s="97" t="n">
        <v>77</v>
      </c>
      <c r="F783" s="97" t="inlineStr">
        <is>
          <t>Normal</t>
        </is>
      </c>
      <c r="G783" s="97" t="inlineStr">
        <is>
          <t>Normal</t>
        </is>
      </c>
      <c r="H783" s="97" t="inlineStr">
        <is>
          <t>Gizi Baik</t>
        </is>
      </c>
      <c r="I783" s="97" t="inlineStr">
        <is>
          <t>Ya</t>
        </is>
      </c>
      <c r="J783" s="97" t="inlineStr">
        <is>
          <t>Tidak</t>
        </is>
      </c>
    </row>
    <row r="784" ht="15.75" customHeight="1" s="95">
      <c r="A784" s="97" t="inlineStr">
        <is>
          <t>anonymus0783</t>
        </is>
      </c>
      <c r="B784" s="97" t="inlineStr">
        <is>
          <t>L</t>
        </is>
      </c>
      <c r="C784" s="97" t="inlineStr">
        <is>
          <t>1-34 Bulan</t>
        </is>
      </c>
      <c r="D784" s="97" t="n">
        <v>9.699999999999999</v>
      </c>
      <c r="E784" s="97" t="n">
        <v>84</v>
      </c>
      <c r="F784" s="97" t="inlineStr">
        <is>
          <t>Kurang</t>
        </is>
      </c>
      <c r="G784" s="97" t="inlineStr">
        <is>
          <t>Normal</t>
        </is>
      </c>
      <c r="H784" s="97" t="inlineStr">
        <is>
          <t>Gizi Kurang</t>
        </is>
      </c>
      <c r="I784" s="97" t="inlineStr">
        <is>
          <t>Ya</t>
        </is>
      </c>
      <c r="J784" s="97" t="inlineStr">
        <is>
          <t>Tidak</t>
        </is>
      </c>
    </row>
    <row r="785" ht="15.75" customHeight="1" s="95">
      <c r="A785" s="97" t="inlineStr">
        <is>
          <t>anonymus0784</t>
        </is>
      </c>
      <c r="B785" s="97" t="inlineStr">
        <is>
          <t xml:space="preserve">L </t>
        </is>
      </c>
      <c r="C785" s="97" t="inlineStr">
        <is>
          <t>1-34 Bulan</t>
        </is>
      </c>
      <c r="D785" s="97" t="inlineStr">
        <is>
          <t>8.7</t>
        </is>
      </c>
      <c r="E785" s="97" t="n">
        <v>74</v>
      </c>
      <c r="F785" s="97" t="inlineStr">
        <is>
          <t>Normal</t>
        </is>
      </c>
      <c r="G785" s="97" t="inlineStr">
        <is>
          <t>Normal</t>
        </is>
      </c>
      <c r="H785" s="97" t="inlineStr">
        <is>
          <t>Gizi Baik</t>
        </is>
      </c>
      <c r="I785" s="97" t="inlineStr">
        <is>
          <t>Ya</t>
        </is>
      </c>
      <c r="J785" s="97" t="inlineStr">
        <is>
          <t>Tidak</t>
        </is>
      </c>
    </row>
    <row r="786" ht="15.75" customHeight="1" s="95">
      <c r="A786" s="97" t="inlineStr">
        <is>
          <t>anonymus0785</t>
        </is>
      </c>
      <c r="B786" s="97" t="inlineStr">
        <is>
          <t xml:space="preserve">L </t>
        </is>
      </c>
      <c r="C786" s="97" t="inlineStr">
        <is>
          <t>35-69 Bulan</t>
        </is>
      </c>
      <c r="D786" s="97" t="inlineStr">
        <is>
          <t>14.5</t>
        </is>
      </c>
      <c r="E786" s="97" t="n">
        <v>103</v>
      </c>
      <c r="F786" s="97" t="inlineStr">
        <is>
          <t>Normal</t>
        </is>
      </c>
      <c r="G786" s="97" t="inlineStr">
        <is>
          <t>Normal</t>
        </is>
      </c>
      <c r="H786" s="97" t="inlineStr">
        <is>
          <t>Gizi Baik</t>
        </is>
      </c>
      <c r="I786" s="97" t="inlineStr">
        <is>
          <t>Ya</t>
        </is>
      </c>
      <c r="J786" s="97" t="inlineStr">
        <is>
          <t>Tidak</t>
        </is>
      </c>
    </row>
    <row r="787" ht="15.75" customHeight="1" s="95">
      <c r="A787" s="97" t="inlineStr">
        <is>
          <t>anonymus0786</t>
        </is>
      </c>
      <c r="B787" s="97" t="inlineStr">
        <is>
          <t>P</t>
        </is>
      </c>
      <c r="C787" s="97" t="inlineStr">
        <is>
          <t>35-69 Bulan</t>
        </is>
      </c>
      <c r="D787" s="97" t="n">
        <v>12</v>
      </c>
      <c r="E787" s="97" t="n">
        <v>94</v>
      </c>
      <c r="F787" s="97" t="inlineStr">
        <is>
          <t>Kurang</t>
        </is>
      </c>
      <c r="G787" s="97" t="inlineStr">
        <is>
          <t>Pendek</t>
        </is>
      </c>
      <c r="H787" s="97" t="inlineStr">
        <is>
          <t>Gizi Baik</t>
        </is>
      </c>
      <c r="I787" s="97" t="inlineStr">
        <is>
          <t>Ya</t>
        </is>
      </c>
      <c r="J787" s="97" t="inlineStr">
        <is>
          <t>Potensi Stunting</t>
        </is>
      </c>
    </row>
    <row r="788" ht="15.75" customHeight="1" s="95">
      <c r="A788" s="97" t="inlineStr">
        <is>
          <t>anonymus0787</t>
        </is>
      </c>
      <c r="B788" s="97" t="inlineStr">
        <is>
          <t xml:space="preserve">L </t>
        </is>
      </c>
      <c r="C788" s="97" t="inlineStr">
        <is>
          <t>1-34 Bulan</t>
        </is>
      </c>
      <c r="D788" s="97" t="n">
        <v>8</v>
      </c>
      <c r="E788" s="97" t="n">
        <v>68</v>
      </c>
      <c r="F788" s="97" t="inlineStr">
        <is>
          <t>Normal</t>
        </is>
      </c>
      <c r="G788" s="97" t="inlineStr">
        <is>
          <t>Normal</t>
        </is>
      </c>
      <c r="H788" s="97" t="inlineStr">
        <is>
          <t>Gizi Baik</t>
        </is>
      </c>
      <c r="I788" s="97" t="inlineStr">
        <is>
          <t>Ya</t>
        </is>
      </c>
      <c r="J788" s="97" t="inlineStr">
        <is>
          <t>Tidak</t>
        </is>
      </c>
    </row>
    <row r="789" ht="15.75" customHeight="1" s="95">
      <c r="A789" s="97" t="inlineStr">
        <is>
          <t>anonymus0788</t>
        </is>
      </c>
      <c r="B789" s="97" t="inlineStr">
        <is>
          <t>P</t>
        </is>
      </c>
      <c r="C789" s="97" t="inlineStr">
        <is>
          <t>1-34 Bulan</t>
        </is>
      </c>
      <c r="D789" s="97" t="n">
        <v>14.6</v>
      </c>
      <c r="E789" s="97" t="n">
        <v>77</v>
      </c>
      <c r="F789" s="97" t="inlineStr">
        <is>
          <t>Normal</t>
        </is>
      </c>
      <c r="G789" s="97" t="inlineStr">
        <is>
          <t>Normal</t>
        </is>
      </c>
      <c r="H789" s="97" t="inlineStr">
        <is>
          <t>Gizi Baik</t>
        </is>
      </c>
      <c r="I789" s="97" t="inlineStr">
        <is>
          <t>Ya</t>
        </is>
      </c>
      <c r="J789" s="97" t="inlineStr">
        <is>
          <t>Tidak</t>
        </is>
      </c>
    </row>
    <row r="790" ht="15.75" customHeight="1" s="95">
      <c r="A790" s="97" t="inlineStr">
        <is>
          <t>anonymus0789</t>
        </is>
      </c>
      <c r="B790" s="97" t="inlineStr">
        <is>
          <t xml:space="preserve">P </t>
        </is>
      </c>
      <c r="C790" s="97" t="inlineStr">
        <is>
          <t>1-34 Bulan</t>
        </is>
      </c>
      <c r="D790" s="97" t="inlineStr">
        <is>
          <t>5.4</t>
        </is>
      </c>
      <c r="E790" s="97" t="n">
        <v>59</v>
      </c>
      <c r="F790" s="97" t="inlineStr">
        <is>
          <t>Sangat Kurang</t>
        </is>
      </c>
      <c r="G790" s="97" t="inlineStr">
        <is>
          <t>Sangat Pendek</t>
        </is>
      </c>
      <c r="H790" s="97" t="inlineStr">
        <is>
          <t>Gizi Baik</t>
        </is>
      </c>
      <c r="I790" s="97" t="inlineStr">
        <is>
          <t>Ya</t>
        </is>
      </c>
      <c r="J790" s="97" t="inlineStr">
        <is>
          <t>Stunting</t>
        </is>
      </c>
    </row>
    <row r="791" ht="15.75" customHeight="1" s="95">
      <c r="A791" s="97" t="inlineStr">
        <is>
          <t>anonymus0790</t>
        </is>
      </c>
      <c r="B791" s="97" t="inlineStr">
        <is>
          <t xml:space="preserve">L </t>
        </is>
      </c>
      <c r="C791" s="97" t="inlineStr">
        <is>
          <t>1-34 Bulan</t>
        </is>
      </c>
      <c r="D791" s="97" t="n">
        <v>6</v>
      </c>
      <c r="E791" s="97" t="n">
        <v>60</v>
      </c>
      <c r="F791" s="97" t="inlineStr">
        <is>
          <t>Normal</t>
        </is>
      </c>
      <c r="G791" s="97" t="inlineStr">
        <is>
          <t>Normal</t>
        </is>
      </c>
      <c r="H791" s="97" t="inlineStr">
        <is>
          <t>Gizi Baik</t>
        </is>
      </c>
      <c r="I791" s="97" t="inlineStr">
        <is>
          <t>Ya</t>
        </is>
      </c>
      <c r="J791" s="97" t="inlineStr">
        <is>
          <t>Tidak</t>
        </is>
      </c>
    </row>
    <row r="792" ht="15.75" customHeight="1" s="95">
      <c r="A792" s="97" t="inlineStr">
        <is>
          <t>anonymus0791</t>
        </is>
      </c>
      <c r="B792" s="97" t="inlineStr">
        <is>
          <t>P</t>
        </is>
      </c>
      <c r="C792" s="97" t="inlineStr">
        <is>
          <t>1-34 Bulan</t>
        </is>
      </c>
      <c r="D792" s="97" t="n">
        <v>6.8</v>
      </c>
      <c r="E792" s="97" t="n">
        <v>82</v>
      </c>
      <c r="F792" s="97" t="inlineStr">
        <is>
          <t>Kurang</t>
        </is>
      </c>
      <c r="G792" s="97" t="inlineStr">
        <is>
          <t>Normal</t>
        </is>
      </c>
      <c r="H792" s="97" t="inlineStr">
        <is>
          <t>Gizi Kurang</t>
        </is>
      </c>
      <c r="I792" s="97" t="inlineStr">
        <is>
          <t>Ya</t>
        </is>
      </c>
      <c r="J792" s="97" t="inlineStr">
        <is>
          <t>Tidak</t>
        </is>
      </c>
    </row>
    <row r="793" ht="15.75" customHeight="1" s="95">
      <c r="A793" s="97" t="inlineStr">
        <is>
          <t>anonymus0792</t>
        </is>
      </c>
      <c r="B793" s="97" t="inlineStr">
        <is>
          <t>P</t>
        </is>
      </c>
      <c r="C793" s="97" t="inlineStr">
        <is>
          <t>35-69 Bulan</t>
        </is>
      </c>
      <c r="D793" s="97" t="n">
        <v>19.5</v>
      </c>
      <c r="E793" s="97" t="n">
        <v>116</v>
      </c>
      <c r="F793" s="97" t="inlineStr">
        <is>
          <t>Risiko Lebih</t>
        </is>
      </c>
      <c r="G793" s="97" t="inlineStr">
        <is>
          <t>Normal</t>
        </is>
      </c>
      <c r="H793" s="97" t="inlineStr">
        <is>
          <t>Gizi Lebih</t>
        </is>
      </c>
      <c r="I793" s="97" t="inlineStr">
        <is>
          <t>Ya</t>
        </is>
      </c>
      <c r="J793" s="97" t="inlineStr">
        <is>
          <t>Tidak</t>
        </is>
      </c>
    </row>
    <row r="794" ht="15.75" customHeight="1" s="95">
      <c r="A794" s="97" t="inlineStr">
        <is>
          <t>anonymus0793</t>
        </is>
      </c>
      <c r="B794" s="97" t="inlineStr">
        <is>
          <t>L</t>
        </is>
      </c>
      <c r="C794" s="97" t="inlineStr">
        <is>
          <t>35-69 Bulan</t>
        </is>
      </c>
      <c r="D794" s="97" t="n">
        <v>14.2</v>
      </c>
      <c r="E794" s="97" t="n">
        <v>109</v>
      </c>
      <c r="F794" s="97" t="inlineStr">
        <is>
          <t>Normal</t>
        </is>
      </c>
      <c r="G794" s="97" t="inlineStr">
        <is>
          <t>Normal</t>
        </is>
      </c>
      <c r="H794" s="97" t="inlineStr">
        <is>
          <t>Gizi Baik</t>
        </is>
      </c>
      <c r="I794" s="97" t="inlineStr">
        <is>
          <t>Ya</t>
        </is>
      </c>
      <c r="J794" s="97" t="inlineStr">
        <is>
          <t>Tidak</t>
        </is>
      </c>
    </row>
    <row r="795" ht="15.75" customHeight="1" s="95">
      <c r="A795" s="97" t="inlineStr">
        <is>
          <t>anonymus0794</t>
        </is>
      </c>
      <c r="B795" s="97" t="inlineStr">
        <is>
          <t xml:space="preserve">L </t>
        </is>
      </c>
      <c r="C795" s="97" t="inlineStr">
        <is>
          <t>35-69 Bulan</t>
        </is>
      </c>
      <c r="D795" s="97" t="inlineStr">
        <is>
          <t>15.3</t>
        </is>
      </c>
      <c r="E795" s="97" t="n">
        <v>101</v>
      </c>
      <c r="F795" s="97" t="inlineStr">
        <is>
          <t>Normal</t>
        </is>
      </c>
      <c r="G795" s="97" t="inlineStr">
        <is>
          <t>Normal</t>
        </is>
      </c>
      <c r="H795" s="97" t="inlineStr">
        <is>
          <t>Gizi Baik</t>
        </is>
      </c>
      <c r="I795" s="97" t="inlineStr">
        <is>
          <t>Ya</t>
        </is>
      </c>
      <c r="J795" s="97" t="inlineStr">
        <is>
          <t>Tidak</t>
        </is>
      </c>
    </row>
    <row r="796" ht="15.75" customHeight="1" s="95">
      <c r="A796" s="97" t="inlineStr">
        <is>
          <t>anonymus0795</t>
        </is>
      </c>
      <c r="B796" s="97" t="inlineStr">
        <is>
          <t>L</t>
        </is>
      </c>
      <c r="C796" s="97" t="inlineStr">
        <is>
          <t>35-69 Bulan</t>
        </is>
      </c>
      <c r="D796" s="97" t="n">
        <v>9.4</v>
      </c>
      <c r="E796" s="97" t="n">
        <v>85</v>
      </c>
      <c r="F796" s="97" t="inlineStr">
        <is>
          <t>Kurang</t>
        </is>
      </c>
      <c r="G796" s="97" t="inlineStr">
        <is>
          <t>Pendek</t>
        </is>
      </c>
      <c r="H796" s="97" t="inlineStr">
        <is>
          <t>Gizi Kurang</t>
        </is>
      </c>
      <c r="I796" s="97" t="inlineStr">
        <is>
          <t>Ya</t>
        </is>
      </c>
      <c r="J796" s="97" t="inlineStr">
        <is>
          <t>Potensi Stunting</t>
        </is>
      </c>
    </row>
    <row r="797" ht="15.75" customHeight="1" s="95">
      <c r="A797" s="97" t="inlineStr">
        <is>
          <t>anonymus0796</t>
        </is>
      </c>
      <c r="B797" s="97" t="inlineStr">
        <is>
          <t>P</t>
        </is>
      </c>
      <c r="C797" s="97" t="inlineStr">
        <is>
          <t>1-34 Bulan</t>
        </is>
      </c>
      <c r="D797" s="97" t="n">
        <v>12.5</v>
      </c>
      <c r="E797" s="97" t="n">
        <v>87</v>
      </c>
      <c r="F797" s="97" t="inlineStr">
        <is>
          <t>Normal</t>
        </is>
      </c>
      <c r="G797" s="97" t="inlineStr">
        <is>
          <t>Normal</t>
        </is>
      </c>
      <c r="H797" s="97" t="inlineStr">
        <is>
          <t>Gizi Baik</t>
        </is>
      </c>
      <c r="I797" s="97" t="inlineStr">
        <is>
          <t>Ya</t>
        </is>
      </c>
      <c r="J797" s="97" t="inlineStr">
        <is>
          <t>Tidak</t>
        </is>
      </c>
    </row>
    <row r="798" ht="15.75" customHeight="1" s="95">
      <c r="A798" s="97" t="inlineStr">
        <is>
          <t>anonymus0797</t>
        </is>
      </c>
      <c r="B798" s="97" t="inlineStr">
        <is>
          <t>P</t>
        </is>
      </c>
      <c r="C798" s="97" t="inlineStr">
        <is>
          <t>1-34 Bulan</t>
        </is>
      </c>
      <c r="D798" s="97" t="n">
        <v>7</v>
      </c>
      <c r="E798" s="97" t="n">
        <v>71.40000000000001</v>
      </c>
      <c r="F798" s="97" t="inlineStr">
        <is>
          <t>Kurang</t>
        </is>
      </c>
      <c r="G798" s="97" t="inlineStr">
        <is>
          <t>Pendek</t>
        </is>
      </c>
      <c r="H798" s="97" t="inlineStr">
        <is>
          <t>Gizi Kurang</t>
        </is>
      </c>
      <c r="I798" s="97" t="inlineStr">
        <is>
          <t>Ya</t>
        </is>
      </c>
      <c r="J798" s="97" t="inlineStr">
        <is>
          <t>Potensi Stunting</t>
        </is>
      </c>
    </row>
    <row r="799" ht="15.75" customHeight="1" s="95">
      <c r="A799" s="97" t="inlineStr">
        <is>
          <t>anonymus0798</t>
        </is>
      </c>
      <c r="B799" s="97" t="inlineStr">
        <is>
          <t xml:space="preserve">P </t>
        </is>
      </c>
      <c r="C799" s="97" t="inlineStr">
        <is>
          <t>1-34 Bulan</t>
        </is>
      </c>
      <c r="D799" s="97" t="inlineStr">
        <is>
          <t>12.9</t>
        </is>
      </c>
      <c r="E799" s="97" t="n">
        <v>91</v>
      </c>
      <c r="F799" s="97" t="inlineStr">
        <is>
          <t>Normal</t>
        </is>
      </c>
      <c r="G799" s="97" t="inlineStr">
        <is>
          <t>Normal</t>
        </is>
      </c>
      <c r="H799" s="97" t="inlineStr">
        <is>
          <t>Gizi Baik</t>
        </is>
      </c>
      <c r="I799" s="97" t="inlineStr">
        <is>
          <t>Ya</t>
        </is>
      </c>
      <c r="J799" s="97" t="inlineStr">
        <is>
          <t>Tidak</t>
        </is>
      </c>
    </row>
    <row r="800" ht="15.75" customHeight="1" s="95">
      <c r="A800" s="97" t="inlineStr">
        <is>
          <t>anonymus0799</t>
        </is>
      </c>
      <c r="B800" s="97" t="inlineStr">
        <is>
          <t>L</t>
        </is>
      </c>
      <c r="C800" s="97" t="inlineStr">
        <is>
          <t>35-69 Bulan</t>
        </is>
      </c>
      <c r="D800" s="97" t="n">
        <v>17</v>
      </c>
      <c r="E800" s="97" t="n">
        <v>103</v>
      </c>
      <c r="F800" s="97" t="inlineStr">
        <is>
          <t>Normal</t>
        </is>
      </c>
      <c r="G800" s="97" t="inlineStr">
        <is>
          <t>Normal</t>
        </is>
      </c>
      <c r="H800" s="97" t="inlineStr">
        <is>
          <t>Gizi Baik</t>
        </is>
      </c>
      <c r="I800" s="97" t="inlineStr">
        <is>
          <t>Ya</t>
        </is>
      </c>
      <c r="J800" s="97" t="inlineStr">
        <is>
          <t>Tidak</t>
        </is>
      </c>
    </row>
    <row r="801" ht="15.75" customHeight="1" s="95">
      <c r="A801" s="97" t="inlineStr">
        <is>
          <t>anonymus0800</t>
        </is>
      </c>
      <c r="B801" s="97" t="inlineStr">
        <is>
          <t xml:space="preserve">L </t>
        </is>
      </c>
      <c r="C801" s="97" t="inlineStr">
        <is>
          <t>1-34 Bulan</t>
        </is>
      </c>
      <c r="D801" s="97" t="inlineStr">
        <is>
          <t>12.9</t>
        </is>
      </c>
      <c r="E801" s="97" t="n">
        <v>88</v>
      </c>
      <c r="F801" s="97" t="inlineStr">
        <is>
          <t>Normal</t>
        </is>
      </c>
      <c r="G801" s="97" t="inlineStr">
        <is>
          <t>Normal</t>
        </is>
      </c>
      <c r="H801" s="97" t="inlineStr">
        <is>
          <t>Gizi Baik</t>
        </is>
      </c>
      <c r="I801" s="97" t="inlineStr">
        <is>
          <t>Ya</t>
        </is>
      </c>
      <c r="J801" s="97" t="inlineStr">
        <is>
          <t>Tidak</t>
        </is>
      </c>
    </row>
    <row r="802" ht="15.75" customHeight="1" s="95">
      <c r="A802" s="97" t="inlineStr">
        <is>
          <t>anonymus0801</t>
        </is>
      </c>
      <c r="B802" s="97" t="inlineStr">
        <is>
          <t xml:space="preserve">P </t>
        </is>
      </c>
      <c r="C802" s="97" t="inlineStr">
        <is>
          <t>1-34 Bulan</t>
        </is>
      </c>
      <c r="D802" s="97" t="n">
        <v>11</v>
      </c>
      <c r="E802" s="97" t="n">
        <v>80</v>
      </c>
      <c r="F802" s="97" t="inlineStr">
        <is>
          <t>Normal</t>
        </is>
      </c>
      <c r="G802" s="97" t="inlineStr">
        <is>
          <t>Normal</t>
        </is>
      </c>
      <c r="H802" s="97" t="inlineStr">
        <is>
          <t>Gizi Baik</t>
        </is>
      </c>
      <c r="I802" s="97" t="inlineStr">
        <is>
          <t>Ya</t>
        </is>
      </c>
      <c r="J802" s="97" t="inlineStr">
        <is>
          <t>Tidak</t>
        </is>
      </c>
    </row>
    <row r="803" ht="15.75" customHeight="1" s="95">
      <c r="A803" s="97" t="inlineStr">
        <is>
          <t>anonymus0802</t>
        </is>
      </c>
      <c r="B803" s="97" t="inlineStr">
        <is>
          <t>P</t>
        </is>
      </c>
      <c r="C803" s="97" t="inlineStr">
        <is>
          <t>1-34 Bulan</t>
        </is>
      </c>
      <c r="D803" s="97" t="n">
        <v>10.9</v>
      </c>
      <c r="E803" s="97" t="n">
        <v>92</v>
      </c>
      <c r="F803" s="97" t="inlineStr">
        <is>
          <t>Normal</t>
        </is>
      </c>
      <c r="G803" s="97" t="inlineStr">
        <is>
          <t>Normal</t>
        </is>
      </c>
      <c r="H803" s="97" t="inlineStr">
        <is>
          <t>Gizi Baik</t>
        </is>
      </c>
      <c r="I803" s="97" t="inlineStr">
        <is>
          <t>Ya</t>
        </is>
      </c>
      <c r="J803" s="97" t="inlineStr">
        <is>
          <t>Tidak</t>
        </is>
      </c>
    </row>
    <row r="804" ht="15.75" customHeight="1" s="95">
      <c r="A804" s="97" t="inlineStr">
        <is>
          <t>anonymus0803</t>
        </is>
      </c>
      <c r="B804" s="97" t="inlineStr">
        <is>
          <t xml:space="preserve">L </t>
        </is>
      </c>
      <c r="C804" s="97" t="inlineStr">
        <is>
          <t>1-34 Bulan</t>
        </is>
      </c>
      <c r="D804" s="97" t="n">
        <v>13</v>
      </c>
      <c r="E804" s="97" t="n">
        <v>87</v>
      </c>
      <c r="F804" s="97" t="inlineStr">
        <is>
          <t>Normal</t>
        </is>
      </c>
      <c r="G804" s="97" t="inlineStr">
        <is>
          <t>Normal</t>
        </is>
      </c>
      <c r="H804" s="97" t="inlineStr">
        <is>
          <t>Gizi Baik</t>
        </is>
      </c>
      <c r="I804" s="97" t="inlineStr">
        <is>
          <t>Ya</t>
        </is>
      </c>
      <c r="J804" s="97" t="inlineStr">
        <is>
          <t>Tidak</t>
        </is>
      </c>
    </row>
    <row r="805" ht="15.75" customHeight="1" s="95">
      <c r="A805" s="97" t="inlineStr">
        <is>
          <t>anonymus0804</t>
        </is>
      </c>
      <c r="B805" s="97" t="inlineStr">
        <is>
          <t>L</t>
        </is>
      </c>
      <c r="C805" s="97" t="inlineStr">
        <is>
          <t>1-34 Bulan</t>
        </is>
      </c>
      <c r="D805" s="97" t="n">
        <v>12.8</v>
      </c>
      <c r="E805" s="97" t="n">
        <v>91</v>
      </c>
      <c r="F805" s="97" t="inlineStr">
        <is>
          <t>Normal</t>
        </is>
      </c>
      <c r="G805" s="97" t="inlineStr">
        <is>
          <t>Normal</t>
        </is>
      </c>
      <c r="H805" s="97" t="inlineStr">
        <is>
          <t>Gizi Baik</t>
        </is>
      </c>
      <c r="I805" s="97" t="inlineStr">
        <is>
          <t>Ya</t>
        </is>
      </c>
      <c r="J805" s="97" t="inlineStr">
        <is>
          <t>Tidak</t>
        </is>
      </c>
    </row>
    <row r="806" ht="15.75" customHeight="1" s="95">
      <c r="A806" s="97" t="inlineStr">
        <is>
          <t>anonymus0805</t>
        </is>
      </c>
      <c r="B806" s="97" t="inlineStr">
        <is>
          <t xml:space="preserve">P </t>
        </is>
      </c>
      <c r="C806" s="97" t="inlineStr">
        <is>
          <t>35-69 Bulan</t>
        </is>
      </c>
      <c r="D806" s="97" t="inlineStr">
        <is>
          <t>16.2</t>
        </is>
      </c>
      <c r="E806" s="97" t="n">
        <v>102</v>
      </c>
      <c r="F806" s="97" t="inlineStr">
        <is>
          <t>Normal</t>
        </is>
      </c>
      <c r="G806" s="97" t="inlineStr">
        <is>
          <t>Normal</t>
        </is>
      </c>
      <c r="H806" s="97" t="inlineStr">
        <is>
          <t>Gizi Baik</t>
        </is>
      </c>
      <c r="I806" s="97" t="inlineStr">
        <is>
          <t>Ya</t>
        </is>
      </c>
      <c r="J806" s="97" t="inlineStr">
        <is>
          <t>Tidak</t>
        </is>
      </c>
    </row>
    <row r="807" ht="15.75" customHeight="1" s="95">
      <c r="A807" s="97" t="inlineStr">
        <is>
          <t>anonymus0806</t>
        </is>
      </c>
      <c r="B807" s="97" t="inlineStr">
        <is>
          <t>L</t>
        </is>
      </c>
      <c r="C807" s="97" t="inlineStr">
        <is>
          <t>1-34 Bulan</t>
        </is>
      </c>
      <c r="D807" s="97" t="n">
        <v>7.9</v>
      </c>
      <c r="E807" s="97" t="n">
        <v>90</v>
      </c>
      <c r="F807" s="97" t="inlineStr">
        <is>
          <t>Kurang</t>
        </is>
      </c>
      <c r="G807" s="97" t="inlineStr">
        <is>
          <t>Normal</t>
        </is>
      </c>
      <c r="H807" s="97" t="inlineStr">
        <is>
          <t>Gizi Kurang</t>
        </is>
      </c>
      <c r="I807" s="97" t="inlineStr">
        <is>
          <t>Ya</t>
        </is>
      </c>
      <c r="J807" s="97" t="inlineStr">
        <is>
          <t>Tidak</t>
        </is>
      </c>
    </row>
    <row r="808" ht="15.75" customHeight="1" s="95">
      <c r="A808" s="97" t="inlineStr">
        <is>
          <t>anonymus0807</t>
        </is>
      </c>
      <c r="B808" s="97" t="inlineStr">
        <is>
          <t>L</t>
        </is>
      </c>
      <c r="C808" s="97" t="inlineStr">
        <is>
          <t>35-69 Bulan</t>
        </is>
      </c>
      <c r="D808" s="97" t="n">
        <v>11.5</v>
      </c>
      <c r="E808" s="97" t="n">
        <v>93</v>
      </c>
      <c r="F808" s="97" t="inlineStr">
        <is>
          <t>Kurang</t>
        </is>
      </c>
      <c r="G808" s="97" t="inlineStr">
        <is>
          <t>Normal</t>
        </is>
      </c>
      <c r="H808" s="97" t="inlineStr">
        <is>
          <t>Gizi Kurang</t>
        </is>
      </c>
      <c r="I808" s="97" t="inlineStr">
        <is>
          <t>Ya</t>
        </is>
      </c>
      <c r="J808" s="97" t="inlineStr">
        <is>
          <t>Tidak</t>
        </is>
      </c>
    </row>
    <row r="809" ht="15.75" customHeight="1" s="95">
      <c r="A809" s="97" t="inlineStr">
        <is>
          <t>anonymus0808</t>
        </is>
      </c>
      <c r="B809" s="97" t="inlineStr">
        <is>
          <t>P</t>
        </is>
      </c>
      <c r="C809" s="97" t="inlineStr">
        <is>
          <t>35-69 Bulan</t>
        </is>
      </c>
      <c r="D809" s="97" t="n">
        <v>19.4</v>
      </c>
      <c r="E809" s="97" t="n">
        <v>98</v>
      </c>
      <c r="F809" s="97" t="inlineStr">
        <is>
          <t>Risiko Lebih</t>
        </is>
      </c>
      <c r="G809" s="97" t="inlineStr">
        <is>
          <t>Normal</t>
        </is>
      </c>
      <c r="H809" s="97" t="inlineStr">
        <is>
          <t>Gizi Lebih</t>
        </is>
      </c>
      <c r="I809" s="97" t="inlineStr">
        <is>
          <t>Ya</t>
        </is>
      </c>
      <c r="J809" s="97" t="inlineStr">
        <is>
          <t>Tidak</t>
        </is>
      </c>
    </row>
    <row r="810" ht="15.75" customHeight="1" s="95">
      <c r="A810" s="97" t="inlineStr">
        <is>
          <t>anonymus0809</t>
        </is>
      </c>
      <c r="B810" s="97" t="inlineStr">
        <is>
          <t>L</t>
        </is>
      </c>
      <c r="C810" s="97" t="inlineStr">
        <is>
          <t>35-69 Bulan</t>
        </is>
      </c>
      <c r="D810" s="97" t="n">
        <v>18.1</v>
      </c>
      <c r="E810" s="97" t="n">
        <v>94</v>
      </c>
      <c r="F810" s="97" t="inlineStr">
        <is>
          <t>Risiko Lebih</t>
        </is>
      </c>
      <c r="G810" s="97" t="inlineStr">
        <is>
          <t>Normal</t>
        </is>
      </c>
      <c r="H810" s="97" t="inlineStr">
        <is>
          <t>Gizi Lebih</t>
        </is>
      </c>
      <c r="I810" s="97" t="inlineStr">
        <is>
          <t>Ya</t>
        </is>
      </c>
      <c r="J810" s="97" t="inlineStr">
        <is>
          <t>Tidak</t>
        </is>
      </c>
    </row>
    <row r="811" ht="15.75" customHeight="1" s="95">
      <c r="A811" s="97" t="inlineStr">
        <is>
          <t>anonymus0810</t>
        </is>
      </c>
      <c r="B811" s="97" t="inlineStr">
        <is>
          <t>P</t>
        </is>
      </c>
      <c r="C811" s="97" t="inlineStr">
        <is>
          <t>1-34 Bulan</t>
        </is>
      </c>
      <c r="D811" s="97" t="n">
        <v>12.7</v>
      </c>
      <c r="E811" s="97" t="n">
        <v>84</v>
      </c>
      <c r="F811" s="97" t="inlineStr">
        <is>
          <t>Normal</t>
        </is>
      </c>
      <c r="G811" s="97" t="inlineStr">
        <is>
          <t>Normal</t>
        </is>
      </c>
      <c r="H811" s="97" t="inlineStr">
        <is>
          <t>Gizi Baik</t>
        </is>
      </c>
      <c r="I811" s="97" t="inlineStr">
        <is>
          <t>Ya</t>
        </is>
      </c>
      <c r="J811" s="97" t="inlineStr">
        <is>
          <t>Tidak</t>
        </is>
      </c>
    </row>
    <row r="812" ht="15.75" customHeight="1" s="95">
      <c r="A812" s="97" t="inlineStr">
        <is>
          <t>anonymus0811</t>
        </is>
      </c>
      <c r="B812" s="97" t="inlineStr">
        <is>
          <t>L</t>
        </is>
      </c>
      <c r="C812" s="97" t="inlineStr">
        <is>
          <t>35-69 Bulan</t>
        </is>
      </c>
      <c r="D812" s="97" t="n">
        <v>17.3</v>
      </c>
      <c r="E812" s="97" t="n">
        <v>101</v>
      </c>
      <c r="F812" s="97" t="inlineStr">
        <is>
          <t>Risiko Lebih</t>
        </is>
      </c>
      <c r="G812" s="97" t="inlineStr">
        <is>
          <t>Normal</t>
        </is>
      </c>
      <c r="H812" s="97" t="inlineStr">
        <is>
          <t>Gizi Lebih</t>
        </is>
      </c>
      <c r="I812" s="97" t="inlineStr">
        <is>
          <t>Ya</t>
        </is>
      </c>
      <c r="J812" s="97" t="inlineStr">
        <is>
          <t>Tidak</t>
        </is>
      </c>
    </row>
    <row r="813" ht="15.75" customHeight="1" s="95">
      <c r="A813" s="97" t="inlineStr">
        <is>
          <t>anonymus0812</t>
        </is>
      </c>
      <c r="B813" s="97" t="inlineStr">
        <is>
          <t>P</t>
        </is>
      </c>
      <c r="C813" s="97" t="inlineStr">
        <is>
          <t>1-34 Bulan</t>
        </is>
      </c>
      <c r="D813" s="97" t="n">
        <v>9.9</v>
      </c>
      <c r="E813" s="97" t="n">
        <v>89</v>
      </c>
      <c r="F813" s="97" t="inlineStr">
        <is>
          <t>Kurang</t>
        </is>
      </c>
      <c r="G813" s="97" t="inlineStr">
        <is>
          <t>Normal</t>
        </is>
      </c>
      <c r="H813" s="97" t="inlineStr">
        <is>
          <t>Gizi Kurang</t>
        </is>
      </c>
      <c r="I813" s="97" t="inlineStr">
        <is>
          <t>Ya</t>
        </is>
      </c>
      <c r="J813" s="97" t="inlineStr">
        <is>
          <t>Tidak</t>
        </is>
      </c>
    </row>
    <row r="814" ht="15.75" customHeight="1" s="95">
      <c r="A814" s="97" t="inlineStr">
        <is>
          <t>anonymus0813</t>
        </is>
      </c>
      <c r="B814" s="97" t="inlineStr">
        <is>
          <t>L</t>
        </is>
      </c>
      <c r="C814" s="97" t="inlineStr">
        <is>
          <t>1-34 Bulan</t>
        </is>
      </c>
      <c r="D814" s="97" t="n">
        <v>5.6</v>
      </c>
      <c r="E814" s="97" t="n">
        <v>62.5</v>
      </c>
      <c r="F814" s="97" t="inlineStr">
        <is>
          <t>Normal</t>
        </is>
      </c>
      <c r="G814" s="97" t="inlineStr">
        <is>
          <t>Normal</t>
        </is>
      </c>
      <c r="H814" s="97" t="inlineStr">
        <is>
          <t>Gizi Kurang</t>
        </is>
      </c>
      <c r="I814" s="97" t="inlineStr">
        <is>
          <t>Ya</t>
        </is>
      </c>
      <c r="J814" s="97" t="inlineStr">
        <is>
          <t>Tidak</t>
        </is>
      </c>
    </row>
    <row r="815" ht="15.75" customHeight="1" s="95">
      <c r="A815" s="97" t="inlineStr">
        <is>
          <t>anonymus0814</t>
        </is>
      </c>
      <c r="B815" s="97" t="inlineStr">
        <is>
          <t xml:space="preserve">L </t>
        </is>
      </c>
      <c r="C815" s="97" t="inlineStr">
        <is>
          <t>1-34 Bulan</t>
        </is>
      </c>
      <c r="D815" s="97" t="inlineStr">
        <is>
          <t>9.2</t>
        </is>
      </c>
      <c r="E815" s="97" t="n">
        <v>74</v>
      </c>
      <c r="F815" s="97" t="inlineStr">
        <is>
          <t>Normal</t>
        </is>
      </c>
      <c r="G815" s="97" t="inlineStr">
        <is>
          <t>Normal</t>
        </is>
      </c>
      <c r="H815" s="97" t="inlineStr">
        <is>
          <t>Gizi Baik</t>
        </is>
      </c>
      <c r="I815" s="97" t="inlineStr">
        <is>
          <t>Ya</t>
        </is>
      </c>
      <c r="J815" s="97" t="inlineStr">
        <is>
          <t>Tidak</t>
        </is>
      </c>
    </row>
    <row r="816" ht="15.75" customHeight="1" s="95">
      <c r="A816" s="97" t="inlineStr">
        <is>
          <t>anonymus0815</t>
        </is>
      </c>
      <c r="B816" s="97" t="inlineStr">
        <is>
          <t>P</t>
        </is>
      </c>
      <c r="C816" s="97" t="inlineStr">
        <is>
          <t>35-69 Bulan</t>
        </is>
      </c>
      <c r="D816" s="97" t="n">
        <v>10.3</v>
      </c>
      <c r="E816" s="97" t="n">
        <v>103</v>
      </c>
      <c r="F816" s="97" t="inlineStr">
        <is>
          <t>Normal</t>
        </is>
      </c>
      <c r="G816" s="97" t="inlineStr">
        <is>
          <t>Normal</t>
        </is>
      </c>
      <c r="H816" s="97" t="inlineStr">
        <is>
          <t>Gizi Baik</t>
        </is>
      </c>
      <c r="I816" s="97" t="inlineStr">
        <is>
          <t>Ya</t>
        </is>
      </c>
      <c r="J816" s="97" t="inlineStr">
        <is>
          <t>Tidak</t>
        </is>
      </c>
    </row>
    <row r="817" ht="15.75" customHeight="1" s="95">
      <c r="A817" s="97" t="inlineStr">
        <is>
          <t>anonymus0816</t>
        </is>
      </c>
      <c r="B817" s="97" t="inlineStr">
        <is>
          <t>P</t>
        </is>
      </c>
      <c r="C817" s="97" t="inlineStr">
        <is>
          <t>35-69 Bulan</t>
        </is>
      </c>
      <c r="D817" s="97" t="n">
        <v>10.45</v>
      </c>
      <c r="E817" s="97" t="n">
        <v>90.5</v>
      </c>
      <c r="F817" s="97" t="inlineStr">
        <is>
          <t>Kurang</t>
        </is>
      </c>
      <c r="G817" s="97" t="inlineStr">
        <is>
          <t>Normal</t>
        </is>
      </c>
      <c r="H817" s="97" t="inlineStr">
        <is>
          <t>Gizi Kurang</t>
        </is>
      </c>
      <c r="I817" s="97" t="inlineStr">
        <is>
          <t>Ya</t>
        </is>
      </c>
      <c r="J817" s="97" t="inlineStr">
        <is>
          <t>Tidak</t>
        </is>
      </c>
    </row>
    <row r="818" ht="15.75" customHeight="1" s="95">
      <c r="A818" s="97" t="inlineStr">
        <is>
          <t>anonymus0817</t>
        </is>
      </c>
      <c r="B818" s="97" t="inlineStr">
        <is>
          <t xml:space="preserve">L </t>
        </is>
      </c>
      <c r="C818" s="97" t="inlineStr">
        <is>
          <t>35-69 Bulan</t>
        </is>
      </c>
      <c r="D818" s="97" t="inlineStr">
        <is>
          <t>14.8</t>
        </is>
      </c>
      <c r="E818" s="97" t="n">
        <v>99</v>
      </c>
      <c r="F818" s="97" t="inlineStr">
        <is>
          <t>Normal</t>
        </is>
      </c>
      <c r="G818" s="97" t="inlineStr">
        <is>
          <t>Normal</t>
        </is>
      </c>
      <c r="H818" s="97" t="inlineStr">
        <is>
          <t>Gizi Baik</t>
        </is>
      </c>
      <c r="I818" s="97" t="inlineStr">
        <is>
          <t>Ya</t>
        </is>
      </c>
      <c r="J818" s="97" t="inlineStr">
        <is>
          <t>Tidak</t>
        </is>
      </c>
    </row>
    <row r="819" ht="15.75" customHeight="1" s="95">
      <c r="A819" s="97" t="inlineStr">
        <is>
          <t>anonymus0818</t>
        </is>
      </c>
      <c r="B819" s="97" t="inlineStr">
        <is>
          <t xml:space="preserve">P </t>
        </is>
      </c>
      <c r="C819" s="97" t="inlineStr">
        <is>
          <t>1-34 Bulan</t>
        </is>
      </c>
      <c r="D819" s="97" t="n">
        <v>13</v>
      </c>
      <c r="E819" s="97" t="n">
        <v>91</v>
      </c>
      <c r="F819" s="97" t="inlineStr">
        <is>
          <t>Normal</t>
        </is>
      </c>
      <c r="G819" s="97" t="inlineStr">
        <is>
          <t>Normal</t>
        </is>
      </c>
      <c r="H819" s="97" t="inlineStr">
        <is>
          <t>Gizi Baik</t>
        </is>
      </c>
      <c r="I819" s="97" t="inlineStr">
        <is>
          <t>Ya</t>
        </is>
      </c>
      <c r="J819" s="97" t="inlineStr">
        <is>
          <t>Tidak</t>
        </is>
      </c>
    </row>
    <row r="820" ht="15.75" customHeight="1" s="95">
      <c r="A820" s="97" t="inlineStr">
        <is>
          <t>anonymus0819</t>
        </is>
      </c>
      <c r="B820" s="97" t="inlineStr">
        <is>
          <t>L</t>
        </is>
      </c>
      <c r="C820" s="97" t="inlineStr">
        <is>
          <t>1-34 Bulan</t>
        </is>
      </c>
      <c r="D820" s="97" t="n">
        <v>8.6</v>
      </c>
      <c r="E820" s="97" t="n">
        <v>78</v>
      </c>
      <c r="F820" s="97" t="inlineStr">
        <is>
          <t>Sangat Kurang</t>
        </is>
      </c>
      <c r="G820" s="97" t="inlineStr">
        <is>
          <t>Sangat Pendek</t>
        </is>
      </c>
      <c r="H820" s="97" t="inlineStr">
        <is>
          <t>Gizi Kurang</t>
        </is>
      </c>
      <c r="I820" s="97" t="inlineStr">
        <is>
          <t>Ya</t>
        </is>
      </c>
      <c r="J820" s="97" t="inlineStr">
        <is>
          <t>Stunting</t>
        </is>
      </c>
    </row>
    <row r="821" ht="15.75" customHeight="1" s="95">
      <c r="A821" s="97" t="inlineStr">
        <is>
          <t>anonymus0820</t>
        </is>
      </c>
      <c r="B821" s="97" t="inlineStr">
        <is>
          <t>L</t>
        </is>
      </c>
      <c r="C821" s="97" t="inlineStr">
        <is>
          <t>35-69 Bulan</t>
        </is>
      </c>
      <c r="D821" s="97" t="n">
        <v>8.5</v>
      </c>
      <c r="E821" s="97" t="n">
        <v>78.3</v>
      </c>
      <c r="F821" s="97" t="inlineStr">
        <is>
          <t>Sangat Kurang</t>
        </is>
      </c>
      <c r="G821" s="97" t="inlineStr">
        <is>
          <t>Sangat Pendek</t>
        </is>
      </c>
      <c r="H821" s="97" t="inlineStr">
        <is>
          <t>Gizi Kurang</t>
        </is>
      </c>
      <c r="I821" s="97" t="inlineStr">
        <is>
          <t>Ya</t>
        </is>
      </c>
      <c r="J821" s="97" t="inlineStr">
        <is>
          <t>Stunting</t>
        </is>
      </c>
    </row>
    <row r="822" ht="15.75" customHeight="1" s="95">
      <c r="A822" s="97" t="inlineStr">
        <is>
          <t>anonymus0821</t>
        </is>
      </c>
      <c r="B822" s="97" t="inlineStr">
        <is>
          <t>L</t>
        </is>
      </c>
      <c r="C822" s="97" t="inlineStr">
        <is>
          <t>35-69 Bulan</t>
        </is>
      </c>
      <c r="D822" s="97" t="n">
        <v>16.1</v>
      </c>
      <c r="E822" s="97" t="n">
        <v>110</v>
      </c>
      <c r="F822" s="97" t="inlineStr">
        <is>
          <t>Normal</t>
        </is>
      </c>
      <c r="G822" s="97" t="inlineStr">
        <is>
          <t>Normal</t>
        </is>
      </c>
      <c r="H822" s="97" t="inlineStr">
        <is>
          <t>Gizi Baik</t>
        </is>
      </c>
      <c r="I822" s="97" t="inlineStr">
        <is>
          <t>Ya</t>
        </is>
      </c>
      <c r="J822" s="97" t="inlineStr">
        <is>
          <t>Tidak</t>
        </is>
      </c>
    </row>
    <row r="823" ht="15.75" customHeight="1" s="95">
      <c r="A823" s="97" t="inlineStr">
        <is>
          <t>anonymus0822</t>
        </is>
      </c>
      <c r="B823" s="97" t="inlineStr">
        <is>
          <t>L</t>
        </is>
      </c>
      <c r="C823" s="97" t="inlineStr">
        <is>
          <t>35-69 Bulan</t>
        </is>
      </c>
      <c r="D823" s="97" t="n">
        <v>10.5</v>
      </c>
      <c r="E823" s="97" t="n">
        <v>90</v>
      </c>
      <c r="F823" s="97" t="inlineStr">
        <is>
          <t>Sangat Kurang</t>
        </is>
      </c>
      <c r="G823" s="97" t="inlineStr">
        <is>
          <t>Pendek</t>
        </is>
      </c>
      <c r="H823" s="97" t="inlineStr">
        <is>
          <t>Gizi Kurang</t>
        </is>
      </c>
      <c r="I823" s="97" t="inlineStr">
        <is>
          <t>Ya</t>
        </is>
      </c>
      <c r="J823" s="97" t="inlineStr">
        <is>
          <t>Potensi Stunting</t>
        </is>
      </c>
    </row>
    <row r="824" ht="15.75" customHeight="1" s="95">
      <c r="A824" s="97" t="inlineStr">
        <is>
          <t>anonymus0823</t>
        </is>
      </c>
      <c r="B824" s="97" t="inlineStr">
        <is>
          <t>L</t>
        </is>
      </c>
      <c r="C824" s="97" t="inlineStr">
        <is>
          <t>1-34 Bulan</t>
        </is>
      </c>
      <c r="D824" s="97" t="n">
        <v>12.7</v>
      </c>
      <c r="E824" s="97" t="n">
        <v>79</v>
      </c>
      <c r="F824" s="97" t="inlineStr">
        <is>
          <t>Normal</t>
        </is>
      </c>
      <c r="G824" s="97" t="inlineStr">
        <is>
          <t>Normal</t>
        </is>
      </c>
      <c r="H824" s="97" t="inlineStr">
        <is>
          <t>Gizi Baik</t>
        </is>
      </c>
      <c r="I824" s="97" t="inlineStr">
        <is>
          <t>Ya</t>
        </is>
      </c>
      <c r="J824" s="97" t="inlineStr">
        <is>
          <t>Tidak</t>
        </is>
      </c>
    </row>
    <row r="825" ht="15.75" customHeight="1" s="95">
      <c r="A825" s="97" t="inlineStr">
        <is>
          <t>anonymus0824</t>
        </is>
      </c>
      <c r="B825" s="97" t="inlineStr">
        <is>
          <t>L</t>
        </is>
      </c>
      <c r="C825" s="97" t="inlineStr">
        <is>
          <t>1-34 Bulan</t>
        </is>
      </c>
      <c r="D825" s="97" t="n">
        <v>14.6</v>
      </c>
      <c r="E825" s="97" t="n">
        <v>99</v>
      </c>
      <c r="F825" s="97" t="inlineStr">
        <is>
          <t>Normal</t>
        </is>
      </c>
      <c r="G825" s="97" t="inlineStr">
        <is>
          <t>Normal</t>
        </is>
      </c>
      <c r="H825" s="97" t="inlineStr">
        <is>
          <t>Gizi Baik</t>
        </is>
      </c>
      <c r="I825" s="97" t="inlineStr">
        <is>
          <t>Ya</t>
        </is>
      </c>
      <c r="J825" s="97" t="inlineStr">
        <is>
          <t>Tidak</t>
        </is>
      </c>
    </row>
    <row r="826" ht="15.75" customHeight="1" s="95">
      <c r="A826" s="97" t="inlineStr">
        <is>
          <t>anonymus0825</t>
        </is>
      </c>
      <c r="B826" s="97" t="inlineStr">
        <is>
          <t xml:space="preserve">L </t>
        </is>
      </c>
      <c r="C826" s="97" t="inlineStr">
        <is>
          <t>1-34 Bulan</t>
        </is>
      </c>
      <c r="D826" s="97" t="inlineStr">
        <is>
          <t>12.5</t>
        </is>
      </c>
      <c r="E826" s="97" t="n">
        <v>87</v>
      </c>
      <c r="F826" s="97" t="inlineStr">
        <is>
          <t>Normal</t>
        </is>
      </c>
      <c r="G826" s="97" t="inlineStr">
        <is>
          <t>Normal</t>
        </is>
      </c>
      <c r="H826" s="97" t="inlineStr">
        <is>
          <t>Gizi Baik</t>
        </is>
      </c>
      <c r="I826" s="97" t="inlineStr">
        <is>
          <t>Ya</t>
        </is>
      </c>
      <c r="J826" s="97" t="inlineStr">
        <is>
          <t>Tidak</t>
        </is>
      </c>
    </row>
    <row r="827" ht="15.75" customHeight="1" s="95">
      <c r="A827" s="97" t="inlineStr">
        <is>
          <t>anonymus0826</t>
        </is>
      </c>
      <c r="B827" s="97" t="inlineStr">
        <is>
          <t>L</t>
        </is>
      </c>
      <c r="C827" s="97" t="inlineStr">
        <is>
          <t>35-69 Bulan</t>
        </is>
      </c>
      <c r="D827" s="97" t="n">
        <v>16.9</v>
      </c>
      <c r="E827" s="97" t="n">
        <v>93</v>
      </c>
      <c r="F827" s="97" t="inlineStr">
        <is>
          <t>Normal</t>
        </is>
      </c>
      <c r="G827" s="97" t="inlineStr">
        <is>
          <t>Normal</t>
        </is>
      </c>
      <c r="H827" s="97" t="inlineStr">
        <is>
          <t>Gizi Baik</t>
        </is>
      </c>
      <c r="I827" s="97" t="inlineStr">
        <is>
          <t>Ya</t>
        </is>
      </c>
      <c r="J827" s="97" t="inlineStr">
        <is>
          <t>Tidak</t>
        </is>
      </c>
    </row>
    <row r="828" ht="15.75" customHeight="1" s="95">
      <c r="A828" s="97" t="inlineStr">
        <is>
          <t>anonymus0827</t>
        </is>
      </c>
      <c r="B828" s="97" t="inlineStr">
        <is>
          <t>L</t>
        </is>
      </c>
      <c r="C828" s="97" t="inlineStr">
        <is>
          <t>1-34 Bulan</t>
        </is>
      </c>
      <c r="D828" s="97" t="n">
        <v>6.16</v>
      </c>
      <c r="E828" s="97" t="n">
        <v>65.5</v>
      </c>
      <c r="F828" s="97" t="inlineStr">
        <is>
          <t>Kurang</t>
        </is>
      </c>
      <c r="G828" s="97" t="inlineStr">
        <is>
          <t>Pendek</t>
        </is>
      </c>
      <c r="H828" s="97" t="inlineStr">
        <is>
          <t>Gizi Kurang</t>
        </is>
      </c>
      <c r="I828" s="97" t="inlineStr">
        <is>
          <t>Ya</t>
        </is>
      </c>
      <c r="J828" s="97" t="inlineStr">
        <is>
          <t>Potensi Stunting</t>
        </is>
      </c>
    </row>
    <row r="829" ht="15.75" customHeight="1" s="95">
      <c r="A829" s="97" t="inlineStr">
        <is>
          <t>anonymus0828</t>
        </is>
      </c>
      <c r="B829" s="97" t="inlineStr">
        <is>
          <t>P</t>
        </is>
      </c>
      <c r="C829" s="97" t="inlineStr">
        <is>
          <t>1-34 Bulan</t>
        </is>
      </c>
      <c r="D829" s="97" t="n">
        <v>6.3</v>
      </c>
      <c r="E829" s="97" t="n">
        <v>70</v>
      </c>
      <c r="F829" s="97" t="inlineStr">
        <is>
          <t>Kurang</t>
        </is>
      </c>
      <c r="G829" s="97" t="inlineStr">
        <is>
          <t>Normal</t>
        </is>
      </c>
      <c r="H829" s="97" t="inlineStr">
        <is>
          <t>Gizi Kurang</t>
        </is>
      </c>
      <c r="I829" s="97" t="inlineStr">
        <is>
          <t>Ya</t>
        </is>
      </c>
      <c r="J829" s="97" t="inlineStr">
        <is>
          <t>Tidak</t>
        </is>
      </c>
    </row>
    <row r="830" ht="15.75" customHeight="1" s="95">
      <c r="A830" s="97" t="inlineStr">
        <is>
          <t>anonymus0829</t>
        </is>
      </c>
      <c r="B830" s="97" t="inlineStr">
        <is>
          <t>P</t>
        </is>
      </c>
      <c r="C830" s="97" t="inlineStr">
        <is>
          <t>1-34 Bulan</t>
        </is>
      </c>
      <c r="D830" s="97" t="n">
        <v>7.8</v>
      </c>
      <c r="E830" s="97" t="n">
        <v>72</v>
      </c>
      <c r="F830" s="97" t="inlineStr">
        <is>
          <t>Normal</t>
        </is>
      </c>
      <c r="G830" s="97" t="inlineStr">
        <is>
          <t>Pendek</t>
        </is>
      </c>
      <c r="H830" s="97" t="inlineStr">
        <is>
          <t>Gizi Baik</t>
        </is>
      </c>
      <c r="I830" s="97" t="inlineStr">
        <is>
          <t>Ya</t>
        </is>
      </c>
      <c r="J830" s="97" t="inlineStr">
        <is>
          <t>Potensi Stunting</t>
        </is>
      </c>
    </row>
    <row r="831" ht="15.75" customHeight="1" s="95">
      <c r="A831" s="97" t="inlineStr">
        <is>
          <t>anonymus0830</t>
        </is>
      </c>
      <c r="B831" s="97" t="inlineStr">
        <is>
          <t xml:space="preserve">P </t>
        </is>
      </c>
      <c r="C831" s="97" t="inlineStr">
        <is>
          <t>1-34 Bulan</t>
        </is>
      </c>
      <c r="D831" s="97" t="inlineStr">
        <is>
          <t>7.2</t>
        </is>
      </c>
      <c r="E831" s="97" t="n">
        <v>70</v>
      </c>
      <c r="F831" s="97" t="inlineStr">
        <is>
          <t>Normal</t>
        </is>
      </c>
      <c r="G831" s="97" t="inlineStr">
        <is>
          <t>Normal</t>
        </is>
      </c>
      <c r="H831" s="97" t="inlineStr">
        <is>
          <t>Gizi Baik</t>
        </is>
      </c>
      <c r="I831" s="97" t="inlineStr">
        <is>
          <t>Ya</t>
        </is>
      </c>
      <c r="J831" s="97" t="inlineStr">
        <is>
          <t>Tidak</t>
        </is>
      </c>
    </row>
    <row r="832" ht="15.75" customHeight="1" s="95">
      <c r="A832" s="97" t="inlineStr">
        <is>
          <t>anonymus0831</t>
        </is>
      </c>
      <c r="B832" s="97" t="inlineStr">
        <is>
          <t>P</t>
        </is>
      </c>
      <c r="C832" s="97" t="inlineStr">
        <is>
          <t>35-69 Bulan</t>
        </is>
      </c>
      <c r="D832" s="97" t="n">
        <v>10.1</v>
      </c>
      <c r="E832" s="97" t="n">
        <v>84</v>
      </c>
      <c r="F832" s="97" t="inlineStr">
        <is>
          <t>Kurang</t>
        </is>
      </c>
      <c r="G832" s="97" t="inlineStr">
        <is>
          <t>Pendek</t>
        </is>
      </c>
      <c r="H832" s="97" t="inlineStr">
        <is>
          <t>Gizi Baik</t>
        </is>
      </c>
      <c r="I832" s="97" t="inlineStr">
        <is>
          <t>Ya</t>
        </is>
      </c>
      <c r="J832" s="97" t="inlineStr">
        <is>
          <t>Potensi Stunting</t>
        </is>
      </c>
    </row>
    <row r="833" ht="15.75" customHeight="1" s="95">
      <c r="A833" s="97" t="inlineStr">
        <is>
          <t>anonymus0832</t>
        </is>
      </c>
      <c r="B833" s="97" t="inlineStr">
        <is>
          <t>P</t>
        </is>
      </c>
      <c r="C833" s="97" t="inlineStr">
        <is>
          <t>1-34 Bulan</t>
        </is>
      </c>
      <c r="D833" s="97" t="n">
        <v>7.2</v>
      </c>
      <c r="E833" s="97" t="n">
        <v>69</v>
      </c>
      <c r="F833" s="97" t="inlineStr">
        <is>
          <t>Kurang</t>
        </is>
      </c>
      <c r="G833" s="97" t="inlineStr">
        <is>
          <t>Pendek</t>
        </is>
      </c>
      <c r="H833" s="97" t="inlineStr">
        <is>
          <t>Gizi Baik</t>
        </is>
      </c>
      <c r="I833" s="97" t="inlineStr">
        <is>
          <t>Ya</t>
        </is>
      </c>
      <c r="J833" s="97" t="inlineStr">
        <is>
          <t>Potensi Stunting</t>
        </is>
      </c>
    </row>
    <row r="834" ht="15.75" customHeight="1" s="95">
      <c r="A834" s="97" t="inlineStr">
        <is>
          <t>anonymus0833</t>
        </is>
      </c>
      <c r="B834" s="97" t="inlineStr">
        <is>
          <t>L</t>
        </is>
      </c>
      <c r="C834" s="97" t="inlineStr">
        <is>
          <t>1-34 Bulan</t>
        </is>
      </c>
      <c r="D834" s="97" t="n">
        <v>12.4</v>
      </c>
      <c r="E834" s="97" t="n">
        <v>73</v>
      </c>
      <c r="F834" s="97" t="inlineStr">
        <is>
          <t>Normal</t>
        </is>
      </c>
      <c r="G834" s="97" t="inlineStr">
        <is>
          <t>Normal</t>
        </is>
      </c>
      <c r="H834" s="97" t="inlineStr">
        <is>
          <t>Gizi Baik</t>
        </is>
      </c>
      <c r="I834" s="97" t="inlineStr">
        <is>
          <t>Ya</t>
        </is>
      </c>
      <c r="J834" s="97" t="inlineStr">
        <is>
          <t>Tidak</t>
        </is>
      </c>
    </row>
    <row r="835" ht="15.75" customHeight="1" s="95">
      <c r="A835" s="97" t="inlineStr">
        <is>
          <t>anonymus0834</t>
        </is>
      </c>
      <c r="B835" s="97" t="inlineStr">
        <is>
          <t>P</t>
        </is>
      </c>
      <c r="C835" s="97" t="inlineStr">
        <is>
          <t>35-69 Bulan</t>
        </is>
      </c>
      <c r="D835" s="97" t="n">
        <v>12.3</v>
      </c>
      <c r="E835" s="97" t="n">
        <v>83</v>
      </c>
      <c r="F835" s="97" t="inlineStr">
        <is>
          <t>Kurang</t>
        </is>
      </c>
      <c r="G835" s="97" t="inlineStr">
        <is>
          <t>Sangat Pendek</t>
        </is>
      </c>
      <c r="H835" s="97" t="inlineStr">
        <is>
          <t>Risiko Gizi Lebih</t>
        </is>
      </c>
      <c r="I835" s="97" t="inlineStr">
        <is>
          <t>Ya</t>
        </is>
      </c>
      <c r="J835" s="97" t="inlineStr">
        <is>
          <t>Stunting</t>
        </is>
      </c>
    </row>
    <row r="836" ht="15.75" customHeight="1" s="95">
      <c r="A836" s="97" t="inlineStr">
        <is>
          <t>anonymus0835</t>
        </is>
      </c>
      <c r="B836" s="97" t="inlineStr">
        <is>
          <t>L</t>
        </is>
      </c>
      <c r="C836" s="97" t="inlineStr">
        <is>
          <t>1-34 Bulan</t>
        </is>
      </c>
      <c r="D836" s="97" t="n">
        <v>10.15</v>
      </c>
      <c r="E836" s="97" t="n">
        <v>74</v>
      </c>
      <c r="F836" s="97" t="inlineStr">
        <is>
          <t>Normal</t>
        </is>
      </c>
      <c r="G836" s="97" t="inlineStr">
        <is>
          <t>Pendek</t>
        </is>
      </c>
      <c r="H836" s="97" t="inlineStr">
        <is>
          <t>Risiko Gizi Lebih</t>
        </is>
      </c>
      <c r="I836" s="97" t="inlineStr">
        <is>
          <t>Ya</t>
        </is>
      </c>
      <c r="J836" s="97" t="inlineStr">
        <is>
          <t>Potensi Stunting</t>
        </is>
      </c>
    </row>
    <row r="837" ht="15.75" customHeight="1" s="95">
      <c r="A837" s="97" t="inlineStr">
        <is>
          <t>anonymus0836</t>
        </is>
      </c>
      <c r="B837" s="97" t="inlineStr">
        <is>
          <t>P</t>
        </is>
      </c>
      <c r="C837" s="97" t="inlineStr">
        <is>
          <t>35-69 Bulan</t>
        </is>
      </c>
      <c r="D837" s="97" t="n">
        <v>14.2</v>
      </c>
      <c r="E837" s="97" t="n">
        <v>116</v>
      </c>
      <c r="F837" s="97" t="inlineStr">
        <is>
          <t>Normal</t>
        </is>
      </c>
      <c r="G837" s="97" t="inlineStr">
        <is>
          <t>Normal</t>
        </is>
      </c>
      <c r="H837" s="97" t="inlineStr">
        <is>
          <t>Gizi Baik</t>
        </is>
      </c>
      <c r="I837" s="97" t="inlineStr">
        <is>
          <t>Ya</t>
        </is>
      </c>
      <c r="J837" s="97" t="inlineStr">
        <is>
          <t>Tidak</t>
        </is>
      </c>
    </row>
    <row r="838" ht="15.75" customHeight="1" s="95">
      <c r="A838" s="97" t="inlineStr">
        <is>
          <t>anonymus0837</t>
        </is>
      </c>
      <c r="B838" s="97" t="inlineStr">
        <is>
          <t>P</t>
        </is>
      </c>
      <c r="C838" s="97" t="inlineStr">
        <is>
          <t>1-34 Bulan</t>
        </is>
      </c>
      <c r="D838" s="97" t="n">
        <v>13</v>
      </c>
      <c r="E838" s="97" t="n">
        <v>80</v>
      </c>
      <c r="F838" s="97" t="inlineStr">
        <is>
          <t>Normal</t>
        </is>
      </c>
      <c r="G838" s="97" t="inlineStr">
        <is>
          <t>Normal</t>
        </is>
      </c>
      <c r="H838" s="97" t="inlineStr">
        <is>
          <t>Gizi Baik</t>
        </is>
      </c>
      <c r="I838" s="97" t="inlineStr">
        <is>
          <t>Ya</t>
        </is>
      </c>
      <c r="J838" s="97" t="inlineStr">
        <is>
          <t>Tidak</t>
        </is>
      </c>
    </row>
    <row r="839" ht="15.75" customHeight="1" s="95">
      <c r="A839" s="97" t="inlineStr">
        <is>
          <t>anonymus0838</t>
        </is>
      </c>
      <c r="B839" s="97" t="inlineStr">
        <is>
          <t>P</t>
        </is>
      </c>
      <c r="C839" s="97" t="inlineStr">
        <is>
          <t>35-69 Bulan</t>
        </is>
      </c>
      <c r="D839" s="97" t="n">
        <v>15.7</v>
      </c>
      <c r="E839" s="97" t="n">
        <v>96</v>
      </c>
      <c r="F839" s="97" t="inlineStr">
        <is>
          <t>Normal</t>
        </is>
      </c>
      <c r="G839" s="97" t="inlineStr">
        <is>
          <t>Normal</t>
        </is>
      </c>
      <c r="H839" s="97" t="inlineStr">
        <is>
          <t>Gizi Baik</t>
        </is>
      </c>
      <c r="I839" s="97" t="inlineStr">
        <is>
          <t>Ya</t>
        </is>
      </c>
      <c r="J839" s="97" t="inlineStr">
        <is>
          <t>Tidak</t>
        </is>
      </c>
    </row>
    <row r="840" ht="15.75" customHeight="1" s="95">
      <c r="A840" s="97" t="inlineStr">
        <is>
          <t>anonymus0839</t>
        </is>
      </c>
      <c r="B840" s="97" t="inlineStr">
        <is>
          <t xml:space="preserve">L </t>
        </is>
      </c>
      <c r="C840" s="97" t="inlineStr">
        <is>
          <t>1-34 Bulan</t>
        </is>
      </c>
      <c r="D840" s="97" t="n">
        <v>14</v>
      </c>
      <c r="E840" s="97" t="n">
        <v>91</v>
      </c>
      <c r="F840" s="97" t="inlineStr">
        <is>
          <t>Normal</t>
        </is>
      </c>
      <c r="G840" s="97" t="inlineStr">
        <is>
          <t>Normal</t>
        </is>
      </c>
      <c r="H840" s="97" t="inlineStr">
        <is>
          <t>Gizi Baik</t>
        </is>
      </c>
      <c r="I840" s="97" t="inlineStr">
        <is>
          <t>Ya</t>
        </is>
      </c>
      <c r="J840" s="97" t="inlineStr">
        <is>
          <t>Tidak</t>
        </is>
      </c>
    </row>
    <row r="841" ht="15.75" customHeight="1" s="95">
      <c r="A841" s="97" t="inlineStr">
        <is>
          <t>anonymus0840</t>
        </is>
      </c>
      <c r="B841" s="97" t="inlineStr">
        <is>
          <t>P</t>
        </is>
      </c>
      <c r="C841" s="97" t="inlineStr">
        <is>
          <t>35-69 Bulan</t>
        </is>
      </c>
      <c r="D841" s="97" t="n">
        <v>9.4</v>
      </c>
      <c r="E841" s="97" t="n">
        <v>78</v>
      </c>
      <c r="F841" s="97" t="inlineStr">
        <is>
          <t>Normal</t>
        </is>
      </c>
      <c r="G841" s="97" t="inlineStr">
        <is>
          <t>Pendek</t>
        </is>
      </c>
      <c r="H841" s="97" t="inlineStr">
        <is>
          <t>Gizi Baik</t>
        </is>
      </c>
      <c r="I841" s="97" t="inlineStr">
        <is>
          <t>Ya</t>
        </is>
      </c>
      <c r="J841" s="97" t="inlineStr">
        <is>
          <t>Potensi Stunting</t>
        </is>
      </c>
    </row>
    <row r="842" ht="15.75" customHeight="1" s="95">
      <c r="A842" s="97" t="inlineStr">
        <is>
          <t>anonymus0841</t>
        </is>
      </c>
      <c r="B842" s="97" t="inlineStr">
        <is>
          <t>P</t>
        </is>
      </c>
      <c r="C842" s="97" t="inlineStr">
        <is>
          <t>35-69 Bulan</t>
        </is>
      </c>
      <c r="D842" s="97" t="n">
        <v>19.8</v>
      </c>
      <c r="E842" s="97" t="n">
        <v>119</v>
      </c>
      <c r="F842" s="97" t="inlineStr">
        <is>
          <t>Risiko Lebih</t>
        </is>
      </c>
      <c r="G842" s="97" t="inlineStr">
        <is>
          <t>Normal</t>
        </is>
      </c>
      <c r="H842" s="97" t="inlineStr">
        <is>
          <t>Gizi Lebih</t>
        </is>
      </c>
      <c r="I842" s="97" t="inlineStr">
        <is>
          <t>Ya</t>
        </is>
      </c>
      <c r="J842" s="97" t="inlineStr">
        <is>
          <t>Tidak</t>
        </is>
      </c>
    </row>
    <row r="843" ht="15.75" customHeight="1" s="95">
      <c r="A843" s="97" t="inlineStr">
        <is>
          <t>anonymus0842</t>
        </is>
      </c>
      <c r="B843" s="97" t="inlineStr">
        <is>
          <t>L</t>
        </is>
      </c>
      <c r="C843" s="97" t="inlineStr">
        <is>
          <t>35-69 Bulan</t>
        </is>
      </c>
      <c r="D843" s="97" t="n">
        <v>17.7</v>
      </c>
      <c r="E843" s="97" t="n">
        <v>98</v>
      </c>
      <c r="F843" s="97" t="inlineStr">
        <is>
          <t>Risiko Lebih</t>
        </is>
      </c>
      <c r="G843" s="97" t="inlineStr">
        <is>
          <t>Normal</t>
        </is>
      </c>
      <c r="H843" s="97" t="inlineStr">
        <is>
          <t>Gizi Lebih</t>
        </is>
      </c>
      <c r="I843" s="97" t="inlineStr">
        <is>
          <t>Ya</t>
        </is>
      </c>
      <c r="J843" s="97" t="inlineStr">
        <is>
          <t>Tidak</t>
        </is>
      </c>
    </row>
    <row r="844" ht="15.75" customHeight="1" s="95">
      <c r="A844" s="97" t="inlineStr">
        <is>
          <t>anonymus0843</t>
        </is>
      </c>
      <c r="B844" s="97" t="inlineStr">
        <is>
          <t>P</t>
        </is>
      </c>
      <c r="C844" s="97" t="inlineStr">
        <is>
          <t>35-69 Bulan</t>
        </is>
      </c>
      <c r="D844" s="97" t="n">
        <v>18.7</v>
      </c>
      <c r="E844" s="97" t="n">
        <v>112</v>
      </c>
      <c r="F844" s="97" t="inlineStr">
        <is>
          <t>Risiko Lebih</t>
        </is>
      </c>
      <c r="G844" s="97" t="inlineStr">
        <is>
          <t>Normal</t>
        </is>
      </c>
      <c r="H844" s="97" t="inlineStr">
        <is>
          <t>Gizi Lebih</t>
        </is>
      </c>
      <c r="I844" s="97" t="inlineStr">
        <is>
          <t>Ya</t>
        </is>
      </c>
      <c r="J844" s="97" t="inlineStr">
        <is>
          <t>Tidak</t>
        </is>
      </c>
    </row>
    <row r="845" ht="15.75" customHeight="1" s="95">
      <c r="A845" s="97" t="inlineStr">
        <is>
          <t>anonymus0844</t>
        </is>
      </c>
      <c r="B845" s="97" t="inlineStr">
        <is>
          <t xml:space="preserve">P </t>
        </is>
      </c>
      <c r="C845" s="97" t="inlineStr">
        <is>
          <t>35-69 Bulan</t>
        </is>
      </c>
      <c r="D845" s="97" t="inlineStr">
        <is>
          <t>9.4</t>
        </is>
      </c>
      <c r="E845" s="97" t="n">
        <v>83</v>
      </c>
      <c r="F845" s="97" t="inlineStr">
        <is>
          <t>Sangat Kurang</t>
        </is>
      </c>
      <c r="G845" s="97" t="inlineStr">
        <is>
          <t>Sangat Pendek</t>
        </is>
      </c>
      <c r="H845" s="97" t="inlineStr">
        <is>
          <t>Gizi Baik</t>
        </is>
      </c>
      <c r="I845" s="97" t="inlineStr">
        <is>
          <t>Ya</t>
        </is>
      </c>
      <c r="J845" s="97" t="inlineStr">
        <is>
          <t>Stunting</t>
        </is>
      </c>
    </row>
    <row r="846" ht="15.75" customHeight="1" s="95">
      <c r="A846" s="97" t="inlineStr">
        <is>
          <t>anonymus0845</t>
        </is>
      </c>
      <c r="B846" s="97" t="inlineStr">
        <is>
          <t>L</t>
        </is>
      </c>
      <c r="C846" s="97" t="inlineStr">
        <is>
          <t>35-69 Bulan</t>
        </is>
      </c>
      <c r="D846" s="97" t="n">
        <v>9.5</v>
      </c>
      <c r="E846" s="97" t="n">
        <v>83</v>
      </c>
      <c r="F846" s="97" t="inlineStr">
        <is>
          <t>Sangat Kurang</t>
        </is>
      </c>
      <c r="G846" s="97" t="inlineStr">
        <is>
          <t>Sangat Pendek</t>
        </is>
      </c>
      <c r="H846" s="97" t="inlineStr">
        <is>
          <t>Gizi Baik</t>
        </is>
      </c>
      <c r="I846" s="97" t="inlineStr">
        <is>
          <t>Ya</t>
        </is>
      </c>
      <c r="J846" s="97" t="inlineStr">
        <is>
          <t>Stunting</t>
        </is>
      </c>
    </row>
    <row r="847" ht="15.75" customHeight="1" s="95">
      <c r="A847" s="97" t="inlineStr">
        <is>
          <t>anonymus0846</t>
        </is>
      </c>
      <c r="B847" s="97" t="inlineStr">
        <is>
          <t>L</t>
        </is>
      </c>
      <c r="C847" s="97" t="inlineStr">
        <is>
          <t>35-69 Bulan</t>
        </is>
      </c>
      <c r="D847" s="97" t="n">
        <v>15.8</v>
      </c>
      <c r="E847" s="97" t="n">
        <v>111</v>
      </c>
      <c r="F847" s="97" t="inlineStr">
        <is>
          <t>Normal</t>
        </is>
      </c>
      <c r="G847" s="97" t="inlineStr">
        <is>
          <t>Normal</t>
        </is>
      </c>
      <c r="H847" s="97" t="inlineStr">
        <is>
          <t>Gizi Kurang</t>
        </is>
      </c>
      <c r="I847" s="97" t="inlineStr">
        <is>
          <t>Ya</t>
        </is>
      </c>
      <c r="J847" s="97" t="inlineStr">
        <is>
          <t>Tidak</t>
        </is>
      </c>
    </row>
    <row r="848" ht="15.75" customHeight="1" s="95">
      <c r="A848" s="97" t="inlineStr">
        <is>
          <t>anonymus0847</t>
        </is>
      </c>
      <c r="B848" s="97" t="inlineStr">
        <is>
          <t xml:space="preserve">P </t>
        </is>
      </c>
      <c r="C848" s="97" t="inlineStr">
        <is>
          <t>1-34 Bulan</t>
        </is>
      </c>
      <c r="D848" s="97" t="inlineStr">
        <is>
          <t>9.2</t>
        </is>
      </c>
      <c r="E848" s="97" t="n">
        <v>71</v>
      </c>
      <c r="F848" s="97" t="inlineStr">
        <is>
          <t>Normal</t>
        </is>
      </c>
      <c r="G848" s="97" t="inlineStr">
        <is>
          <t>Normal</t>
        </is>
      </c>
      <c r="H848" s="97" t="inlineStr">
        <is>
          <t>Risiko Gizi Lebih</t>
        </is>
      </c>
      <c r="I848" s="97" t="inlineStr">
        <is>
          <t>Ya</t>
        </is>
      </c>
      <c r="J848" s="97" t="inlineStr">
        <is>
          <t>Tidak</t>
        </is>
      </c>
    </row>
    <row r="849" ht="15.75" customHeight="1" s="95">
      <c r="A849" s="97" t="inlineStr">
        <is>
          <t>anonymus0848</t>
        </is>
      </c>
      <c r="B849" s="97" t="inlineStr">
        <is>
          <t xml:space="preserve">P </t>
        </is>
      </c>
      <c r="C849" s="97" t="inlineStr">
        <is>
          <t>1-34 Bulan</t>
        </is>
      </c>
      <c r="D849" s="97" t="inlineStr">
        <is>
          <t>10.4</t>
        </is>
      </c>
      <c r="E849" s="97" t="n">
        <v>85</v>
      </c>
      <c r="F849" s="97" t="inlineStr">
        <is>
          <t>Normal</t>
        </is>
      </c>
      <c r="G849" s="97" t="inlineStr">
        <is>
          <t>Normal</t>
        </is>
      </c>
      <c r="H849" s="97" t="inlineStr">
        <is>
          <t>Gizi Baik</t>
        </is>
      </c>
      <c r="I849" s="97" t="inlineStr">
        <is>
          <t>Ya</t>
        </is>
      </c>
      <c r="J849" s="97" t="inlineStr">
        <is>
          <t>Tidak</t>
        </is>
      </c>
    </row>
    <row r="850" ht="15.75" customHeight="1" s="95">
      <c r="A850" s="97" t="inlineStr">
        <is>
          <t>anonymus0849</t>
        </is>
      </c>
      <c r="B850" s="97" t="inlineStr">
        <is>
          <t xml:space="preserve">P </t>
        </is>
      </c>
      <c r="C850" s="97" t="inlineStr">
        <is>
          <t>35-69 Bulan</t>
        </is>
      </c>
      <c r="D850" s="97" t="inlineStr">
        <is>
          <t>13.2</t>
        </is>
      </c>
      <c r="E850" s="97" t="n">
        <v>96</v>
      </c>
      <c r="F850" s="97" t="inlineStr">
        <is>
          <t>Normal</t>
        </is>
      </c>
      <c r="G850" s="97" t="inlineStr">
        <is>
          <t>Normal</t>
        </is>
      </c>
      <c r="H850" s="97" t="inlineStr">
        <is>
          <t>Gizi Baik</t>
        </is>
      </c>
      <c r="I850" s="97" t="inlineStr">
        <is>
          <t>Ya</t>
        </is>
      </c>
      <c r="J850" s="97" t="inlineStr">
        <is>
          <t>Tidak</t>
        </is>
      </c>
    </row>
    <row r="851" ht="15.75" customHeight="1" s="95">
      <c r="A851" s="97" t="inlineStr">
        <is>
          <t>anonymus0850</t>
        </is>
      </c>
      <c r="B851" s="97" t="inlineStr">
        <is>
          <t>P</t>
        </is>
      </c>
      <c r="C851" s="97" t="inlineStr">
        <is>
          <t>1-34 Bulan</t>
        </is>
      </c>
      <c r="D851" s="97" t="n">
        <v>7.13</v>
      </c>
      <c r="E851" s="97" t="n">
        <v>72</v>
      </c>
      <c r="F851" s="97" t="inlineStr">
        <is>
          <t>Normal</t>
        </is>
      </c>
      <c r="G851" s="97" t="inlineStr">
        <is>
          <t>Normal</t>
        </is>
      </c>
      <c r="H851" s="97" t="inlineStr">
        <is>
          <t>Gizi Kurang</t>
        </is>
      </c>
      <c r="I851" s="97" t="inlineStr">
        <is>
          <t>Ya</t>
        </is>
      </c>
      <c r="J851" s="97" t="inlineStr">
        <is>
          <t>Tidak</t>
        </is>
      </c>
    </row>
    <row r="852" ht="15.75" customHeight="1" s="95">
      <c r="A852" s="97" t="inlineStr">
        <is>
          <t>anonymus0851</t>
        </is>
      </c>
      <c r="B852" s="97" t="inlineStr">
        <is>
          <t>L</t>
        </is>
      </c>
      <c r="C852" s="97" t="inlineStr">
        <is>
          <t>35-69 Bulan</t>
        </is>
      </c>
      <c r="D852" s="97" t="n">
        <v>13.6</v>
      </c>
      <c r="E852" s="97" t="n">
        <v>111</v>
      </c>
      <c r="F852" s="97" t="inlineStr">
        <is>
          <t>Normal</t>
        </is>
      </c>
      <c r="G852" s="97" t="inlineStr">
        <is>
          <t>Normal</t>
        </is>
      </c>
      <c r="H852" s="97" t="inlineStr">
        <is>
          <t>Gizi Baik</t>
        </is>
      </c>
      <c r="I852" s="97" t="inlineStr">
        <is>
          <t>Ya</t>
        </is>
      </c>
      <c r="J852" s="97" t="inlineStr">
        <is>
          <t>Tidak</t>
        </is>
      </c>
    </row>
    <row r="853" ht="15.75" customHeight="1" s="95">
      <c r="A853" s="97" t="inlineStr">
        <is>
          <t>anonymus0852</t>
        </is>
      </c>
      <c r="B853" s="97" t="inlineStr">
        <is>
          <t>L</t>
        </is>
      </c>
      <c r="C853" s="97" t="inlineStr">
        <is>
          <t>35-69 Bulan</t>
        </is>
      </c>
      <c r="D853" s="97" t="n">
        <v>11</v>
      </c>
      <c r="E853" s="97" t="n">
        <v>93</v>
      </c>
      <c r="F853" s="97" t="inlineStr">
        <is>
          <t>Kurang</t>
        </is>
      </c>
      <c r="G853" s="97" t="inlineStr">
        <is>
          <t>Normal</t>
        </is>
      </c>
      <c r="H853" s="97" t="inlineStr">
        <is>
          <t>Gizi Kurang</t>
        </is>
      </c>
      <c r="I853" s="97" t="inlineStr">
        <is>
          <t>Ya</t>
        </is>
      </c>
      <c r="J853" s="97" t="inlineStr">
        <is>
          <t>Tidak</t>
        </is>
      </c>
    </row>
    <row r="854" ht="15.75" customHeight="1" s="95">
      <c r="A854" s="97" t="inlineStr">
        <is>
          <t>anonymus0853</t>
        </is>
      </c>
      <c r="B854" s="97" t="inlineStr">
        <is>
          <t>P</t>
        </is>
      </c>
      <c r="C854" s="97" t="inlineStr">
        <is>
          <t>1-34 Bulan</t>
        </is>
      </c>
      <c r="D854" s="97" t="n">
        <v>7.8</v>
      </c>
      <c r="E854" s="97" t="n">
        <v>78</v>
      </c>
      <c r="F854" s="97" t="inlineStr">
        <is>
          <t>Kurang</t>
        </is>
      </c>
      <c r="G854" s="97" t="inlineStr">
        <is>
          <t>Normal</t>
        </is>
      </c>
      <c r="H854" s="97" t="inlineStr">
        <is>
          <t>Gizi Kurang</t>
        </is>
      </c>
      <c r="I854" s="97" t="inlineStr">
        <is>
          <t>Ya</t>
        </is>
      </c>
      <c r="J854" s="97" t="inlineStr">
        <is>
          <t>Tidak</t>
        </is>
      </c>
    </row>
    <row r="855" ht="15.75" customHeight="1" s="95">
      <c r="A855" s="97" t="inlineStr">
        <is>
          <t>anonymus0854</t>
        </is>
      </c>
      <c r="B855" s="97" t="inlineStr">
        <is>
          <t xml:space="preserve">L </t>
        </is>
      </c>
      <c r="C855" s="97" t="inlineStr">
        <is>
          <t>35-69 Bulan</t>
        </is>
      </c>
      <c r="D855" s="97" t="inlineStr">
        <is>
          <t>17.4</t>
        </is>
      </c>
      <c r="E855" s="97" t="n">
        <v>105</v>
      </c>
      <c r="F855" s="97" t="inlineStr">
        <is>
          <t>Normal</t>
        </is>
      </c>
      <c r="G855" s="97" t="inlineStr">
        <is>
          <t>Normal</t>
        </is>
      </c>
      <c r="H855" s="97" t="inlineStr">
        <is>
          <t>Gizi Baik</t>
        </is>
      </c>
      <c r="I855" s="97" t="inlineStr">
        <is>
          <t>Ya</t>
        </is>
      </c>
      <c r="J855" s="97" t="inlineStr">
        <is>
          <t>Tidak</t>
        </is>
      </c>
    </row>
    <row r="856" ht="15.75" customHeight="1" s="95">
      <c r="A856" s="97" t="inlineStr">
        <is>
          <t>anonymus0855</t>
        </is>
      </c>
      <c r="B856" s="97" t="inlineStr">
        <is>
          <t>P</t>
        </is>
      </c>
      <c r="C856" s="97" t="inlineStr">
        <is>
          <t>1-34 Bulan</t>
        </is>
      </c>
      <c r="D856" s="97" t="n">
        <v>12.5</v>
      </c>
      <c r="E856" s="97" t="n">
        <v>81</v>
      </c>
      <c r="F856" s="97" t="inlineStr">
        <is>
          <t>Normal</t>
        </is>
      </c>
      <c r="G856" s="97" t="inlineStr">
        <is>
          <t>Normal</t>
        </is>
      </c>
      <c r="H856" s="97" t="inlineStr">
        <is>
          <t>Gizi Baik</t>
        </is>
      </c>
      <c r="I856" s="97" t="inlineStr">
        <is>
          <t>Ya</t>
        </is>
      </c>
      <c r="J856" s="97" t="inlineStr">
        <is>
          <t>Tidak</t>
        </is>
      </c>
    </row>
    <row r="857" ht="15.75" customHeight="1" s="95">
      <c r="A857" s="97" t="inlineStr">
        <is>
          <t>anonymus0856</t>
        </is>
      </c>
      <c r="B857" s="97" t="inlineStr">
        <is>
          <t>L</t>
        </is>
      </c>
      <c r="C857" s="97" t="inlineStr">
        <is>
          <t>35-69 Bulan</t>
        </is>
      </c>
      <c r="D857" s="97" t="n">
        <v>12.3</v>
      </c>
      <c r="E857" s="97" t="n">
        <v>99</v>
      </c>
      <c r="F857" s="97" t="inlineStr">
        <is>
          <t>Kurang</t>
        </is>
      </c>
      <c r="G857" s="97" t="inlineStr">
        <is>
          <t>Normal</t>
        </is>
      </c>
      <c r="H857" s="97" t="inlineStr">
        <is>
          <t>Gizi Kurang</t>
        </is>
      </c>
      <c r="I857" s="97" t="inlineStr">
        <is>
          <t>Ya</t>
        </is>
      </c>
      <c r="J857" s="97" t="inlineStr">
        <is>
          <t>Tidak</t>
        </is>
      </c>
    </row>
    <row r="858" ht="15.75" customHeight="1" s="95">
      <c r="A858" s="97" t="inlineStr">
        <is>
          <t>anonymus0857</t>
        </is>
      </c>
      <c r="B858" s="97" t="inlineStr">
        <is>
          <t>L</t>
        </is>
      </c>
      <c r="C858" s="97" t="inlineStr">
        <is>
          <t>35-69 Bulan</t>
        </is>
      </c>
      <c r="D858" s="97" t="n">
        <v>12.4</v>
      </c>
      <c r="E858" s="97" t="n">
        <v>97</v>
      </c>
      <c r="F858" s="97" t="inlineStr">
        <is>
          <t>Normal</t>
        </is>
      </c>
      <c r="G858" s="97" t="inlineStr">
        <is>
          <t>Normal</t>
        </is>
      </c>
      <c r="H858" s="97" t="inlineStr">
        <is>
          <t>Gizi Kurang</t>
        </is>
      </c>
      <c r="I858" s="97" t="inlineStr">
        <is>
          <t>Ya</t>
        </is>
      </c>
      <c r="J858" s="97" t="inlineStr">
        <is>
          <t>Tidak</t>
        </is>
      </c>
    </row>
    <row r="859" ht="15.75" customHeight="1" s="95">
      <c r="A859" s="97" t="inlineStr">
        <is>
          <t>anonymus0858</t>
        </is>
      </c>
      <c r="B859" s="97" t="inlineStr">
        <is>
          <t>L</t>
        </is>
      </c>
      <c r="C859" s="97" t="inlineStr">
        <is>
          <t>35-69 Bulan</t>
        </is>
      </c>
      <c r="D859" s="97" t="n">
        <v>17.1</v>
      </c>
      <c r="E859" s="97" t="n">
        <v>101</v>
      </c>
      <c r="F859" s="97" t="inlineStr">
        <is>
          <t>Risiko Lebih</t>
        </is>
      </c>
      <c r="G859" s="97" t="inlineStr">
        <is>
          <t>Normal</t>
        </is>
      </c>
      <c r="H859" s="97" t="inlineStr">
        <is>
          <t>Gizi Lebih</t>
        </is>
      </c>
      <c r="I859" s="97" t="inlineStr">
        <is>
          <t>Ya</t>
        </is>
      </c>
      <c r="J859" s="97" t="inlineStr">
        <is>
          <t>Tidak</t>
        </is>
      </c>
    </row>
    <row r="860" ht="15.75" customHeight="1" s="95">
      <c r="A860" s="97" t="inlineStr">
        <is>
          <t>anonymus0859</t>
        </is>
      </c>
      <c r="B860" s="97" t="inlineStr">
        <is>
          <t xml:space="preserve">L </t>
        </is>
      </c>
      <c r="C860" s="97" t="inlineStr">
        <is>
          <t>35-69 Bulan</t>
        </is>
      </c>
      <c r="D860" s="97" t="inlineStr">
        <is>
          <t>14.3</t>
        </is>
      </c>
      <c r="E860" s="97" t="n">
        <v>100</v>
      </c>
      <c r="F860" s="97" t="inlineStr">
        <is>
          <t>Normal</t>
        </is>
      </c>
      <c r="G860" s="97" t="inlineStr">
        <is>
          <t>Normal</t>
        </is>
      </c>
      <c r="H860" s="97" t="inlineStr">
        <is>
          <t>Gizi Baik</t>
        </is>
      </c>
      <c r="I860" s="97" t="inlineStr">
        <is>
          <t>Ya</t>
        </is>
      </c>
      <c r="J860" s="97" t="inlineStr">
        <is>
          <t>Tidak</t>
        </is>
      </c>
    </row>
    <row r="861" ht="15.75" customHeight="1" s="95">
      <c r="A861" s="97" t="inlineStr">
        <is>
          <t>anonymus0860</t>
        </is>
      </c>
      <c r="B861" s="97" t="inlineStr">
        <is>
          <t>L</t>
        </is>
      </c>
      <c r="C861" s="97" t="inlineStr">
        <is>
          <t>35-69 Bulan</t>
        </is>
      </c>
      <c r="D861" s="97" t="n">
        <v>10</v>
      </c>
      <c r="E861" s="97" t="n">
        <v>84</v>
      </c>
      <c r="F861" s="97" t="inlineStr">
        <is>
          <t>Kurang</t>
        </is>
      </c>
      <c r="G861" s="97" t="inlineStr">
        <is>
          <t>Pendek</t>
        </is>
      </c>
      <c r="H861" s="97" t="inlineStr">
        <is>
          <t>Gizi Baik</t>
        </is>
      </c>
      <c r="I861" s="97" t="inlineStr">
        <is>
          <t>Ya</t>
        </is>
      </c>
      <c r="J861" s="97" t="inlineStr">
        <is>
          <t>Potensi Stunting</t>
        </is>
      </c>
    </row>
    <row r="862" ht="15.75" customHeight="1" s="95">
      <c r="A862" s="97" t="inlineStr">
        <is>
          <t>anonymus0861</t>
        </is>
      </c>
      <c r="B862" s="97" t="inlineStr">
        <is>
          <t>P</t>
        </is>
      </c>
      <c r="C862" s="97" t="inlineStr">
        <is>
          <t>1-34 Bulan</t>
        </is>
      </c>
      <c r="D862" s="97" t="n">
        <v>14.4</v>
      </c>
      <c r="E862" s="97" t="n">
        <v>81</v>
      </c>
      <c r="F862" s="97" t="inlineStr">
        <is>
          <t>Normal</t>
        </is>
      </c>
      <c r="G862" s="97" t="inlineStr">
        <is>
          <t>Normal</t>
        </is>
      </c>
      <c r="H862" s="97" t="inlineStr">
        <is>
          <t>Gizi Baik</t>
        </is>
      </c>
      <c r="I862" s="97" t="inlineStr">
        <is>
          <t>Ya</t>
        </is>
      </c>
      <c r="J862" s="97" t="inlineStr">
        <is>
          <t>Tidak</t>
        </is>
      </c>
    </row>
    <row r="863" ht="15.75" customHeight="1" s="95">
      <c r="A863" s="97" t="inlineStr">
        <is>
          <t>anonymus0862</t>
        </is>
      </c>
      <c r="B863" s="97" t="inlineStr">
        <is>
          <t xml:space="preserve">L </t>
        </is>
      </c>
      <c r="C863" s="97" t="inlineStr">
        <is>
          <t>35-69 Bulan</t>
        </is>
      </c>
      <c r="D863" s="97" t="inlineStr">
        <is>
          <t>16.9</t>
        </is>
      </c>
      <c r="E863" s="97" t="n">
        <v>102</v>
      </c>
      <c r="F863" s="97" t="inlineStr">
        <is>
          <t>Normal</t>
        </is>
      </c>
      <c r="G863" s="97" t="inlineStr">
        <is>
          <t>Normal</t>
        </is>
      </c>
      <c r="H863" s="97" t="inlineStr">
        <is>
          <t>Gizi Baik</t>
        </is>
      </c>
      <c r="I863" s="97" t="inlineStr">
        <is>
          <t>Ya</t>
        </is>
      </c>
      <c r="J863" s="97" t="inlineStr">
        <is>
          <t>Tidak</t>
        </is>
      </c>
    </row>
    <row r="864" ht="15.75" customHeight="1" s="95">
      <c r="A864" s="97" t="inlineStr">
        <is>
          <t>anonymus0863</t>
        </is>
      </c>
      <c r="B864" s="97" t="inlineStr">
        <is>
          <t>L</t>
        </is>
      </c>
      <c r="C864" s="97" t="inlineStr">
        <is>
          <t>35-69 Bulan</t>
        </is>
      </c>
      <c r="D864" s="97" t="n">
        <v>9.199999999999999</v>
      </c>
      <c r="E864" s="97" t="n">
        <v>81.7</v>
      </c>
      <c r="F864" s="97" t="inlineStr">
        <is>
          <t>Kurang</t>
        </is>
      </c>
      <c r="G864" s="97" t="inlineStr">
        <is>
          <t>Pendek</t>
        </is>
      </c>
      <c r="H864" s="97" t="inlineStr">
        <is>
          <t>Gizi Kurang</t>
        </is>
      </c>
      <c r="I864" s="97" t="inlineStr">
        <is>
          <t>Ya</t>
        </is>
      </c>
      <c r="J864" s="97" t="inlineStr">
        <is>
          <t>Potensi Stunting</t>
        </is>
      </c>
    </row>
    <row r="865" ht="15.75" customHeight="1" s="95">
      <c r="A865" s="97" t="inlineStr">
        <is>
          <t>anonymus0864</t>
        </is>
      </c>
      <c r="B865" s="97" t="inlineStr">
        <is>
          <t>L</t>
        </is>
      </c>
      <c r="C865" s="97" t="inlineStr">
        <is>
          <t>1-34 Bulan</t>
        </is>
      </c>
      <c r="D865" s="97" t="n">
        <v>13.7</v>
      </c>
      <c r="E865" s="97" t="n">
        <v>73</v>
      </c>
      <c r="F865" s="97" t="inlineStr">
        <is>
          <t>Normal</t>
        </is>
      </c>
      <c r="G865" s="97" t="inlineStr">
        <is>
          <t>Normal</t>
        </is>
      </c>
      <c r="H865" s="97" t="inlineStr">
        <is>
          <t>Gizi Baik</t>
        </is>
      </c>
      <c r="I865" s="97" t="inlineStr">
        <is>
          <t>Ya</t>
        </is>
      </c>
      <c r="J865" s="97" t="inlineStr">
        <is>
          <t>Tidak</t>
        </is>
      </c>
    </row>
    <row r="866" ht="15.75" customHeight="1" s="95">
      <c r="A866" s="97" t="inlineStr">
        <is>
          <t>anonymus0865</t>
        </is>
      </c>
      <c r="B866" s="97" t="inlineStr">
        <is>
          <t xml:space="preserve">L </t>
        </is>
      </c>
      <c r="C866" s="97" t="inlineStr">
        <is>
          <t>1-34 Bulan</t>
        </is>
      </c>
      <c r="D866" s="97" t="inlineStr">
        <is>
          <t>9.2</t>
        </is>
      </c>
      <c r="E866" s="97" t="n">
        <v>74</v>
      </c>
      <c r="F866" s="97" t="inlineStr">
        <is>
          <t>Normal</t>
        </is>
      </c>
      <c r="G866" s="97" t="inlineStr">
        <is>
          <t>Normal</t>
        </is>
      </c>
      <c r="H866" s="97" t="inlineStr">
        <is>
          <t>Gizi Baik</t>
        </is>
      </c>
      <c r="I866" s="97" t="inlineStr">
        <is>
          <t>Ya</t>
        </is>
      </c>
      <c r="J866" s="97" t="inlineStr">
        <is>
          <t>Tidak</t>
        </is>
      </c>
    </row>
    <row r="867" ht="15.75" customHeight="1" s="95">
      <c r="A867" s="97" t="inlineStr">
        <is>
          <t>anonymus0866</t>
        </is>
      </c>
      <c r="B867" s="97" t="inlineStr">
        <is>
          <t>L</t>
        </is>
      </c>
      <c r="C867" s="97" t="inlineStr">
        <is>
          <t>35-69 Bulan</t>
        </is>
      </c>
      <c r="D867" s="97" t="n">
        <v>17.4</v>
      </c>
      <c r="E867" s="97" t="n">
        <v>92</v>
      </c>
      <c r="F867" s="97" t="inlineStr">
        <is>
          <t>Risiko Lebih</t>
        </is>
      </c>
      <c r="G867" s="97" t="inlineStr">
        <is>
          <t>Normal</t>
        </is>
      </c>
      <c r="H867" s="97" t="inlineStr">
        <is>
          <t>Gizi Lebih</t>
        </is>
      </c>
      <c r="I867" s="97" t="inlineStr">
        <is>
          <t>Ya</t>
        </is>
      </c>
      <c r="J867" s="97" t="inlineStr">
        <is>
          <t>Tidak</t>
        </is>
      </c>
    </row>
    <row r="868" ht="15.75" customHeight="1" s="95">
      <c r="A868" s="97" t="inlineStr">
        <is>
          <t>anonymus0867</t>
        </is>
      </c>
      <c r="B868" s="97" t="inlineStr">
        <is>
          <t>L</t>
        </is>
      </c>
      <c r="C868" s="97" t="inlineStr">
        <is>
          <t>35-69 Bulan</t>
        </is>
      </c>
      <c r="D868" s="97" t="n">
        <v>17.5</v>
      </c>
      <c r="E868" s="97" t="n">
        <v>117</v>
      </c>
      <c r="F868" s="97" t="inlineStr">
        <is>
          <t>Risiko Lebih</t>
        </is>
      </c>
      <c r="G868" s="97" t="inlineStr">
        <is>
          <t>Normal</t>
        </is>
      </c>
      <c r="H868" s="97" t="inlineStr">
        <is>
          <t>Gizi Lebih</t>
        </is>
      </c>
      <c r="I868" s="97" t="inlineStr">
        <is>
          <t>Ya</t>
        </is>
      </c>
      <c r="J868" s="97" t="inlineStr">
        <is>
          <t>Tidak</t>
        </is>
      </c>
    </row>
    <row r="869" ht="15.75" customHeight="1" s="95">
      <c r="A869" s="97" t="inlineStr">
        <is>
          <t>anonymus0868</t>
        </is>
      </c>
      <c r="B869" s="97" t="inlineStr">
        <is>
          <t>L</t>
        </is>
      </c>
      <c r="C869" s="97" t="inlineStr">
        <is>
          <t>1-34 Bulan</t>
        </is>
      </c>
      <c r="D869" s="97" t="n">
        <v>6.6</v>
      </c>
      <c r="E869" s="97" t="n">
        <v>81</v>
      </c>
      <c r="F869" s="97" t="inlineStr">
        <is>
          <t>Kurang</t>
        </is>
      </c>
      <c r="G869" s="97" t="inlineStr">
        <is>
          <t>Normal</t>
        </is>
      </c>
      <c r="H869" s="97" t="inlineStr">
        <is>
          <t>Gizi Kurang</t>
        </is>
      </c>
      <c r="I869" s="97" t="inlineStr">
        <is>
          <t>Ya</t>
        </is>
      </c>
      <c r="J869" s="97" t="inlineStr">
        <is>
          <t>Tidak</t>
        </is>
      </c>
    </row>
    <row r="870" ht="15.75" customHeight="1" s="95">
      <c r="A870" s="97" t="inlineStr">
        <is>
          <t>anonymus0869</t>
        </is>
      </c>
      <c r="B870" s="97" t="inlineStr">
        <is>
          <t xml:space="preserve">P </t>
        </is>
      </c>
      <c r="C870" s="97" t="inlineStr">
        <is>
          <t>35-69 Bulan</t>
        </is>
      </c>
      <c r="D870" s="97" t="inlineStr">
        <is>
          <t>14.5</t>
        </is>
      </c>
      <c r="E870" s="97" t="n">
        <v>98</v>
      </c>
      <c r="F870" s="97" t="inlineStr">
        <is>
          <t>Normal</t>
        </is>
      </c>
      <c r="G870" s="97" t="inlineStr">
        <is>
          <t>Normal</t>
        </is>
      </c>
      <c r="H870" s="97" t="inlineStr">
        <is>
          <t>Gizi Baik</t>
        </is>
      </c>
      <c r="I870" s="97" t="inlineStr">
        <is>
          <t>Ya</t>
        </is>
      </c>
      <c r="J870" s="97" t="inlineStr">
        <is>
          <t>Tidak</t>
        </is>
      </c>
    </row>
    <row r="871" ht="15.75" customHeight="1" s="95">
      <c r="A871" s="97" t="inlineStr">
        <is>
          <t>anonymus0870</t>
        </is>
      </c>
      <c r="B871" s="97" t="inlineStr">
        <is>
          <t>L</t>
        </is>
      </c>
      <c r="C871" s="97" t="inlineStr">
        <is>
          <t>1-34 Bulan</t>
        </is>
      </c>
      <c r="D871" s="97" t="n">
        <v>8</v>
      </c>
      <c r="E871" s="97" t="n">
        <v>78</v>
      </c>
      <c r="F871" s="97" t="inlineStr">
        <is>
          <t>Kurang</t>
        </is>
      </c>
      <c r="G871" s="97" t="inlineStr">
        <is>
          <t>Normal</t>
        </is>
      </c>
      <c r="H871" s="97" t="inlineStr">
        <is>
          <t>Gizi Kurang</t>
        </is>
      </c>
      <c r="I871" s="97" t="inlineStr">
        <is>
          <t>Ya</t>
        </is>
      </c>
      <c r="J871" s="97" t="inlineStr">
        <is>
          <t>Tidak</t>
        </is>
      </c>
    </row>
    <row r="872" ht="15.75" customHeight="1" s="95">
      <c r="A872" s="97" t="inlineStr">
        <is>
          <t>anonymus0871</t>
        </is>
      </c>
      <c r="B872" s="97" t="inlineStr">
        <is>
          <t xml:space="preserve">L </t>
        </is>
      </c>
      <c r="C872" s="97" t="inlineStr">
        <is>
          <t>35-69 Bulan</t>
        </is>
      </c>
      <c r="D872" s="97" t="inlineStr">
        <is>
          <t>17.4</t>
        </is>
      </c>
      <c r="E872" s="97" t="n">
        <v>104</v>
      </c>
      <c r="F872" s="97" t="inlineStr">
        <is>
          <t>Normal</t>
        </is>
      </c>
      <c r="G872" s="97" t="inlineStr">
        <is>
          <t>Normal</t>
        </is>
      </c>
      <c r="H872" s="97" t="inlineStr">
        <is>
          <t>Gizi Baik</t>
        </is>
      </c>
      <c r="I872" s="97" t="inlineStr">
        <is>
          <t>Ya</t>
        </is>
      </c>
      <c r="J872" s="97" t="inlineStr">
        <is>
          <t>Tidak</t>
        </is>
      </c>
    </row>
    <row r="873" ht="15.75" customHeight="1" s="95">
      <c r="A873" s="97" t="inlineStr">
        <is>
          <t>anonymus0872</t>
        </is>
      </c>
      <c r="B873" s="97" t="inlineStr">
        <is>
          <t>L</t>
        </is>
      </c>
      <c r="C873" s="97" t="inlineStr">
        <is>
          <t>35-69 Bulan</t>
        </is>
      </c>
      <c r="D873" s="97" t="n">
        <v>13.7</v>
      </c>
      <c r="E873" s="97" t="n">
        <v>96</v>
      </c>
      <c r="F873" s="97" t="inlineStr">
        <is>
          <t>Normal</t>
        </is>
      </c>
      <c r="G873" s="97" t="inlineStr">
        <is>
          <t>Normal</t>
        </is>
      </c>
      <c r="H873" s="97" t="inlineStr">
        <is>
          <t>Gizi Baik</t>
        </is>
      </c>
      <c r="I873" s="97" t="inlineStr">
        <is>
          <t>Ya</t>
        </is>
      </c>
      <c r="J873" s="97" t="inlineStr">
        <is>
          <t>Tidak</t>
        </is>
      </c>
    </row>
    <row r="874" ht="15.75" customHeight="1" s="95">
      <c r="A874" s="97" t="inlineStr">
        <is>
          <t>anonymus0873</t>
        </is>
      </c>
      <c r="B874" s="97" t="inlineStr">
        <is>
          <t xml:space="preserve">L </t>
        </is>
      </c>
      <c r="C874" s="97" t="inlineStr">
        <is>
          <t>1-34 Bulan</t>
        </is>
      </c>
      <c r="D874" s="97" t="inlineStr">
        <is>
          <t>13.5</t>
        </is>
      </c>
      <c r="E874" s="97" t="n">
        <v>87</v>
      </c>
      <c r="F874" s="97" t="inlineStr">
        <is>
          <t>Normal</t>
        </is>
      </c>
      <c r="G874" s="97" t="inlineStr">
        <is>
          <t>Normal</t>
        </is>
      </c>
      <c r="H874" s="97" t="inlineStr">
        <is>
          <t>Risiko Gizi Lebih</t>
        </is>
      </c>
      <c r="I874" s="97" t="inlineStr">
        <is>
          <t>Ya</t>
        </is>
      </c>
      <c r="J874" s="97" t="inlineStr">
        <is>
          <t>Tidak</t>
        </is>
      </c>
    </row>
    <row r="875" ht="15.75" customHeight="1" s="95">
      <c r="A875" s="97" t="inlineStr">
        <is>
          <t>anonymus0874</t>
        </is>
      </c>
      <c r="B875" s="97" t="inlineStr">
        <is>
          <t>L</t>
        </is>
      </c>
      <c r="C875" s="97" t="inlineStr">
        <is>
          <t>1-34 Bulan</t>
        </is>
      </c>
      <c r="D875" s="97" t="n">
        <v>9.5</v>
      </c>
      <c r="E875" s="97" t="n">
        <v>85</v>
      </c>
      <c r="F875" s="97" t="inlineStr">
        <is>
          <t>Sangat Kurang</t>
        </is>
      </c>
      <c r="G875" s="97" t="inlineStr">
        <is>
          <t>Pendek</t>
        </is>
      </c>
      <c r="H875" s="97" t="inlineStr">
        <is>
          <t>Gizi Kurang</t>
        </is>
      </c>
      <c r="I875" s="97" t="inlineStr">
        <is>
          <t>Ya</t>
        </is>
      </c>
      <c r="J875" s="97" t="inlineStr">
        <is>
          <t>Potensi Stunting</t>
        </is>
      </c>
    </row>
    <row r="876" ht="15.75" customHeight="1" s="95">
      <c r="A876" s="97" t="inlineStr">
        <is>
          <t>anonymus0875</t>
        </is>
      </c>
      <c r="B876" s="97" t="inlineStr">
        <is>
          <t xml:space="preserve">L </t>
        </is>
      </c>
      <c r="C876" s="97" t="inlineStr">
        <is>
          <t>35-69 Bulan</t>
        </is>
      </c>
      <c r="D876" s="97" t="inlineStr">
        <is>
          <t>14.5</t>
        </is>
      </c>
      <c r="E876" s="97" t="n">
        <v>105</v>
      </c>
      <c r="F876" s="97" t="inlineStr">
        <is>
          <t>Normal</t>
        </is>
      </c>
      <c r="G876" s="97" t="inlineStr">
        <is>
          <t>Normal</t>
        </is>
      </c>
      <c r="H876" s="97" t="inlineStr">
        <is>
          <t>Gizi Baik</t>
        </is>
      </c>
      <c r="I876" s="97" t="inlineStr">
        <is>
          <t>Ya</t>
        </is>
      </c>
      <c r="J876" s="97" t="inlineStr">
        <is>
          <t>Tidak</t>
        </is>
      </c>
    </row>
    <row r="877" ht="15.75" customHeight="1" s="95">
      <c r="A877" s="97" t="inlineStr">
        <is>
          <t>anonymus0876</t>
        </is>
      </c>
      <c r="B877" s="97" t="inlineStr">
        <is>
          <t>L</t>
        </is>
      </c>
      <c r="C877" s="97" t="inlineStr">
        <is>
          <t>35-69 Bulan</t>
        </is>
      </c>
      <c r="D877" s="97" t="n">
        <v>15.2</v>
      </c>
      <c r="E877" s="97" t="n">
        <v>110</v>
      </c>
      <c r="F877" s="97" t="inlineStr">
        <is>
          <t>Normal</t>
        </is>
      </c>
      <c r="G877" s="97" t="inlineStr">
        <is>
          <t>Normal</t>
        </is>
      </c>
      <c r="H877" s="97" t="inlineStr">
        <is>
          <t>Gizi Baik</t>
        </is>
      </c>
      <c r="I877" s="97" t="inlineStr">
        <is>
          <t>Ya</t>
        </is>
      </c>
      <c r="J877" s="97" t="inlineStr">
        <is>
          <t>Tidak</t>
        </is>
      </c>
    </row>
    <row r="878" ht="15.75" customHeight="1" s="95">
      <c r="A878" s="97" t="inlineStr">
        <is>
          <t>anonymus0877</t>
        </is>
      </c>
      <c r="B878" s="97" t="inlineStr">
        <is>
          <t>P</t>
        </is>
      </c>
      <c r="C878" s="97" t="inlineStr">
        <is>
          <t>35-69 Bulan</t>
        </is>
      </c>
      <c r="D878" s="97" t="n">
        <v>16.7</v>
      </c>
      <c r="E878" s="97" t="n">
        <v>97</v>
      </c>
      <c r="F878" s="97" t="inlineStr">
        <is>
          <t>Normal</t>
        </is>
      </c>
      <c r="G878" s="97" t="inlineStr">
        <is>
          <t>Normal</t>
        </is>
      </c>
      <c r="H878" s="97" t="inlineStr">
        <is>
          <t>Gizi Baik</t>
        </is>
      </c>
      <c r="I878" s="97" t="inlineStr">
        <is>
          <t>Ya</t>
        </is>
      </c>
      <c r="J878" s="97" t="inlineStr">
        <is>
          <t>Tidak</t>
        </is>
      </c>
    </row>
    <row r="879" ht="15.75" customHeight="1" s="95">
      <c r="A879" s="97" t="inlineStr">
        <is>
          <t>anonymus0878</t>
        </is>
      </c>
      <c r="B879" s="97" t="inlineStr">
        <is>
          <t>L</t>
        </is>
      </c>
      <c r="C879" s="97" t="inlineStr">
        <is>
          <t>35-69 Bulan</t>
        </is>
      </c>
      <c r="D879" s="97" t="n">
        <v>14.5</v>
      </c>
      <c r="E879" s="97" t="n">
        <v>109</v>
      </c>
      <c r="F879" s="97" t="inlineStr">
        <is>
          <t>Normal</t>
        </is>
      </c>
      <c r="G879" s="97" t="inlineStr">
        <is>
          <t>Normal</t>
        </is>
      </c>
      <c r="H879" s="97" t="inlineStr">
        <is>
          <t>Gizi Baik</t>
        </is>
      </c>
      <c r="I879" s="97" t="inlineStr">
        <is>
          <t>Ya</t>
        </is>
      </c>
      <c r="J879" s="97" t="inlineStr">
        <is>
          <t>Tidak</t>
        </is>
      </c>
    </row>
    <row r="880" ht="15.75" customHeight="1" s="95">
      <c r="A880" s="97" t="inlineStr">
        <is>
          <t>anonymus0879</t>
        </is>
      </c>
      <c r="B880" s="97" t="inlineStr">
        <is>
          <t>L</t>
        </is>
      </c>
      <c r="C880" s="97" t="inlineStr">
        <is>
          <t>35-69 Bulan</t>
        </is>
      </c>
      <c r="D880" s="97" t="n">
        <v>16.2</v>
      </c>
      <c r="E880" s="97" t="n">
        <v>112</v>
      </c>
      <c r="F880" s="97" t="inlineStr">
        <is>
          <t>Normal</t>
        </is>
      </c>
      <c r="G880" s="97" t="inlineStr">
        <is>
          <t>Normal</t>
        </is>
      </c>
      <c r="H880" s="97" t="inlineStr">
        <is>
          <t>Gizi Baik</t>
        </is>
      </c>
      <c r="I880" s="97" t="inlineStr">
        <is>
          <t>Ya</t>
        </is>
      </c>
      <c r="J880" s="97" t="inlineStr">
        <is>
          <t>Tidak</t>
        </is>
      </c>
    </row>
    <row r="881" ht="15.75" customHeight="1" s="95">
      <c r="A881" s="97" t="inlineStr">
        <is>
          <t>anonymus0880</t>
        </is>
      </c>
      <c r="B881" s="97" t="inlineStr">
        <is>
          <t xml:space="preserve">L </t>
        </is>
      </c>
      <c r="C881" s="97" t="inlineStr">
        <is>
          <t>35-69 Bulan</t>
        </is>
      </c>
      <c r="D881" s="97" t="n">
        <v>21</v>
      </c>
      <c r="E881" s="97" t="n">
        <v>105</v>
      </c>
      <c r="F881" s="97" t="inlineStr">
        <is>
          <t>Risiko Lebih</t>
        </is>
      </c>
      <c r="G881" s="97" t="inlineStr">
        <is>
          <t>Normal</t>
        </is>
      </c>
      <c r="H881" s="97" t="inlineStr">
        <is>
          <t>Gizi Lebih</t>
        </is>
      </c>
      <c r="I881" s="97" t="inlineStr">
        <is>
          <t>Ya</t>
        </is>
      </c>
      <c r="J881" s="97" t="inlineStr">
        <is>
          <t>Tidak</t>
        </is>
      </c>
    </row>
    <row r="882" ht="15.75" customHeight="1" s="95">
      <c r="A882" s="97" t="inlineStr">
        <is>
          <t>anonymus0881</t>
        </is>
      </c>
      <c r="B882" s="97" t="inlineStr">
        <is>
          <t xml:space="preserve">L </t>
        </is>
      </c>
      <c r="C882" s="97" t="inlineStr">
        <is>
          <t>1-34 Bulan</t>
        </is>
      </c>
      <c r="D882" s="97" t="inlineStr">
        <is>
          <t>12.1</t>
        </is>
      </c>
      <c r="E882" s="97" t="n">
        <v>86</v>
      </c>
      <c r="F882" s="97" t="inlineStr">
        <is>
          <t>Normal</t>
        </is>
      </c>
      <c r="G882" s="97" t="inlineStr">
        <is>
          <t>Normal</t>
        </is>
      </c>
      <c r="H882" s="97" t="inlineStr">
        <is>
          <t>Gizi Baik</t>
        </is>
      </c>
      <c r="I882" s="97" t="inlineStr">
        <is>
          <t>Ya</t>
        </is>
      </c>
      <c r="J882" s="97" t="inlineStr">
        <is>
          <t>Tidak</t>
        </is>
      </c>
    </row>
    <row r="883" ht="15.75" customHeight="1" s="95">
      <c r="A883" s="97" t="inlineStr">
        <is>
          <t>anonymus0882</t>
        </is>
      </c>
      <c r="B883" s="97" t="inlineStr">
        <is>
          <t xml:space="preserve">L </t>
        </is>
      </c>
      <c r="C883" s="97" t="inlineStr">
        <is>
          <t>1-34 Bulan</t>
        </is>
      </c>
      <c r="D883" s="97" t="inlineStr">
        <is>
          <t>16.5</t>
        </is>
      </c>
      <c r="E883" s="97" t="n">
        <v>105</v>
      </c>
      <c r="F883" s="97" t="inlineStr">
        <is>
          <t>Normal</t>
        </is>
      </c>
      <c r="G883" s="97" t="inlineStr">
        <is>
          <t>Normal</t>
        </is>
      </c>
      <c r="H883" s="97" t="inlineStr">
        <is>
          <t>Gizi Baik</t>
        </is>
      </c>
      <c r="I883" s="97" t="inlineStr">
        <is>
          <t>Ya</t>
        </is>
      </c>
      <c r="J883" s="97" t="inlineStr">
        <is>
          <t>Tidak</t>
        </is>
      </c>
    </row>
    <row r="884" ht="15.75" customHeight="1" s="95">
      <c r="A884" s="97" t="inlineStr">
        <is>
          <t>anonymus0883</t>
        </is>
      </c>
      <c r="B884" s="97" t="inlineStr">
        <is>
          <t xml:space="preserve">L </t>
        </is>
      </c>
      <c r="C884" s="97" t="inlineStr">
        <is>
          <t>35-69 Bulan</t>
        </is>
      </c>
      <c r="D884" s="97" t="inlineStr">
        <is>
          <t>18.2</t>
        </is>
      </c>
      <c r="E884" s="97" t="n">
        <v>104</v>
      </c>
      <c r="F884" s="97" t="inlineStr">
        <is>
          <t>Normal</t>
        </is>
      </c>
      <c r="G884" s="97" t="inlineStr">
        <is>
          <t>Normal</t>
        </is>
      </c>
      <c r="H884" s="97" t="inlineStr">
        <is>
          <t>Risiko Gizi Lebih</t>
        </is>
      </c>
      <c r="I884" s="97" t="inlineStr">
        <is>
          <t>Ya</t>
        </is>
      </c>
      <c r="J884" s="97" t="inlineStr">
        <is>
          <t>Tidak</t>
        </is>
      </c>
    </row>
    <row r="885" ht="15.75" customHeight="1" s="95">
      <c r="A885" s="97" t="inlineStr">
        <is>
          <t>anonymus0884</t>
        </is>
      </c>
      <c r="B885" s="97" t="inlineStr">
        <is>
          <t>P</t>
        </is>
      </c>
      <c r="C885" s="97" t="inlineStr">
        <is>
          <t>35-69 Bulan</t>
        </is>
      </c>
      <c r="D885" s="97" t="n">
        <v>13.4</v>
      </c>
      <c r="E885" s="97" t="n">
        <v>102</v>
      </c>
      <c r="F885" s="97" t="inlineStr">
        <is>
          <t>Normal</t>
        </is>
      </c>
      <c r="G885" s="97" t="inlineStr">
        <is>
          <t>Normal</t>
        </is>
      </c>
      <c r="H885" s="97" t="inlineStr">
        <is>
          <t>Gizi Baik</t>
        </is>
      </c>
      <c r="I885" s="97" t="inlineStr">
        <is>
          <t>Ya</t>
        </is>
      </c>
      <c r="J885" s="97" t="inlineStr">
        <is>
          <t>Tidak</t>
        </is>
      </c>
    </row>
    <row r="886" ht="15.75" customHeight="1" s="95">
      <c r="A886" s="97" t="inlineStr">
        <is>
          <t>anonymus0885</t>
        </is>
      </c>
      <c r="B886" s="97" t="inlineStr">
        <is>
          <t>L</t>
        </is>
      </c>
      <c r="C886" s="97" t="inlineStr">
        <is>
          <t>1-34 Bulan</t>
        </is>
      </c>
      <c r="D886" s="97" t="n">
        <v>6.3</v>
      </c>
      <c r="E886" s="97" t="n">
        <v>89</v>
      </c>
      <c r="F886" s="97" t="inlineStr">
        <is>
          <t>Kurang</t>
        </is>
      </c>
      <c r="G886" s="97" t="inlineStr">
        <is>
          <t>Normal</t>
        </is>
      </c>
      <c r="H886" s="97" t="inlineStr">
        <is>
          <t>Gizi Kurang</t>
        </is>
      </c>
      <c r="I886" s="97" t="inlineStr">
        <is>
          <t>Ya</t>
        </is>
      </c>
      <c r="J886" s="97" t="inlineStr">
        <is>
          <t>Tidak</t>
        </is>
      </c>
    </row>
    <row r="887" ht="15.75" customHeight="1" s="95">
      <c r="A887" s="97" t="inlineStr">
        <is>
          <t>anonymus0886</t>
        </is>
      </c>
      <c r="B887" s="97" t="inlineStr">
        <is>
          <t>P</t>
        </is>
      </c>
      <c r="C887" s="97" t="inlineStr">
        <is>
          <t>35-69 Bulan</t>
        </is>
      </c>
      <c r="D887" s="97" t="n">
        <v>8.5</v>
      </c>
      <c r="E887" s="97" t="n">
        <v>73</v>
      </c>
      <c r="F887" s="97" t="inlineStr">
        <is>
          <t>Kurang</t>
        </is>
      </c>
      <c r="G887" s="97" t="inlineStr">
        <is>
          <t>Sangat Pendek</t>
        </is>
      </c>
      <c r="H887" s="97" t="inlineStr">
        <is>
          <t>Gizi Baik</t>
        </is>
      </c>
      <c r="I887" s="97" t="inlineStr">
        <is>
          <t>Ya</t>
        </is>
      </c>
      <c r="J887" s="97" t="inlineStr">
        <is>
          <t>Stunting</t>
        </is>
      </c>
    </row>
    <row r="888" ht="15.75" customHeight="1" s="95">
      <c r="A888" s="97" t="inlineStr">
        <is>
          <t>anonymus0887</t>
        </is>
      </c>
      <c r="B888" s="97" t="inlineStr">
        <is>
          <t>L</t>
        </is>
      </c>
      <c r="C888" s="97" t="inlineStr">
        <is>
          <t>35-69 Bulan</t>
        </is>
      </c>
      <c r="D888" s="97" t="n">
        <v>8.9</v>
      </c>
      <c r="E888" s="97" t="n">
        <v>78.40000000000001</v>
      </c>
      <c r="F888" s="97" t="inlineStr">
        <is>
          <t>Sangat Kurang</t>
        </is>
      </c>
      <c r="G888" s="97" t="inlineStr">
        <is>
          <t>Sangat Pendek</t>
        </is>
      </c>
      <c r="H888" s="97" t="inlineStr">
        <is>
          <t>Gizi Baik</t>
        </is>
      </c>
      <c r="I888" s="97" t="inlineStr">
        <is>
          <t>Ya</t>
        </is>
      </c>
      <c r="J888" s="97" t="inlineStr">
        <is>
          <t>Stunting</t>
        </is>
      </c>
    </row>
    <row r="889" ht="15.75" customHeight="1" s="95">
      <c r="A889" s="97" t="inlineStr">
        <is>
          <t>anonymus0888</t>
        </is>
      </c>
      <c r="B889" s="97" t="inlineStr">
        <is>
          <t>L</t>
        </is>
      </c>
      <c r="C889" s="97" t="inlineStr">
        <is>
          <t>1-34 Bulan</t>
        </is>
      </c>
      <c r="D889" s="97" t="n">
        <v>13.7</v>
      </c>
      <c r="E889" s="97" t="n">
        <v>85</v>
      </c>
      <c r="F889" s="97" t="inlineStr">
        <is>
          <t>Normal</t>
        </is>
      </c>
      <c r="G889" s="97" t="inlineStr">
        <is>
          <t>Normal</t>
        </is>
      </c>
      <c r="H889" s="97" t="inlineStr">
        <is>
          <t>Gizi Baik</t>
        </is>
      </c>
      <c r="I889" s="97" t="inlineStr">
        <is>
          <t>Ya</t>
        </is>
      </c>
      <c r="J889" s="97" t="inlineStr">
        <is>
          <t>Tidak</t>
        </is>
      </c>
    </row>
    <row r="890" ht="15.75" customHeight="1" s="95">
      <c r="A890" s="97" t="inlineStr">
        <is>
          <t>anonymus0889</t>
        </is>
      </c>
      <c r="B890" s="97" t="inlineStr">
        <is>
          <t xml:space="preserve">P </t>
        </is>
      </c>
      <c r="C890" s="97" t="inlineStr">
        <is>
          <t>35-69 Bulan</t>
        </is>
      </c>
      <c r="D890" s="97" t="inlineStr">
        <is>
          <t>14.4</t>
        </is>
      </c>
      <c r="E890" s="97" t="n">
        <v>101</v>
      </c>
      <c r="F890" s="97" t="inlineStr">
        <is>
          <t>Normal</t>
        </is>
      </c>
      <c r="G890" s="97" t="inlineStr">
        <is>
          <t>Normal</t>
        </is>
      </c>
      <c r="H890" s="97" t="inlineStr">
        <is>
          <t>Gizi Baik</t>
        </is>
      </c>
      <c r="I890" s="97" t="inlineStr">
        <is>
          <t>Ya</t>
        </is>
      </c>
      <c r="J890" s="97" t="inlineStr">
        <is>
          <t>Tidak</t>
        </is>
      </c>
    </row>
    <row r="891" ht="15.75" customHeight="1" s="95">
      <c r="A891" s="97" t="inlineStr">
        <is>
          <t>anonymus0890</t>
        </is>
      </c>
      <c r="B891" s="97" t="inlineStr">
        <is>
          <t>P</t>
        </is>
      </c>
      <c r="C891" s="97" t="inlineStr">
        <is>
          <t>35-69 Bulan</t>
        </is>
      </c>
      <c r="D891" s="97" t="n">
        <v>16.5</v>
      </c>
      <c r="E891" s="97" t="n">
        <v>105</v>
      </c>
      <c r="F891" s="97" t="inlineStr">
        <is>
          <t>Normal</t>
        </is>
      </c>
      <c r="G891" s="97" t="inlineStr">
        <is>
          <t>Normal</t>
        </is>
      </c>
      <c r="H891" s="97" t="inlineStr">
        <is>
          <t>Gizi Baik</t>
        </is>
      </c>
      <c r="I891" s="97" t="inlineStr">
        <is>
          <t>Ya</t>
        </is>
      </c>
      <c r="J891" s="97" t="inlineStr">
        <is>
          <t>Tidak</t>
        </is>
      </c>
    </row>
    <row r="892" ht="15.75" customHeight="1" s="95">
      <c r="A892" s="97" t="inlineStr">
        <is>
          <t>anonymus0891</t>
        </is>
      </c>
      <c r="B892" s="97" t="inlineStr">
        <is>
          <t>L</t>
        </is>
      </c>
      <c r="C892" s="97" t="inlineStr">
        <is>
          <t>35-69 Bulan</t>
        </is>
      </c>
      <c r="D892" s="97" t="n">
        <v>12</v>
      </c>
      <c r="E892" s="97" t="n">
        <v>85</v>
      </c>
      <c r="F892" s="97" t="inlineStr">
        <is>
          <t>Normal</t>
        </is>
      </c>
      <c r="G892" s="97" t="inlineStr">
        <is>
          <t>Pendek</t>
        </is>
      </c>
      <c r="H892" s="97" t="inlineStr">
        <is>
          <t>Gizi Baik</t>
        </is>
      </c>
      <c r="I892" s="97" t="inlineStr">
        <is>
          <t>Ya</t>
        </is>
      </c>
      <c r="J892" s="97" t="inlineStr">
        <is>
          <t>Potensi Stunting</t>
        </is>
      </c>
    </row>
    <row r="893" ht="15.75" customHeight="1" s="95">
      <c r="A893" s="97" t="inlineStr">
        <is>
          <t>anonymus0892</t>
        </is>
      </c>
      <c r="B893" s="97" t="inlineStr">
        <is>
          <t>L</t>
        </is>
      </c>
      <c r="C893" s="97" t="inlineStr">
        <is>
          <t>35-69 Bulan</t>
        </is>
      </c>
      <c r="D893" s="97" t="n">
        <v>11.3</v>
      </c>
      <c r="E893" s="97" t="n">
        <v>81</v>
      </c>
      <c r="F893" s="97" t="inlineStr">
        <is>
          <t>Normal</t>
        </is>
      </c>
      <c r="G893" s="97" t="inlineStr">
        <is>
          <t>Sangat Pendek</t>
        </is>
      </c>
      <c r="H893" s="97" t="inlineStr">
        <is>
          <t>Gizi Baik</t>
        </is>
      </c>
      <c r="I893" s="97" t="inlineStr">
        <is>
          <t>Tidak</t>
        </is>
      </c>
      <c r="J893" s="97" t="inlineStr">
        <is>
          <t>Stunting</t>
        </is>
      </c>
    </row>
    <row r="894" ht="15.75" customHeight="1" s="95">
      <c r="A894" s="97" t="inlineStr">
        <is>
          <t>anonymus0893</t>
        </is>
      </c>
      <c r="B894" s="97" t="inlineStr">
        <is>
          <t xml:space="preserve">P </t>
        </is>
      </c>
      <c r="C894" s="97" t="inlineStr">
        <is>
          <t>1-34 Bulan</t>
        </is>
      </c>
      <c r="D894" s="97" t="inlineStr">
        <is>
          <t>9.3</t>
        </is>
      </c>
      <c r="E894" s="97" t="n">
        <v>76</v>
      </c>
      <c r="F894" s="97" t="inlineStr">
        <is>
          <t>Normal</t>
        </is>
      </c>
      <c r="G894" s="97" t="inlineStr">
        <is>
          <t>Pendek</t>
        </is>
      </c>
      <c r="H894" s="97" t="inlineStr">
        <is>
          <t>Gizi Baik</t>
        </is>
      </c>
      <c r="I894" s="97" t="inlineStr">
        <is>
          <t>Ya</t>
        </is>
      </c>
      <c r="J894" s="97" t="inlineStr">
        <is>
          <t>Potensi Stunting</t>
        </is>
      </c>
    </row>
    <row r="895" ht="15.75" customHeight="1" s="95">
      <c r="A895" s="97" t="inlineStr">
        <is>
          <t>anonymus0894</t>
        </is>
      </c>
      <c r="B895" s="97" t="inlineStr">
        <is>
          <t xml:space="preserve">L </t>
        </is>
      </c>
      <c r="C895" s="97" t="inlineStr">
        <is>
          <t>35-69 Bulan</t>
        </is>
      </c>
      <c r="D895" s="97" t="inlineStr">
        <is>
          <t>15.7</t>
        </is>
      </c>
      <c r="E895" s="97" t="n">
        <v>101</v>
      </c>
      <c r="F895" s="97" t="inlineStr">
        <is>
          <t>Normal</t>
        </is>
      </c>
      <c r="G895" s="97" t="inlineStr">
        <is>
          <t>Normal</t>
        </is>
      </c>
      <c r="H895" s="97" t="inlineStr">
        <is>
          <t>Gizi Baik</t>
        </is>
      </c>
      <c r="I895" s="97" t="inlineStr">
        <is>
          <t>Ya</t>
        </is>
      </c>
      <c r="J895" s="97" t="inlineStr">
        <is>
          <t>Tidak</t>
        </is>
      </c>
    </row>
    <row r="896" ht="15.75" customHeight="1" s="95">
      <c r="A896" s="97" t="inlineStr">
        <is>
          <t>anonymus0895</t>
        </is>
      </c>
      <c r="B896" s="97" t="inlineStr">
        <is>
          <t xml:space="preserve">L </t>
        </is>
      </c>
      <c r="C896" s="97" t="inlineStr">
        <is>
          <t>35-69 Bulan</t>
        </is>
      </c>
      <c r="D896" s="97" t="inlineStr">
        <is>
          <t>19.6</t>
        </is>
      </c>
      <c r="E896" s="97" t="n">
        <v>105</v>
      </c>
      <c r="F896" s="97" t="inlineStr">
        <is>
          <t>Risiko Lebih</t>
        </is>
      </c>
      <c r="G896" s="97" t="inlineStr">
        <is>
          <t>Normal</t>
        </is>
      </c>
      <c r="H896" s="97" t="inlineStr">
        <is>
          <t>Risiko Gizi Lebih</t>
        </is>
      </c>
      <c r="I896" s="97" t="inlineStr">
        <is>
          <t>Ya</t>
        </is>
      </c>
      <c r="J896" s="97" t="inlineStr">
        <is>
          <t>Tidak</t>
        </is>
      </c>
    </row>
    <row r="897" ht="15.75" customHeight="1" s="95">
      <c r="A897" s="97" t="inlineStr">
        <is>
          <t>anonymus0896</t>
        </is>
      </c>
      <c r="B897" s="97" t="inlineStr">
        <is>
          <t xml:space="preserve">L </t>
        </is>
      </c>
      <c r="C897" s="97" t="inlineStr">
        <is>
          <t>35-69 Bulan</t>
        </is>
      </c>
      <c r="D897" s="97" t="inlineStr">
        <is>
          <t>14.9</t>
        </is>
      </c>
      <c r="E897" s="97" t="n">
        <v>98</v>
      </c>
      <c r="F897" s="97" t="inlineStr">
        <is>
          <t>Normal</t>
        </is>
      </c>
      <c r="G897" s="97" t="inlineStr">
        <is>
          <t>Normal</t>
        </is>
      </c>
      <c r="H897" s="97" t="inlineStr">
        <is>
          <t>Gizi Baik</t>
        </is>
      </c>
      <c r="I897" s="97" t="inlineStr">
        <is>
          <t>Ya</t>
        </is>
      </c>
      <c r="J897" s="97" t="inlineStr">
        <is>
          <t>Tidak</t>
        </is>
      </c>
    </row>
    <row r="898" ht="15.75" customHeight="1" s="95">
      <c r="A898" s="97" t="inlineStr">
        <is>
          <t>anonymus0897</t>
        </is>
      </c>
      <c r="B898" s="97" t="inlineStr">
        <is>
          <t xml:space="preserve">L </t>
        </is>
      </c>
      <c r="C898" s="97" t="inlineStr">
        <is>
          <t>35-69 Bulan</t>
        </is>
      </c>
      <c r="D898" s="97" t="inlineStr">
        <is>
          <t>18.3</t>
        </is>
      </c>
      <c r="E898" s="97" t="n">
        <v>105</v>
      </c>
      <c r="F898" s="97" t="inlineStr">
        <is>
          <t>Normal</t>
        </is>
      </c>
      <c r="G898" s="97" t="inlineStr">
        <is>
          <t>Normal</t>
        </is>
      </c>
      <c r="H898" s="97" t="inlineStr">
        <is>
          <t>Gizi Baik</t>
        </is>
      </c>
      <c r="I898" s="97" t="inlineStr">
        <is>
          <t>Ya</t>
        </is>
      </c>
      <c r="J898" s="97" t="inlineStr">
        <is>
          <t>Tidak</t>
        </is>
      </c>
    </row>
    <row r="899" ht="15.75" customHeight="1" s="95">
      <c r="A899" s="97" t="inlineStr">
        <is>
          <t>anonymus0898</t>
        </is>
      </c>
      <c r="B899" s="97" t="inlineStr">
        <is>
          <t>L</t>
        </is>
      </c>
      <c r="C899" s="97" t="inlineStr">
        <is>
          <t>35-69 Bulan</t>
        </is>
      </c>
      <c r="D899" s="97" t="n">
        <v>13.3</v>
      </c>
      <c r="E899" s="97" t="n">
        <v>104</v>
      </c>
      <c r="F899" s="97" t="inlineStr">
        <is>
          <t>Normal</t>
        </is>
      </c>
      <c r="G899" s="97" t="inlineStr">
        <is>
          <t>Normal</t>
        </is>
      </c>
      <c r="H899" s="97" t="inlineStr">
        <is>
          <t>Gizi Kurang</t>
        </is>
      </c>
      <c r="I899" s="97" t="inlineStr">
        <is>
          <t>Ya</t>
        </is>
      </c>
      <c r="J899" s="97" t="inlineStr">
        <is>
          <t>Tidak</t>
        </is>
      </c>
    </row>
    <row r="900" ht="15.75" customHeight="1" s="95">
      <c r="A900" s="97" t="inlineStr">
        <is>
          <t>anonymus0899</t>
        </is>
      </c>
      <c r="B900" s="97" t="inlineStr">
        <is>
          <t xml:space="preserve">L </t>
        </is>
      </c>
      <c r="C900" s="97" t="inlineStr">
        <is>
          <t>1-34 Bulan</t>
        </is>
      </c>
      <c r="D900" s="97" t="inlineStr">
        <is>
          <t>9.5</t>
        </is>
      </c>
      <c r="E900" s="97" t="n">
        <v>77</v>
      </c>
      <c r="F900" s="97" t="inlineStr">
        <is>
          <t>Normal</t>
        </is>
      </c>
      <c r="G900" s="97" t="inlineStr">
        <is>
          <t>Normal</t>
        </is>
      </c>
      <c r="H900" s="97" t="inlineStr">
        <is>
          <t>Gizi Baik</t>
        </is>
      </c>
      <c r="I900" s="97" t="inlineStr">
        <is>
          <t>Ya</t>
        </is>
      </c>
      <c r="J900" s="97" t="inlineStr">
        <is>
          <t>Tidak</t>
        </is>
      </c>
    </row>
    <row r="901" ht="15.75" customHeight="1" s="95">
      <c r="A901" s="97" t="inlineStr">
        <is>
          <t>anonymus0900</t>
        </is>
      </c>
      <c r="B901" s="97" t="inlineStr">
        <is>
          <t>P</t>
        </is>
      </c>
      <c r="C901" s="97" t="inlineStr">
        <is>
          <t>35-69 Bulan</t>
        </is>
      </c>
      <c r="D901" s="97" t="n">
        <v>8.4</v>
      </c>
      <c r="E901" s="97" t="n">
        <v>75</v>
      </c>
      <c r="F901" s="97" t="inlineStr">
        <is>
          <t>Sangat Kurang</t>
        </is>
      </c>
      <c r="G901" s="97" t="inlineStr">
        <is>
          <t>Sangat Pendek</t>
        </is>
      </c>
      <c r="H901" s="97" t="inlineStr">
        <is>
          <t>Gizi Baik</t>
        </is>
      </c>
      <c r="I901" s="97" t="inlineStr">
        <is>
          <t>Ya</t>
        </is>
      </c>
      <c r="J901" s="97" t="inlineStr">
        <is>
          <t>Stunting</t>
        </is>
      </c>
    </row>
    <row r="902" ht="15.75" customHeight="1" s="95">
      <c r="A902" s="97" t="inlineStr">
        <is>
          <t>anonymus0901</t>
        </is>
      </c>
      <c r="B902" s="97" t="inlineStr">
        <is>
          <t>L</t>
        </is>
      </c>
      <c r="C902" s="97" t="inlineStr">
        <is>
          <t>35-69 Bulan</t>
        </is>
      </c>
      <c r="D902" s="97" t="n">
        <v>15.2</v>
      </c>
      <c r="E902" s="97" t="n">
        <v>114</v>
      </c>
      <c r="F902" s="97" t="inlineStr">
        <is>
          <t>Normal</t>
        </is>
      </c>
      <c r="G902" s="97" t="inlineStr">
        <is>
          <t>Normal</t>
        </is>
      </c>
      <c r="H902" s="97" t="inlineStr">
        <is>
          <t>Gizi Baik</t>
        </is>
      </c>
      <c r="I902" s="97" t="inlineStr">
        <is>
          <t>Ya</t>
        </is>
      </c>
      <c r="J902" s="97" t="inlineStr">
        <is>
          <t>Tidak</t>
        </is>
      </c>
    </row>
    <row r="903" ht="15.75" customHeight="1" s="95">
      <c r="A903" s="97" t="inlineStr">
        <is>
          <t>anonymus0902</t>
        </is>
      </c>
      <c r="B903" s="97" t="inlineStr">
        <is>
          <t>L</t>
        </is>
      </c>
      <c r="C903" s="97" t="inlineStr">
        <is>
          <t>1-34 Bulan</t>
        </is>
      </c>
      <c r="D903" s="97" t="n">
        <v>13</v>
      </c>
      <c r="E903" s="97" t="n">
        <v>88</v>
      </c>
      <c r="F903" s="97" t="inlineStr">
        <is>
          <t>Normal</t>
        </is>
      </c>
      <c r="G903" s="97" t="inlineStr">
        <is>
          <t>Normal</t>
        </is>
      </c>
      <c r="H903" s="97" t="inlineStr">
        <is>
          <t>Gizi Baik</t>
        </is>
      </c>
      <c r="I903" s="97" t="inlineStr">
        <is>
          <t>Ya</t>
        </is>
      </c>
      <c r="J903" s="97" t="inlineStr">
        <is>
          <t>Tidak</t>
        </is>
      </c>
    </row>
    <row r="904" ht="15.75" customHeight="1" s="95">
      <c r="A904" s="97" t="inlineStr">
        <is>
          <t>anonymus0903</t>
        </is>
      </c>
      <c r="B904" s="97" t="inlineStr">
        <is>
          <t xml:space="preserve">P </t>
        </is>
      </c>
      <c r="C904" s="97" t="inlineStr">
        <is>
          <t>35-69 Bulan</t>
        </is>
      </c>
      <c r="D904" s="97" t="n">
        <v>11</v>
      </c>
      <c r="E904" s="97" t="n">
        <v>94</v>
      </c>
      <c r="F904" s="97" t="inlineStr">
        <is>
          <t>Kurang</t>
        </is>
      </c>
      <c r="G904" s="97" t="inlineStr">
        <is>
          <t>Normal</t>
        </is>
      </c>
      <c r="H904" s="97" t="inlineStr">
        <is>
          <t>Gizi Kurang</t>
        </is>
      </c>
      <c r="I904" s="97" t="inlineStr">
        <is>
          <t>Ya</t>
        </is>
      </c>
      <c r="J904" s="97" t="inlineStr">
        <is>
          <t>Tidak</t>
        </is>
      </c>
    </row>
    <row r="905" ht="15.75" customHeight="1" s="95">
      <c r="A905" s="97" t="inlineStr">
        <is>
          <t>anonymus0904</t>
        </is>
      </c>
      <c r="B905" s="97" t="inlineStr">
        <is>
          <t>L</t>
        </is>
      </c>
      <c r="C905" s="97" t="inlineStr">
        <is>
          <t>35-69 Bulan</t>
        </is>
      </c>
      <c r="D905" s="97" t="n">
        <v>12.2</v>
      </c>
      <c r="E905" s="97" t="n">
        <v>113</v>
      </c>
      <c r="F905" s="97" t="inlineStr">
        <is>
          <t>Normal</t>
        </is>
      </c>
      <c r="G905" s="97" t="inlineStr">
        <is>
          <t>Normal</t>
        </is>
      </c>
      <c r="H905" s="97" t="inlineStr">
        <is>
          <t>Gizi Baik</t>
        </is>
      </c>
      <c r="I905" s="97" t="inlineStr">
        <is>
          <t>Ya</t>
        </is>
      </c>
      <c r="J905" s="97" t="inlineStr">
        <is>
          <t>Tidak</t>
        </is>
      </c>
    </row>
    <row r="906" ht="15.75" customHeight="1" s="95">
      <c r="A906" s="97" t="inlineStr">
        <is>
          <t>anonymus0905</t>
        </is>
      </c>
      <c r="B906" s="97" t="inlineStr">
        <is>
          <t>P</t>
        </is>
      </c>
      <c r="C906" s="97" t="inlineStr">
        <is>
          <t>1-34 Bulan</t>
        </is>
      </c>
      <c r="D906" s="97" t="n">
        <v>8.4</v>
      </c>
      <c r="E906" s="97" t="n">
        <v>87</v>
      </c>
      <c r="F906" s="97" t="inlineStr">
        <is>
          <t>Kurang</t>
        </is>
      </c>
      <c r="G906" s="97" t="inlineStr">
        <is>
          <t>Normal</t>
        </is>
      </c>
      <c r="H906" s="97" t="inlineStr">
        <is>
          <t>Gizi Kurang</t>
        </is>
      </c>
      <c r="I906" s="97" t="inlineStr">
        <is>
          <t>Ya</t>
        </is>
      </c>
      <c r="J906" s="97" t="inlineStr">
        <is>
          <t>Tidak</t>
        </is>
      </c>
    </row>
    <row r="907" ht="15.75" customHeight="1" s="95">
      <c r="A907" s="97" t="inlineStr">
        <is>
          <t>anonymus0906</t>
        </is>
      </c>
      <c r="B907" s="97" t="inlineStr">
        <is>
          <t>L</t>
        </is>
      </c>
      <c r="C907" s="97" t="inlineStr">
        <is>
          <t>35-69 Bulan</t>
        </is>
      </c>
      <c r="D907" s="97" t="n">
        <v>11.1</v>
      </c>
      <c r="E907" s="97" t="n">
        <v>83</v>
      </c>
      <c r="F907" s="97" t="inlineStr">
        <is>
          <t>Normal</t>
        </is>
      </c>
      <c r="G907" s="97" t="inlineStr">
        <is>
          <t>Pendek</t>
        </is>
      </c>
      <c r="H907" s="97" t="inlineStr">
        <is>
          <t>Gizi Baik</t>
        </is>
      </c>
      <c r="I907" s="97" t="inlineStr">
        <is>
          <t>Ya</t>
        </is>
      </c>
      <c r="J907" s="97" t="inlineStr">
        <is>
          <t>Potensi Stunting</t>
        </is>
      </c>
    </row>
    <row r="908" ht="15.75" customHeight="1" s="95">
      <c r="A908" s="97" t="inlineStr">
        <is>
          <t>anonymus0907</t>
        </is>
      </c>
      <c r="B908" s="97" t="inlineStr">
        <is>
          <t>L</t>
        </is>
      </c>
      <c r="C908" s="97" t="inlineStr">
        <is>
          <t>35-69 Bulan</t>
        </is>
      </c>
      <c r="D908" s="97" t="n">
        <v>16.9</v>
      </c>
      <c r="E908" s="97" t="n">
        <v>111</v>
      </c>
      <c r="F908" s="97" t="inlineStr">
        <is>
          <t>Normal</t>
        </is>
      </c>
      <c r="G908" s="97" t="inlineStr">
        <is>
          <t>Normal</t>
        </is>
      </c>
      <c r="H908" s="97" t="inlineStr">
        <is>
          <t>Gizi Baik</t>
        </is>
      </c>
      <c r="I908" s="97" t="inlineStr">
        <is>
          <t>Ya</t>
        </is>
      </c>
      <c r="J908" s="97" t="inlineStr">
        <is>
          <t>Tidak</t>
        </is>
      </c>
    </row>
    <row r="909" ht="15.75" customHeight="1" s="95">
      <c r="A909" s="97" t="inlineStr">
        <is>
          <t>anonymus0908</t>
        </is>
      </c>
      <c r="B909" s="97" t="inlineStr">
        <is>
          <t>L</t>
        </is>
      </c>
      <c r="C909" s="97" t="inlineStr">
        <is>
          <t>35-69 Bulan</t>
        </is>
      </c>
      <c r="D909" s="97" t="n">
        <v>14.8</v>
      </c>
      <c r="E909" s="97" t="n">
        <v>101</v>
      </c>
      <c r="F909" s="97" t="inlineStr">
        <is>
          <t>Normal</t>
        </is>
      </c>
      <c r="G909" s="97" t="inlineStr">
        <is>
          <t>Normal</t>
        </is>
      </c>
      <c r="H909" s="97" t="inlineStr">
        <is>
          <t>Gizi Baik</t>
        </is>
      </c>
      <c r="I909" s="97" t="inlineStr">
        <is>
          <t>Ya</t>
        </is>
      </c>
      <c r="J909" s="97" t="inlineStr">
        <is>
          <t>Tidak</t>
        </is>
      </c>
    </row>
    <row r="910" ht="15.75" customHeight="1" s="95">
      <c r="A910" s="97" t="inlineStr">
        <is>
          <t>anonymus0909</t>
        </is>
      </c>
      <c r="B910" s="97" t="inlineStr">
        <is>
          <t>L</t>
        </is>
      </c>
      <c r="C910" s="97" t="inlineStr">
        <is>
          <t>35-69 Bulan</t>
        </is>
      </c>
      <c r="D910" s="97" t="n">
        <v>13.1</v>
      </c>
      <c r="E910" s="97" t="n">
        <v>103</v>
      </c>
      <c r="F910" s="97" t="inlineStr">
        <is>
          <t>Kurang</t>
        </is>
      </c>
      <c r="G910" s="97" t="inlineStr">
        <is>
          <t>Normal</t>
        </is>
      </c>
      <c r="H910" s="97" t="inlineStr">
        <is>
          <t>Gizi Kurang</t>
        </is>
      </c>
      <c r="I910" s="97" t="inlineStr">
        <is>
          <t>Ya</t>
        </is>
      </c>
      <c r="J910" s="97" t="inlineStr">
        <is>
          <t>Tidak</t>
        </is>
      </c>
    </row>
    <row r="911" ht="15.75" customHeight="1" s="95">
      <c r="A911" s="97" t="inlineStr">
        <is>
          <t>anonymus0910</t>
        </is>
      </c>
      <c r="B911" s="97" t="inlineStr">
        <is>
          <t>L</t>
        </is>
      </c>
      <c r="C911" s="97" t="inlineStr">
        <is>
          <t>35-69 Bulan</t>
        </is>
      </c>
      <c r="D911" s="97" t="n">
        <v>17.5</v>
      </c>
      <c r="E911" s="97" t="n">
        <v>105</v>
      </c>
      <c r="F911" s="97" t="inlineStr">
        <is>
          <t>Risiko Lebih</t>
        </is>
      </c>
      <c r="G911" s="97" t="inlineStr">
        <is>
          <t>Normal</t>
        </is>
      </c>
      <c r="H911" s="97" t="inlineStr">
        <is>
          <t>Gizi Lebih</t>
        </is>
      </c>
      <c r="I911" s="97" t="inlineStr">
        <is>
          <t>Ya</t>
        </is>
      </c>
      <c r="J911" s="97" t="inlineStr">
        <is>
          <t>Tidak</t>
        </is>
      </c>
    </row>
    <row r="912" ht="15.75" customHeight="1" s="95">
      <c r="A912" s="97" t="inlineStr">
        <is>
          <t>anonymus0911</t>
        </is>
      </c>
      <c r="B912" s="97" t="inlineStr">
        <is>
          <t>P</t>
        </is>
      </c>
      <c r="C912" s="97" t="inlineStr">
        <is>
          <t>1-34 Bulan</t>
        </is>
      </c>
      <c r="D912" s="97" t="n">
        <v>8.6</v>
      </c>
      <c r="E912" s="97" t="n">
        <v>82.5</v>
      </c>
      <c r="F912" s="97" t="inlineStr">
        <is>
          <t>Kurang</t>
        </is>
      </c>
      <c r="G912" s="97" t="inlineStr">
        <is>
          <t>Normal</t>
        </is>
      </c>
      <c r="H912" s="97" t="inlineStr">
        <is>
          <t>Gizi Kurang</t>
        </is>
      </c>
      <c r="I912" s="97" t="inlineStr">
        <is>
          <t>Ya</t>
        </is>
      </c>
      <c r="J912" s="97" t="inlineStr">
        <is>
          <t>Tidak</t>
        </is>
      </c>
    </row>
    <row r="913" ht="15.75" customHeight="1" s="95">
      <c r="A913" s="97" t="inlineStr">
        <is>
          <t>anonymus0912</t>
        </is>
      </c>
      <c r="B913" s="97" t="inlineStr">
        <is>
          <t>P</t>
        </is>
      </c>
      <c r="C913" s="97" t="inlineStr">
        <is>
          <t>35-69 Bulan</t>
        </is>
      </c>
      <c r="D913" s="97" t="n">
        <v>12.8</v>
      </c>
      <c r="E913" s="97" t="n">
        <v>93</v>
      </c>
      <c r="F913" s="97" t="inlineStr">
        <is>
          <t>Normal</t>
        </is>
      </c>
      <c r="G913" s="97" t="inlineStr">
        <is>
          <t>Normal</t>
        </is>
      </c>
      <c r="H913" s="97" t="inlineStr">
        <is>
          <t>Gizi Baik</t>
        </is>
      </c>
      <c r="I913" s="97" t="inlineStr">
        <is>
          <t>Ya</t>
        </is>
      </c>
      <c r="J913" s="97" t="inlineStr">
        <is>
          <t>Tidak</t>
        </is>
      </c>
    </row>
    <row r="914" ht="15.75" customHeight="1" s="95">
      <c r="A914" s="97" t="inlineStr">
        <is>
          <t>anonymus0913</t>
        </is>
      </c>
      <c r="B914" s="97" t="inlineStr">
        <is>
          <t>L</t>
        </is>
      </c>
      <c r="C914" s="97" t="inlineStr">
        <is>
          <t>35-69 Bulan</t>
        </is>
      </c>
      <c r="D914" s="97" t="n">
        <v>11.3</v>
      </c>
      <c r="E914" s="97" t="n">
        <v>79</v>
      </c>
      <c r="F914" s="97" t="inlineStr">
        <is>
          <t>Normal</t>
        </is>
      </c>
      <c r="G914" s="97" t="inlineStr">
        <is>
          <t>Pendek</t>
        </is>
      </c>
      <c r="H914" s="97" t="inlineStr">
        <is>
          <t>Gizi Baik</t>
        </is>
      </c>
      <c r="I914" s="97" t="inlineStr">
        <is>
          <t>Ya</t>
        </is>
      </c>
      <c r="J914" s="97" t="inlineStr">
        <is>
          <t>Potensi Stunting</t>
        </is>
      </c>
    </row>
    <row r="915" ht="15.75" customHeight="1" s="95">
      <c r="A915" s="97" t="inlineStr">
        <is>
          <t>anonymus0914</t>
        </is>
      </c>
      <c r="B915" s="97" t="inlineStr">
        <is>
          <t>L</t>
        </is>
      </c>
      <c r="C915" s="97" t="inlineStr">
        <is>
          <t>35-69 Bulan</t>
        </is>
      </c>
      <c r="D915" s="97" t="n">
        <v>10.6</v>
      </c>
      <c r="E915" s="97" t="n">
        <v>115</v>
      </c>
      <c r="F915" s="97" t="inlineStr">
        <is>
          <t>Normal</t>
        </is>
      </c>
      <c r="G915" s="97" t="inlineStr">
        <is>
          <t>Normal</t>
        </is>
      </c>
      <c r="H915" s="97" t="inlineStr">
        <is>
          <t>Gizi Baik</t>
        </is>
      </c>
      <c r="I915" s="97" t="inlineStr">
        <is>
          <t>Ya</t>
        </is>
      </c>
      <c r="J915" s="97" t="inlineStr">
        <is>
          <t>Tidak</t>
        </is>
      </c>
    </row>
    <row r="916" ht="15.75" customHeight="1" s="95">
      <c r="A916" s="97" t="inlineStr">
        <is>
          <t>anonymus0915</t>
        </is>
      </c>
      <c r="B916" s="97" t="inlineStr">
        <is>
          <t>L</t>
        </is>
      </c>
      <c r="C916" s="97" t="inlineStr">
        <is>
          <t>35-69 Bulan</t>
        </is>
      </c>
      <c r="D916" s="97" t="n">
        <v>8.800000000000001</v>
      </c>
      <c r="E916" s="97" t="n">
        <v>74</v>
      </c>
      <c r="F916" s="97" t="inlineStr">
        <is>
          <t>Kurang</t>
        </is>
      </c>
      <c r="G916" s="97" t="inlineStr">
        <is>
          <t>Sangat Pendek</t>
        </is>
      </c>
      <c r="H916" s="97" t="inlineStr">
        <is>
          <t>Gizi Baik</t>
        </is>
      </c>
      <c r="I916" s="97" t="inlineStr">
        <is>
          <t>Ya</t>
        </is>
      </c>
      <c r="J916" s="97" t="inlineStr">
        <is>
          <t>Stunting</t>
        </is>
      </c>
    </row>
    <row r="917" ht="15.75" customHeight="1" s="95">
      <c r="A917" s="97" t="inlineStr">
        <is>
          <t>anonymus0916</t>
        </is>
      </c>
      <c r="B917" s="97" t="inlineStr">
        <is>
          <t>L</t>
        </is>
      </c>
      <c r="C917" s="97" t="inlineStr">
        <is>
          <t>35-69 Bulan</t>
        </is>
      </c>
      <c r="D917" s="97" t="n">
        <v>11</v>
      </c>
      <c r="E917" s="97" t="n">
        <v>88</v>
      </c>
      <c r="F917" s="97" t="inlineStr">
        <is>
          <t>Kurang</t>
        </is>
      </c>
      <c r="G917" s="97" t="inlineStr">
        <is>
          <t>Pendek</t>
        </is>
      </c>
      <c r="H917" s="97" t="inlineStr">
        <is>
          <t>Gizi Baik</t>
        </is>
      </c>
      <c r="I917" s="97" t="inlineStr">
        <is>
          <t>Ya</t>
        </is>
      </c>
      <c r="J917" s="97" t="inlineStr">
        <is>
          <t>Potensi Stunting</t>
        </is>
      </c>
    </row>
    <row r="918" ht="15.75" customHeight="1" s="95">
      <c r="A918" s="97" t="inlineStr">
        <is>
          <t>anonymus0917</t>
        </is>
      </c>
      <c r="B918" s="97" t="inlineStr">
        <is>
          <t>L</t>
        </is>
      </c>
      <c r="C918" s="97" t="inlineStr">
        <is>
          <t>35-69 Bulan</t>
        </is>
      </c>
      <c r="D918" s="97" t="n">
        <v>10.8</v>
      </c>
      <c r="E918" s="97" t="n">
        <v>117</v>
      </c>
      <c r="F918" s="97" t="inlineStr">
        <is>
          <t>Normal</t>
        </is>
      </c>
      <c r="G918" s="97" t="inlineStr">
        <is>
          <t>Normal</t>
        </is>
      </c>
      <c r="H918" s="97" t="inlineStr">
        <is>
          <t>Gizi Baik</t>
        </is>
      </c>
      <c r="I918" s="97" t="inlineStr">
        <is>
          <t>Ya</t>
        </is>
      </c>
      <c r="J918" s="97" t="inlineStr">
        <is>
          <t>Tidak</t>
        </is>
      </c>
    </row>
    <row r="919" ht="15.75" customHeight="1" s="95">
      <c r="A919" s="97" t="inlineStr">
        <is>
          <t>anonymus0918</t>
        </is>
      </c>
      <c r="B919" s="97" t="inlineStr">
        <is>
          <t>P</t>
        </is>
      </c>
      <c r="C919" s="97" t="inlineStr">
        <is>
          <t>1-34 Bulan</t>
        </is>
      </c>
      <c r="D919" s="97" t="n">
        <v>8.1</v>
      </c>
      <c r="E919" s="97" t="n">
        <v>75</v>
      </c>
      <c r="F919" s="97" t="inlineStr">
        <is>
          <t>Kurang</t>
        </is>
      </c>
      <c r="G919" s="97" t="inlineStr">
        <is>
          <t>Pendek</t>
        </is>
      </c>
      <c r="H919" s="97" t="inlineStr">
        <is>
          <t>Gizi Baik</t>
        </is>
      </c>
      <c r="I919" s="97" t="inlineStr">
        <is>
          <t>Ya</t>
        </is>
      </c>
      <c r="J919" s="97" t="inlineStr">
        <is>
          <t>Potensi Stunting</t>
        </is>
      </c>
    </row>
    <row r="920" ht="15.75" customHeight="1" s="95">
      <c r="A920" s="97" t="inlineStr">
        <is>
          <t>anonymus0919</t>
        </is>
      </c>
      <c r="B920" s="97" t="inlineStr">
        <is>
          <t>P</t>
        </is>
      </c>
      <c r="C920" s="97" t="inlineStr">
        <is>
          <t>35-69 Bulan</t>
        </is>
      </c>
      <c r="D920" s="97" t="n">
        <v>10.3</v>
      </c>
      <c r="E920" s="97" t="n">
        <v>95</v>
      </c>
      <c r="F920" s="97" t="inlineStr">
        <is>
          <t>Normal</t>
        </is>
      </c>
      <c r="G920" s="97" t="inlineStr">
        <is>
          <t>Normal</t>
        </is>
      </c>
      <c r="H920" s="97" t="inlineStr">
        <is>
          <t>Gizi Baik</t>
        </is>
      </c>
      <c r="I920" s="97" t="inlineStr">
        <is>
          <t>Ya</t>
        </is>
      </c>
      <c r="J920" s="97" t="inlineStr">
        <is>
          <t>Tidak</t>
        </is>
      </c>
    </row>
    <row r="921" ht="15.75" customHeight="1" s="95">
      <c r="A921" s="97" t="inlineStr">
        <is>
          <t>anonymus0920</t>
        </is>
      </c>
      <c r="B921" s="97" t="inlineStr">
        <is>
          <t xml:space="preserve">L </t>
        </is>
      </c>
      <c r="C921" s="97" t="inlineStr">
        <is>
          <t>1-34 Bulan</t>
        </is>
      </c>
      <c r="D921" s="97" t="inlineStr">
        <is>
          <t>13.3</t>
        </is>
      </c>
      <c r="E921" s="97" t="n">
        <v>83</v>
      </c>
      <c r="F921" s="97" t="inlineStr">
        <is>
          <t>Risiko Lebih</t>
        </is>
      </c>
      <c r="G921" s="97" t="inlineStr">
        <is>
          <t>Normal</t>
        </is>
      </c>
      <c r="H921" s="97" t="inlineStr">
        <is>
          <t>Gizi Lebih</t>
        </is>
      </c>
      <c r="I921" s="97" t="inlineStr">
        <is>
          <t>Ya</t>
        </is>
      </c>
      <c r="J921" s="97" t="inlineStr">
        <is>
          <t>Tidak</t>
        </is>
      </c>
    </row>
    <row r="922" ht="15.75" customHeight="1" s="95">
      <c r="A922" s="97" t="inlineStr">
        <is>
          <t>anonymus0921</t>
        </is>
      </c>
      <c r="B922" s="97" t="inlineStr">
        <is>
          <t>P</t>
        </is>
      </c>
      <c r="C922" s="97" t="inlineStr">
        <is>
          <t>35-69 Bulan</t>
        </is>
      </c>
      <c r="D922" s="97" t="n">
        <v>16.4</v>
      </c>
      <c r="E922" s="97" t="n">
        <v>115</v>
      </c>
      <c r="F922" s="97" t="inlineStr">
        <is>
          <t>Normal</t>
        </is>
      </c>
      <c r="G922" s="97" t="inlineStr">
        <is>
          <t>Normal</t>
        </is>
      </c>
      <c r="H922" s="97" t="inlineStr">
        <is>
          <t>Gizi Baik</t>
        </is>
      </c>
      <c r="I922" s="97" t="inlineStr">
        <is>
          <t>Ya</t>
        </is>
      </c>
      <c r="J922" s="97" t="inlineStr">
        <is>
          <t>Tidak</t>
        </is>
      </c>
    </row>
    <row r="923" ht="15.75" customHeight="1" s="95">
      <c r="A923" s="97" t="inlineStr">
        <is>
          <t>anonymus0922</t>
        </is>
      </c>
      <c r="B923" s="97" t="inlineStr">
        <is>
          <t>P</t>
        </is>
      </c>
      <c r="C923" s="97" t="inlineStr">
        <is>
          <t>1-34 Bulan</t>
        </is>
      </c>
      <c r="D923" s="97" t="n">
        <v>10.3</v>
      </c>
      <c r="E923" s="97" t="n">
        <v>88.59999999999999</v>
      </c>
      <c r="F923" s="97" t="inlineStr">
        <is>
          <t>Normal</t>
        </is>
      </c>
      <c r="G923" s="97" t="inlineStr">
        <is>
          <t>Normal</t>
        </is>
      </c>
      <c r="H923" s="97" t="inlineStr">
        <is>
          <t>Gizi Kurang</t>
        </is>
      </c>
      <c r="I923" s="97" t="inlineStr">
        <is>
          <t>Ya</t>
        </is>
      </c>
      <c r="J923" s="97" t="inlineStr">
        <is>
          <t>Tidak</t>
        </is>
      </c>
    </row>
    <row r="924" ht="15.75" customHeight="1" s="95">
      <c r="A924" s="97" t="inlineStr">
        <is>
          <t>anonymus0923</t>
        </is>
      </c>
      <c r="B924" s="97" t="inlineStr">
        <is>
          <t>L</t>
        </is>
      </c>
      <c r="C924" s="97" t="inlineStr">
        <is>
          <t>1-34 Bulan</t>
        </is>
      </c>
      <c r="D924" s="97" t="n">
        <v>6.4</v>
      </c>
      <c r="E924" s="97" t="n">
        <v>93</v>
      </c>
      <c r="F924" s="97" t="inlineStr">
        <is>
          <t>Kurang</t>
        </is>
      </c>
      <c r="G924" s="97" t="inlineStr">
        <is>
          <t>Normal</t>
        </is>
      </c>
      <c r="H924" s="97" t="inlineStr">
        <is>
          <t>Gizi Kurang</t>
        </is>
      </c>
      <c r="I924" s="97" t="inlineStr">
        <is>
          <t>Ya</t>
        </is>
      </c>
      <c r="J924" s="97" t="inlineStr">
        <is>
          <t>Tidak</t>
        </is>
      </c>
    </row>
    <row r="925" ht="15.75" customHeight="1" s="95">
      <c r="A925" s="97" t="inlineStr">
        <is>
          <t>anonymus0924</t>
        </is>
      </c>
      <c r="B925" s="97" t="inlineStr">
        <is>
          <t xml:space="preserve">P </t>
        </is>
      </c>
      <c r="C925" s="97" t="inlineStr">
        <is>
          <t>35-69 Bulan</t>
        </is>
      </c>
      <c r="D925" s="97" t="inlineStr">
        <is>
          <t>18.6</t>
        </is>
      </c>
      <c r="E925" s="97" t="n">
        <v>108</v>
      </c>
      <c r="F925" s="97" t="inlineStr">
        <is>
          <t>Normal</t>
        </is>
      </c>
      <c r="G925" s="97" t="inlineStr">
        <is>
          <t>Normal</t>
        </is>
      </c>
      <c r="H925" s="97" t="inlineStr">
        <is>
          <t>Gizi Baik</t>
        </is>
      </c>
      <c r="I925" s="97" t="inlineStr">
        <is>
          <t>Ya</t>
        </is>
      </c>
      <c r="J925" s="97" t="inlineStr">
        <is>
          <t>Tidak</t>
        </is>
      </c>
    </row>
    <row r="926" ht="15.75" customHeight="1" s="95">
      <c r="A926" s="97" t="inlineStr">
        <is>
          <t>anonymus0925</t>
        </is>
      </c>
      <c r="B926" s="97" t="inlineStr">
        <is>
          <t xml:space="preserve">L </t>
        </is>
      </c>
      <c r="C926" s="97" t="inlineStr">
        <is>
          <t>1-34 Bulan</t>
        </is>
      </c>
      <c r="D926" s="97" t="inlineStr">
        <is>
          <t>10.1</t>
        </is>
      </c>
      <c r="E926" s="97" t="n">
        <v>82</v>
      </c>
      <c r="F926" s="97" t="inlineStr">
        <is>
          <t>Normal</t>
        </is>
      </c>
      <c r="G926" s="97" t="inlineStr">
        <is>
          <t>Normal</t>
        </is>
      </c>
      <c r="H926" s="97" t="inlineStr">
        <is>
          <t>Gizi Baik</t>
        </is>
      </c>
      <c r="I926" s="97" t="inlineStr">
        <is>
          <t>Ya</t>
        </is>
      </c>
      <c r="J926" s="97" t="inlineStr">
        <is>
          <t>Tidak</t>
        </is>
      </c>
    </row>
    <row r="927" ht="15.75" customHeight="1" s="95">
      <c r="A927" s="97" t="inlineStr">
        <is>
          <t>anonymus0926</t>
        </is>
      </c>
      <c r="B927" s="97" t="inlineStr">
        <is>
          <t>P</t>
        </is>
      </c>
      <c r="C927" s="97" t="inlineStr">
        <is>
          <t>35-69 Bulan</t>
        </is>
      </c>
      <c r="D927" s="97" t="n">
        <v>14</v>
      </c>
      <c r="E927" s="97" t="n">
        <v>105</v>
      </c>
      <c r="F927" s="97" t="inlineStr">
        <is>
          <t>Normal</t>
        </is>
      </c>
      <c r="G927" s="97" t="inlineStr">
        <is>
          <t>Normal</t>
        </is>
      </c>
      <c r="H927" s="97" t="inlineStr">
        <is>
          <t>Gizi Kurang</t>
        </is>
      </c>
      <c r="I927" s="97" t="inlineStr">
        <is>
          <t>Ya</t>
        </is>
      </c>
      <c r="J927" s="97" t="inlineStr">
        <is>
          <t>Tidak</t>
        </is>
      </c>
    </row>
    <row r="928" ht="15.75" customHeight="1" s="95">
      <c r="A928" s="97" t="inlineStr">
        <is>
          <t>anonymus0927</t>
        </is>
      </c>
      <c r="B928" s="97" t="inlineStr">
        <is>
          <t>P</t>
        </is>
      </c>
      <c r="C928" s="97" t="inlineStr">
        <is>
          <t>1-34 Bulan</t>
        </is>
      </c>
      <c r="D928" s="97" t="n">
        <v>6.4</v>
      </c>
      <c r="E928" s="97" t="n">
        <v>92</v>
      </c>
      <c r="F928" s="97" t="inlineStr">
        <is>
          <t>Kurang</t>
        </is>
      </c>
      <c r="G928" s="97" t="inlineStr">
        <is>
          <t>Normal</t>
        </is>
      </c>
      <c r="H928" s="97" t="inlineStr">
        <is>
          <t>Gizi Kurang</t>
        </is>
      </c>
      <c r="I928" s="97" t="inlineStr">
        <is>
          <t>Ya</t>
        </is>
      </c>
      <c r="J928" s="97" t="inlineStr">
        <is>
          <t>Tidak</t>
        </is>
      </c>
    </row>
    <row r="929" ht="15.75" customHeight="1" s="95">
      <c r="A929" s="97" t="inlineStr">
        <is>
          <t>anonymus0928</t>
        </is>
      </c>
      <c r="B929" s="97" t="inlineStr">
        <is>
          <t xml:space="preserve">L </t>
        </is>
      </c>
      <c r="C929" s="97" t="inlineStr">
        <is>
          <t>35-69 Bulan</t>
        </is>
      </c>
      <c r="D929" s="97" t="inlineStr">
        <is>
          <t>16.4</t>
        </is>
      </c>
      <c r="E929" s="97" t="n">
        <v>100</v>
      </c>
      <c r="F929" s="97" t="inlineStr">
        <is>
          <t>Normal</t>
        </is>
      </c>
      <c r="G929" s="97" t="inlineStr">
        <is>
          <t>Normal</t>
        </is>
      </c>
      <c r="H929" s="97" t="inlineStr">
        <is>
          <t>Gizi Baik</t>
        </is>
      </c>
      <c r="I929" s="97" t="inlineStr">
        <is>
          <t>Ya</t>
        </is>
      </c>
      <c r="J929" s="97" t="inlineStr">
        <is>
          <t>Tidak</t>
        </is>
      </c>
    </row>
    <row r="930" ht="15.75" customHeight="1" s="95">
      <c r="A930" s="97" t="inlineStr">
        <is>
          <t>anonymus0929</t>
        </is>
      </c>
      <c r="B930" s="97" t="inlineStr">
        <is>
          <t>P</t>
        </is>
      </c>
      <c r="C930" s="97" t="inlineStr">
        <is>
          <t>35-69 Bulan</t>
        </is>
      </c>
      <c r="D930" s="97" t="n">
        <v>10.4</v>
      </c>
      <c r="E930" s="97" t="n">
        <v>113</v>
      </c>
      <c r="F930" s="97" t="inlineStr">
        <is>
          <t>Normal</t>
        </is>
      </c>
      <c r="G930" s="97" t="inlineStr">
        <is>
          <t>Normal</t>
        </is>
      </c>
      <c r="H930" s="97" t="inlineStr">
        <is>
          <t>Gizi Baik</t>
        </is>
      </c>
      <c r="I930" s="97" t="inlineStr">
        <is>
          <t>Ya</t>
        </is>
      </c>
      <c r="J930" s="97" t="inlineStr">
        <is>
          <t>Tidak</t>
        </is>
      </c>
    </row>
    <row r="931" ht="15.75" customHeight="1" s="95">
      <c r="A931" s="97" t="inlineStr">
        <is>
          <t>anonymus0930</t>
        </is>
      </c>
      <c r="B931" s="97" t="inlineStr">
        <is>
          <t xml:space="preserve">L </t>
        </is>
      </c>
      <c r="C931" s="97" t="inlineStr">
        <is>
          <t>1-34 Bulan</t>
        </is>
      </c>
      <c r="D931" s="97" t="inlineStr">
        <is>
          <t>7.4</t>
        </is>
      </c>
      <c r="E931" s="97" t="n">
        <v>61</v>
      </c>
      <c r="F931" s="97" t="inlineStr">
        <is>
          <t>Risiko Lebih</t>
        </is>
      </c>
      <c r="G931" s="97" t="inlineStr">
        <is>
          <t>Normal</t>
        </is>
      </c>
      <c r="H931" s="97" t="inlineStr">
        <is>
          <t>Risiko Gizi Lebih</t>
        </is>
      </c>
      <c r="I931" s="97" t="inlineStr">
        <is>
          <t>Ya</t>
        </is>
      </c>
      <c r="J931" s="97" t="inlineStr">
        <is>
          <t>Tidak</t>
        </is>
      </c>
    </row>
    <row r="932" ht="15.75" customHeight="1" s="95">
      <c r="A932" s="97" t="inlineStr">
        <is>
          <t>anonymus0931</t>
        </is>
      </c>
      <c r="B932" s="97" t="inlineStr">
        <is>
          <t>L</t>
        </is>
      </c>
      <c r="C932" s="97" t="inlineStr">
        <is>
          <t>1-34 Bulan</t>
        </is>
      </c>
      <c r="D932" s="97" t="n">
        <v>13.9</v>
      </c>
      <c r="E932" s="97" t="n">
        <v>89</v>
      </c>
      <c r="F932" s="97" t="inlineStr">
        <is>
          <t>Normal</t>
        </is>
      </c>
      <c r="G932" s="97" t="inlineStr">
        <is>
          <t>Normal</t>
        </is>
      </c>
      <c r="H932" s="97" t="inlineStr">
        <is>
          <t>Gizi Baik</t>
        </is>
      </c>
      <c r="I932" s="97" t="inlineStr">
        <is>
          <t>Ya</t>
        </is>
      </c>
      <c r="J932" s="97" t="inlineStr">
        <is>
          <t>Tidak</t>
        </is>
      </c>
    </row>
    <row r="933" ht="15.75" customHeight="1" s="95">
      <c r="A933" s="97" t="inlineStr">
        <is>
          <t>anonymus0932</t>
        </is>
      </c>
      <c r="B933" s="97" t="inlineStr">
        <is>
          <t xml:space="preserve">L </t>
        </is>
      </c>
      <c r="C933" s="97" t="inlineStr">
        <is>
          <t>1-34 Bulan</t>
        </is>
      </c>
      <c r="D933" s="97" t="inlineStr">
        <is>
          <t>9.2</t>
        </is>
      </c>
      <c r="E933" s="97" t="n">
        <v>82</v>
      </c>
      <c r="F933" s="97" t="inlineStr">
        <is>
          <t>Kurang</t>
        </is>
      </c>
      <c r="G933" s="97" t="inlineStr">
        <is>
          <t>Pendek</t>
        </is>
      </c>
      <c r="H933" s="97" t="inlineStr">
        <is>
          <t>Gizi Kurang</t>
        </is>
      </c>
      <c r="I933" s="97" t="inlineStr">
        <is>
          <t>Ya</t>
        </is>
      </c>
      <c r="J933" s="97" t="inlineStr">
        <is>
          <t>Potensi Stunting</t>
        </is>
      </c>
    </row>
    <row r="934" ht="15.75" customHeight="1" s="95">
      <c r="A934" s="97" t="inlineStr">
        <is>
          <t>anonymus0933</t>
        </is>
      </c>
      <c r="B934" s="97" t="inlineStr">
        <is>
          <t>L</t>
        </is>
      </c>
      <c r="C934" s="97" t="inlineStr">
        <is>
          <t>1-34 Bulan</t>
        </is>
      </c>
      <c r="D934" s="97" t="n">
        <v>12</v>
      </c>
      <c r="E934" s="97" t="n">
        <v>100</v>
      </c>
      <c r="F934" s="97" t="inlineStr">
        <is>
          <t>Normal</t>
        </is>
      </c>
      <c r="G934" s="97" t="inlineStr">
        <is>
          <t>Normal</t>
        </is>
      </c>
      <c r="H934" s="97" t="inlineStr">
        <is>
          <t>Gizi Baik</t>
        </is>
      </c>
      <c r="I934" s="97" t="inlineStr">
        <is>
          <t>Ya</t>
        </is>
      </c>
      <c r="J934" s="97" t="inlineStr">
        <is>
          <t>Tidak</t>
        </is>
      </c>
    </row>
    <row r="936" ht="15.75" customHeight="1" s="95">
      <c r="A936" s="102" t="inlineStr">
        <is>
          <t>Dari 952 data yang terpakai hanya 933</t>
        </is>
      </c>
    </row>
    <row r="938" ht="15" customHeight="1" s="95">
      <c r="B938" s="94" t="n">
        <v>952</v>
      </c>
      <c r="C938" s="103">
        <f>B938-B939</f>
        <v/>
      </c>
    </row>
    <row r="939" ht="15" customHeight="1" s="95">
      <c r="B939" s="94" t="n">
        <v>933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AK748"/>
  <sheetViews>
    <sheetView showFormulas="0" showGridLines="1" showRowColHeaders="1" showZeros="1" rightToLeft="0" tabSelected="0" showOutlineSymbols="1" defaultGridColor="1" view="normal" topLeftCell="D9" colorId="64" zoomScale="86" zoomScaleNormal="86" zoomScalePageLayoutView="100" workbookViewId="0">
      <selection pane="topLeft" activeCell="N9" activeCellId="0" sqref="N9"/>
    </sheetView>
  </sheetViews>
  <sheetFormatPr baseColWidth="8" defaultColWidth="8.6796875" defaultRowHeight="15" zeroHeight="1" outlineLevelRow="0"/>
  <cols>
    <col width="21.71" customWidth="1" style="94" min="1" max="1"/>
    <col width="22" customWidth="1" style="94" min="3" max="3"/>
    <col width="17.86" customWidth="1" style="94" min="6" max="6"/>
    <col width="14.42" customWidth="1" style="94" min="7" max="7"/>
    <col width="18.42" customWidth="1" style="104" min="8" max="8"/>
    <col width="23.42" customWidth="1" style="94" min="9" max="9"/>
    <col width="16.43" customWidth="1" style="94" min="10" max="10"/>
    <col width="20.14" customWidth="1" style="94" min="12" max="12"/>
    <col width="17.57" customWidth="1" style="94" min="14" max="14"/>
    <col width="13.29" customWidth="1" style="94" min="15" max="15"/>
    <col width="17.71" customWidth="1" style="94" min="16" max="16"/>
    <col width="16.57" customWidth="1" style="94" min="17" max="17"/>
    <col width="14.29" customWidth="1" style="94" min="18" max="18"/>
    <col width="18.29" customWidth="1" style="94" min="19" max="19"/>
    <col width="19.86" customWidth="1" style="94" min="20" max="20"/>
    <col width="17.42" customWidth="1" style="94" min="21" max="21"/>
    <col width="13.29" customWidth="1" style="94" min="22" max="22"/>
    <col width="16.43" customWidth="1" style="94" min="23" max="23"/>
    <col width="16.57" customWidth="1" style="94" min="24" max="24"/>
    <col width="15.57" customWidth="1" style="94" min="27" max="27"/>
    <col width="17.42" customWidth="1" style="94" min="28" max="28"/>
    <col width="18.42" customWidth="1" style="94" min="31" max="31"/>
    <col width="18.57" customWidth="1" style="94" min="32" max="32"/>
    <col width="17.71" customWidth="1" style="94" min="36" max="36"/>
  </cols>
  <sheetData>
    <row r="1" ht="15.75" customHeight="1" s="95">
      <c r="A1" s="100" t="inlineStr">
        <is>
          <t>Nama/Kode balita</t>
        </is>
      </c>
      <c r="B1" s="100" t="inlineStr">
        <is>
          <t>JK</t>
        </is>
      </c>
      <c r="C1" s="100" t="inlineStr">
        <is>
          <t xml:space="preserve">Umur </t>
        </is>
      </c>
      <c r="D1" s="100" t="inlineStr">
        <is>
          <t xml:space="preserve">Berat </t>
        </is>
      </c>
      <c r="E1" s="100" t="inlineStr">
        <is>
          <t>Tinggi</t>
        </is>
      </c>
      <c r="F1" s="100" t="inlineStr">
        <is>
          <t>BB/U</t>
        </is>
      </c>
      <c r="G1" s="100" t="inlineStr">
        <is>
          <t>TB/U</t>
        </is>
      </c>
      <c r="H1" s="105" t="inlineStr">
        <is>
          <t>Status Gizi</t>
        </is>
      </c>
      <c r="I1" s="100" t="inlineStr">
        <is>
          <t>Status ASI Ekslusif</t>
        </is>
      </c>
      <c r="J1" s="100" t="inlineStr">
        <is>
          <t>Status Stunting</t>
        </is>
      </c>
      <c r="N1" s="94" t="inlineStr">
        <is>
          <t xml:space="preserve"> </t>
        </is>
      </c>
      <c r="O1" s="94" t="inlineStr">
        <is>
          <t>jk</t>
        </is>
      </c>
      <c r="S1" s="94" t="inlineStr">
        <is>
          <t>umur</t>
        </is>
      </c>
      <c r="W1" s="94" t="inlineStr">
        <is>
          <t>BB/U</t>
        </is>
      </c>
      <c r="AA1" s="94" t="inlineStr">
        <is>
          <t>TB/U</t>
        </is>
      </c>
      <c r="AE1" s="94" t="inlineStr">
        <is>
          <t>Status Gizi</t>
        </is>
      </c>
      <c r="AI1" s="94" t="inlineStr">
        <is>
          <t>SAE</t>
        </is>
      </c>
    </row>
    <row r="2" ht="15.75" customHeight="1" s="95">
      <c r="A2" s="97" t="inlineStr">
        <is>
          <t>anonymus0001</t>
        </is>
      </c>
      <c r="B2" s="97" t="inlineStr">
        <is>
          <t>L</t>
        </is>
      </c>
      <c r="C2" s="97" t="inlineStr">
        <is>
          <t>35-69 Bulan</t>
        </is>
      </c>
      <c r="D2" s="97" t="n">
        <v>17.6</v>
      </c>
      <c r="E2" s="97" t="n">
        <v>107</v>
      </c>
      <c r="F2" s="97" t="inlineStr">
        <is>
          <t>Risiko Lebih</t>
        </is>
      </c>
      <c r="G2" s="97" t="inlineStr">
        <is>
          <t>Normal</t>
        </is>
      </c>
      <c r="H2" s="106" t="inlineStr">
        <is>
          <t>Gizi Lebih</t>
        </is>
      </c>
      <c r="I2" s="97" t="inlineStr">
        <is>
          <t>Ya</t>
        </is>
      </c>
      <c r="J2" s="97" t="inlineStr">
        <is>
          <t>Tidak</t>
        </is>
      </c>
      <c r="K2" s="107" t="n"/>
      <c r="L2" s="108" t="inlineStr">
        <is>
          <t>Jumlah Data</t>
        </is>
      </c>
      <c r="M2" s="109">
        <f>SUM(M3:M5)</f>
        <v/>
      </c>
      <c r="O2" s="110" t="inlineStr">
        <is>
          <t>L</t>
        </is>
      </c>
      <c r="P2" s="111" t="inlineStr">
        <is>
          <t>Stunting</t>
        </is>
      </c>
      <c r="Q2" s="109">
        <f>COUNTIFS(B2:B747,"L",J2:J747,"Stunting")</f>
        <v/>
      </c>
      <c r="S2" s="112" t="inlineStr">
        <is>
          <t>1-34 Bulan</t>
        </is>
      </c>
      <c r="T2" s="111" t="inlineStr">
        <is>
          <t>Stunting</t>
        </is>
      </c>
      <c r="U2" s="109">
        <f>COUNTIFS(C2:C747,"1-34 Bulan",J2:J747,"Stunting")</f>
        <v/>
      </c>
      <c r="W2" s="113" t="inlineStr">
        <is>
          <t>Risiko Lebih</t>
        </is>
      </c>
      <c r="X2" s="111" t="inlineStr">
        <is>
          <t>Stunting</t>
        </is>
      </c>
      <c r="Y2" s="109">
        <f>COUNTIFS(F2:F747,"Risiko Lebih",J2:J747,"Stunting")</f>
        <v/>
      </c>
      <c r="AA2" s="113" t="inlineStr">
        <is>
          <t>Normal</t>
        </is>
      </c>
      <c r="AB2" s="111" t="inlineStr">
        <is>
          <t>Stunting</t>
        </is>
      </c>
      <c r="AC2" s="109">
        <f>COUNTIFS(G2:G747,"Normal",J2:J747,"Stunting")</f>
        <v/>
      </c>
      <c r="AE2" s="113" t="inlineStr">
        <is>
          <t>Gizi Buruk</t>
        </is>
      </c>
      <c r="AF2" s="111" t="inlineStr">
        <is>
          <t>Stunting</t>
        </is>
      </c>
      <c r="AG2" s="109">
        <f>COUNTIFS(H2:H747,"Gizi Buruk",J2:J747,"Stunting")</f>
        <v/>
      </c>
      <c r="AI2" s="113" t="inlineStr">
        <is>
          <t>Ya</t>
        </is>
      </c>
      <c r="AJ2" s="111" t="inlineStr">
        <is>
          <t>Stunting</t>
        </is>
      </c>
      <c r="AK2" s="109">
        <f>COUNTIFS(I2:I747,"Ya",J2:J747,"Stunting")</f>
        <v/>
      </c>
    </row>
    <row r="3" ht="15.75" customHeight="1" s="95">
      <c r="A3" s="97" t="inlineStr">
        <is>
          <t>anonymus0002</t>
        </is>
      </c>
      <c r="B3" s="97" t="inlineStr">
        <is>
          <t>P</t>
        </is>
      </c>
      <c r="C3" s="97" t="inlineStr">
        <is>
          <t>1-34 Bulan</t>
        </is>
      </c>
      <c r="D3" s="97" t="inlineStr">
        <is>
          <t>11.5</t>
        </is>
      </c>
      <c r="E3" s="97" t="n">
        <v>89</v>
      </c>
      <c r="F3" s="97" t="inlineStr">
        <is>
          <t>Normal</t>
        </is>
      </c>
      <c r="G3" s="97" t="inlineStr">
        <is>
          <t>Normal</t>
        </is>
      </c>
      <c r="H3" s="106" t="inlineStr">
        <is>
          <t>Gizi Baik</t>
        </is>
      </c>
      <c r="I3" s="97" t="inlineStr">
        <is>
          <t>Ya</t>
        </is>
      </c>
      <c r="J3" s="97" t="inlineStr">
        <is>
          <t>Tidak</t>
        </is>
      </c>
      <c r="K3" s="107" t="n"/>
      <c r="L3" s="108" t="inlineStr">
        <is>
          <t>Stunting</t>
        </is>
      </c>
      <c r="M3" s="109">
        <f>COUNTIF(J2:J747, "Stunting")</f>
        <v/>
      </c>
      <c r="N3" s="114">
        <f>M3/M2</f>
        <v/>
      </c>
      <c r="O3" s="113">
        <f>COUNTIF(B2:B747, "L")</f>
        <v/>
      </c>
      <c r="P3" s="111" t="inlineStr">
        <is>
          <t>Potensi Stunting</t>
        </is>
      </c>
      <c r="Q3" s="109">
        <f>COUNTIFS(B2:B747,"L",J2:J747,"Potensi Stunting")</f>
        <v/>
      </c>
      <c r="S3" s="113" t="n"/>
      <c r="T3" s="111" t="inlineStr">
        <is>
          <t>Potensi Stunting</t>
        </is>
      </c>
      <c r="U3" s="109">
        <f>COUNTIFS(C2:C747,"1-34 Bulan",J2:J747,"Potensi Stunting")</f>
        <v/>
      </c>
      <c r="W3" s="113" t="n"/>
      <c r="X3" s="111" t="inlineStr">
        <is>
          <t>Potensi Stunting</t>
        </is>
      </c>
      <c r="Y3" s="109">
        <f>COUNTIFS(F2:F747,"Risiko Lebih",J2:J747,"Potensi Stunting")</f>
        <v/>
      </c>
      <c r="AA3" s="113" t="n"/>
      <c r="AB3" s="111" t="inlineStr">
        <is>
          <t>Potensi Stunting</t>
        </is>
      </c>
      <c r="AC3" s="109">
        <f>COUNTIFS(G2:G747,"Normal",J2:J747,"Potensi Stunting")</f>
        <v/>
      </c>
      <c r="AE3" s="113" t="n"/>
      <c r="AF3" s="111" t="inlineStr">
        <is>
          <t>Potensi Stunting</t>
        </is>
      </c>
      <c r="AG3" s="109">
        <f>COUNTIFS(H2:H747,"Gizi Buruk",J2:J747,"Potensi Stunting")</f>
        <v/>
      </c>
      <c r="AI3" s="113" t="n"/>
      <c r="AJ3" s="111" t="inlineStr">
        <is>
          <t>Potensi Stunting</t>
        </is>
      </c>
      <c r="AK3" s="109">
        <f>COUNTIFS(I2:I747,"Ya",J2:J747,"Potensi Stunting")</f>
        <v/>
      </c>
    </row>
    <row r="4" ht="15.75" customHeight="1" s="95">
      <c r="A4" s="97" t="inlineStr">
        <is>
          <t>anonymus0003</t>
        </is>
      </c>
      <c r="B4" s="97" t="inlineStr">
        <is>
          <t>L</t>
        </is>
      </c>
      <c r="C4" s="97" t="inlineStr">
        <is>
          <t>35-69 Bulan</t>
        </is>
      </c>
      <c r="D4" s="97" t="n">
        <v>10.1</v>
      </c>
      <c r="E4" s="97" t="n">
        <v>85</v>
      </c>
      <c r="F4" s="97" t="inlineStr">
        <is>
          <t>Kurang</t>
        </is>
      </c>
      <c r="G4" s="97" t="inlineStr">
        <is>
          <t>Sangat Pendek</t>
        </is>
      </c>
      <c r="H4" s="106" t="inlineStr">
        <is>
          <t>Gizi Baik</t>
        </is>
      </c>
      <c r="I4" s="97" t="inlineStr">
        <is>
          <t>Ya</t>
        </is>
      </c>
      <c r="J4" s="97" t="inlineStr">
        <is>
          <t>Stunting</t>
        </is>
      </c>
      <c r="K4" s="107" t="n"/>
      <c r="L4" s="108" t="inlineStr">
        <is>
          <t>Potensi Stunting</t>
        </is>
      </c>
      <c r="M4" s="109">
        <f>COUNTIF(J2:J747, "Potensi Stunting")</f>
        <v/>
      </c>
      <c r="N4" s="114">
        <f>M4/M2</f>
        <v/>
      </c>
      <c r="O4" s="113" t="n"/>
      <c r="P4" s="111" t="inlineStr">
        <is>
          <t>Tidak</t>
        </is>
      </c>
      <c r="Q4" s="109">
        <f>COUNTIFS(B2:B747,"L",J2:J747,"Tidak")</f>
        <v/>
      </c>
      <c r="S4" s="113" t="n"/>
      <c r="T4" s="111" t="inlineStr">
        <is>
          <t>Tidak</t>
        </is>
      </c>
      <c r="U4" s="109">
        <f>COUNTIFS(C2:C747,"1-34 Bulan",J2:J747,"Tidak")</f>
        <v/>
      </c>
      <c r="W4" s="113" t="n"/>
      <c r="X4" s="111" t="inlineStr">
        <is>
          <t>Tidak</t>
        </is>
      </c>
      <c r="Y4" s="109">
        <f>COUNTIFS(F2:F747,"Risiko Lebih",J2:J747,"Tidak")</f>
        <v/>
      </c>
      <c r="AA4" s="113" t="n"/>
      <c r="AB4" s="111" t="inlineStr">
        <is>
          <t>Tidak</t>
        </is>
      </c>
      <c r="AC4" s="109">
        <f>COUNTIFS(G2:G747,"Normal",J2:J747,"Tidak")</f>
        <v/>
      </c>
      <c r="AE4" s="113" t="n"/>
      <c r="AF4" s="111" t="inlineStr">
        <is>
          <t>Tidak</t>
        </is>
      </c>
      <c r="AG4" s="109">
        <f>COUNTIFS(H2:H747,"Gizi Buruk",J2:J747,"Tidak")</f>
        <v/>
      </c>
      <c r="AI4" s="113" t="n"/>
      <c r="AJ4" s="111" t="inlineStr">
        <is>
          <t>Tidak</t>
        </is>
      </c>
      <c r="AK4" s="109">
        <f>COUNTIFS(I2:I747,"Ya",J2:J747,"Tidak")</f>
        <v/>
      </c>
    </row>
    <row r="5" ht="15.75" customHeight="1" s="95">
      <c r="A5" s="97" t="inlineStr">
        <is>
          <t>anonymus0004</t>
        </is>
      </c>
      <c r="B5" s="97" t="inlineStr">
        <is>
          <t>L</t>
        </is>
      </c>
      <c r="C5" s="97" t="inlineStr">
        <is>
          <t>35-69 Bulan</t>
        </is>
      </c>
      <c r="D5" s="97" t="n">
        <v>11.4</v>
      </c>
      <c r="E5" s="97" t="n">
        <v>87</v>
      </c>
      <c r="F5" s="97" t="inlineStr">
        <is>
          <t>Normal</t>
        </is>
      </c>
      <c r="G5" s="97" t="inlineStr">
        <is>
          <t>Pendek</t>
        </is>
      </c>
      <c r="H5" s="106" t="inlineStr">
        <is>
          <t>Gizi Baik</t>
        </is>
      </c>
      <c r="I5" s="97" t="inlineStr">
        <is>
          <t>Ya</t>
        </is>
      </c>
      <c r="J5" s="97" t="inlineStr">
        <is>
          <t>Potensi Stunting</t>
        </is>
      </c>
      <c r="K5" s="107" t="n"/>
      <c r="L5" s="108" t="inlineStr">
        <is>
          <t>Tidak</t>
        </is>
      </c>
      <c r="M5" s="109">
        <f>COUNTIF(J2:J747, "Tidak")</f>
        <v/>
      </c>
      <c r="N5" s="114">
        <f>M5/M2</f>
        <v/>
      </c>
      <c r="O5" s="110" t="inlineStr">
        <is>
          <t>P</t>
        </is>
      </c>
      <c r="P5" s="111" t="inlineStr">
        <is>
          <t>Stunting</t>
        </is>
      </c>
      <c r="Q5" s="109">
        <f>COUNTIFS(B2:B747,"P",J2:J747,"Stunting")</f>
        <v/>
      </c>
      <c r="S5" s="112" t="inlineStr">
        <is>
          <t>35-69 Bulan</t>
        </is>
      </c>
      <c r="T5" s="111" t="inlineStr">
        <is>
          <t>Stunting</t>
        </is>
      </c>
      <c r="U5" s="109">
        <f>COUNTIFS(C2:C747,"35-69 Bulan",J2:J747,"Stunting")</f>
        <v/>
      </c>
      <c r="W5" s="113" t="inlineStr">
        <is>
          <t>Normal</t>
        </is>
      </c>
      <c r="X5" s="111" t="inlineStr">
        <is>
          <t>Stunting</t>
        </is>
      </c>
      <c r="Y5" s="109">
        <f>COUNTIFS(F2:F747,"Normal",J2:J747,"Stunting")</f>
        <v/>
      </c>
      <c r="AA5" s="113" t="inlineStr">
        <is>
          <t>Pendek</t>
        </is>
      </c>
      <c r="AB5" s="111" t="inlineStr">
        <is>
          <t>Stunting</t>
        </is>
      </c>
      <c r="AC5" s="109">
        <f>COUNTIFS(G2:G747,"Pendek",J2:J747,"Stunting")</f>
        <v/>
      </c>
      <c r="AE5" s="113" t="inlineStr">
        <is>
          <t>Gizi Lebih</t>
        </is>
      </c>
      <c r="AF5" s="111" t="inlineStr">
        <is>
          <t>Stunting</t>
        </is>
      </c>
      <c r="AG5" s="109">
        <f>COUNTIFS(H2:H747,"Gizi Lebih",J2:J747,"Stunting")</f>
        <v/>
      </c>
      <c r="AI5" s="113" t="inlineStr">
        <is>
          <t>Tidak</t>
        </is>
      </c>
      <c r="AJ5" s="111" t="inlineStr">
        <is>
          <t>Stunting</t>
        </is>
      </c>
      <c r="AK5" s="109">
        <f>COUNTIFS(I2:I747,"Tidak",J2:J747,"Stunting")</f>
        <v/>
      </c>
    </row>
    <row r="6" ht="15.75" customHeight="1" s="95">
      <c r="A6" s="97" t="inlineStr">
        <is>
          <t>anonymus0005</t>
        </is>
      </c>
      <c r="B6" s="97" t="inlineStr">
        <is>
          <t>L</t>
        </is>
      </c>
      <c r="C6" s="97" t="inlineStr">
        <is>
          <t>35-69 Bulan</t>
        </is>
      </c>
      <c r="D6" s="97" t="n">
        <v>11.3</v>
      </c>
      <c r="E6" s="97" t="n">
        <v>94</v>
      </c>
      <c r="F6" s="97" t="inlineStr">
        <is>
          <t>Kurang</t>
        </is>
      </c>
      <c r="G6" s="97" t="inlineStr">
        <is>
          <t>Normal</t>
        </is>
      </c>
      <c r="H6" s="106" t="inlineStr">
        <is>
          <t>Gizi Kurang</t>
        </is>
      </c>
      <c r="I6" s="97" t="inlineStr">
        <is>
          <t>Ya</t>
        </is>
      </c>
      <c r="J6" s="97" t="inlineStr">
        <is>
          <t>Tidak</t>
        </is>
      </c>
      <c r="K6" s="107" t="n"/>
      <c r="N6" s="114">
        <f>SUM(N3:N5)</f>
        <v/>
      </c>
      <c r="O6" s="113">
        <f>COUNTIF(B2:B747, "p")</f>
        <v/>
      </c>
      <c r="P6" s="111" t="inlineStr">
        <is>
          <t>Potensi Stunting</t>
        </is>
      </c>
      <c r="Q6" s="109">
        <f>COUNTIFS(B2:B747,"P",J2:J747,"Potensi Stunting")</f>
        <v/>
      </c>
      <c r="S6" s="113" t="n"/>
      <c r="T6" s="111" t="inlineStr">
        <is>
          <t>Potensi Stunting</t>
        </is>
      </c>
      <c r="U6" s="109">
        <f>COUNTIFS(C2:C747,"35-69 Bulan",J2:J747,"Potensi Stunting")</f>
        <v/>
      </c>
      <c r="W6" s="113" t="n"/>
      <c r="X6" s="111" t="inlineStr">
        <is>
          <t>Potensi Stunting</t>
        </is>
      </c>
      <c r="Y6" s="109">
        <f>COUNTIFS(F2:F747,"Normal",J2:J747,"Potensi Stunting")</f>
        <v/>
      </c>
      <c r="AA6" s="113" t="n"/>
      <c r="AB6" s="111" t="inlineStr">
        <is>
          <t>Potensi Stunting</t>
        </is>
      </c>
      <c r="AC6" s="109">
        <f>COUNTIFS(G2:G747,"Pendek",J2:J747,"Potensi Stunting")</f>
        <v/>
      </c>
      <c r="AE6" s="113" t="n"/>
      <c r="AF6" s="111" t="inlineStr">
        <is>
          <t>Potensi Stunting</t>
        </is>
      </c>
      <c r="AG6" s="109">
        <f>COUNTIFS(H2:H747,"Gizi Lebih",J2:J747,"Potensi Stunting")</f>
        <v/>
      </c>
      <c r="AI6" s="113" t="n"/>
      <c r="AJ6" s="111" t="inlineStr">
        <is>
          <t>Potensi Stunting</t>
        </is>
      </c>
      <c r="AK6" s="109">
        <f>COUNTIFS(I2:I747,"Tidak",J2:J747,"Potensi Stunting")</f>
        <v/>
      </c>
    </row>
    <row r="7" ht="15.75" customHeight="1" s="95">
      <c r="A7" s="97" t="inlineStr">
        <is>
          <t>anonymus0006</t>
        </is>
      </c>
      <c r="B7" s="97" t="inlineStr">
        <is>
          <t>L</t>
        </is>
      </c>
      <c r="C7" s="97" t="inlineStr">
        <is>
          <t>35-69 Bulan</t>
        </is>
      </c>
      <c r="D7" s="97" t="inlineStr">
        <is>
          <t>14.3</t>
        </is>
      </c>
      <c r="E7" s="97" t="n">
        <v>100</v>
      </c>
      <c r="F7" s="97" t="inlineStr">
        <is>
          <t>Normal</t>
        </is>
      </c>
      <c r="G7" s="97" t="inlineStr">
        <is>
          <t>Normal</t>
        </is>
      </c>
      <c r="H7" s="106" t="inlineStr">
        <is>
          <t>Gizi Baik</t>
        </is>
      </c>
      <c r="I7" s="97" t="inlineStr">
        <is>
          <t>Ya</t>
        </is>
      </c>
      <c r="J7" s="97" t="inlineStr">
        <is>
          <t>Tidak</t>
        </is>
      </c>
      <c r="K7" s="107" t="n"/>
      <c r="O7" s="113" t="n"/>
      <c r="P7" s="111" t="inlineStr">
        <is>
          <t>Tidak</t>
        </is>
      </c>
      <c r="Q7" s="109">
        <f>COUNTIFS(B2:B747,"P",J2:J747,"Tidak")</f>
        <v/>
      </c>
      <c r="S7" s="113" t="n"/>
      <c r="T7" s="111" t="inlineStr">
        <is>
          <t>Tidak</t>
        </is>
      </c>
      <c r="U7" s="109">
        <f>COUNTIFS(C2:C747,"35-69 Bulan",J2:J747,"Tidak")</f>
        <v/>
      </c>
      <c r="W7" s="113" t="n"/>
      <c r="X7" s="111" t="inlineStr">
        <is>
          <t>Tidak</t>
        </is>
      </c>
      <c r="Y7" s="109">
        <f>COUNTIFS(F2:F747,"Normal",J2:J747,"Tidak")</f>
        <v/>
      </c>
      <c r="AA7" s="113" t="n"/>
      <c r="AB7" s="111" t="inlineStr">
        <is>
          <t>Tidak</t>
        </is>
      </c>
      <c r="AC7" s="109">
        <f>COUNTIFS(G2:G747,"Pendek",J2:J747,"Tidak")</f>
        <v/>
      </c>
      <c r="AE7" s="113" t="n"/>
      <c r="AF7" s="111" t="inlineStr">
        <is>
          <t>Tidak</t>
        </is>
      </c>
      <c r="AG7" s="109">
        <f>COUNTIFS(H2:H747,"Gizi Lebih",J2:J747,"Tidak")</f>
        <v/>
      </c>
      <c r="AI7" s="113" t="n"/>
      <c r="AJ7" s="111" t="inlineStr">
        <is>
          <t>Tidak</t>
        </is>
      </c>
      <c r="AK7" s="109">
        <f>COUNTIFS(I2:I747,"Tidak",J2:J747,"Tidak")</f>
        <v/>
      </c>
    </row>
    <row r="8" ht="15.75" customHeight="1" s="95">
      <c r="A8" s="97" t="inlineStr">
        <is>
          <t>anonymus0007</t>
        </is>
      </c>
      <c r="B8" s="97" t="inlineStr">
        <is>
          <t>P</t>
        </is>
      </c>
      <c r="C8" s="97" t="inlineStr">
        <is>
          <t>1-34 Bulan</t>
        </is>
      </c>
      <c r="D8" s="97" t="n">
        <v>13.8</v>
      </c>
      <c r="E8" s="97" t="n">
        <v>91</v>
      </c>
      <c r="F8" s="97" t="inlineStr">
        <is>
          <t>Normal</t>
        </is>
      </c>
      <c r="G8" s="97" t="inlineStr">
        <is>
          <t>Normal</t>
        </is>
      </c>
      <c r="H8" s="106" t="inlineStr">
        <is>
          <t>Gizi Baik</t>
        </is>
      </c>
      <c r="I8" s="97" t="inlineStr">
        <is>
          <t>Ya</t>
        </is>
      </c>
      <c r="J8" s="97" t="inlineStr">
        <is>
          <t>Tidak</t>
        </is>
      </c>
      <c r="K8" s="107" t="n"/>
      <c r="Q8" s="94">
        <f>SUM(Q2:Q7)</f>
        <v/>
      </c>
      <c r="U8" s="94">
        <f>SUM(U2:U7)</f>
        <v/>
      </c>
      <c r="W8" s="113" t="inlineStr">
        <is>
          <t>Kurang</t>
        </is>
      </c>
      <c r="X8" s="111" t="inlineStr">
        <is>
          <t>Stunting</t>
        </is>
      </c>
      <c r="Y8" s="109">
        <f>COUNTIFS(F2:F747,"Kurang",J2:J747,"Stunting")</f>
        <v/>
      </c>
      <c r="AA8" s="113" t="inlineStr">
        <is>
          <t>Sangat Pendek</t>
        </is>
      </c>
      <c r="AB8" s="111" t="inlineStr">
        <is>
          <t>Stunting</t>
        </is>
      </c>
      <c r="AC8" s="109">
        <f>COUNTIFS(G2:G747,"Sangat Pendek",J2:J747,"Stunting")</f>
        <v/>
      </c>
      <c r="AE8" s="113" t="inlineStr">
        <is>
          <t>Risiko Gizi Lebih</t>
        </is>
      </c>
      <c r="AF8" s="111" t="inlineStr">
        <is>
          <t>Stunting</t>
        </is>
      </c>
      <c r="AG8" s="109">
        <f>COUNTIFS(H2:H747,"Risiko Gizi Lebih",J2:J747,"Stunting")</f>
        <v/>
      </c>
      <c r="AK8" s="94">
        <f>SUM(AK2:AK7)</f>
        <v/>
      </c>
    </row>
    <row r="9" ht="15.75" customHeight="1" s="95">
      <c r="A9" s="97" t="inlineStr">
        <is>
          <t>anonymus0008</t>
        </is>
      </c>
      <c r="B9" s="97" t="inlineStr">
        <is>
          <t>P</t>
        </is>
      </c>
      <c r="C9" s="97" t="inlineStr">
        <is>
          <t>35-69 Bulan</t>
        </is>
      </c>
      <c r="D9" s="97" t="n">
        <v>11.2</v>
      </c>
      <c r="E9" s="97" t="n">
        <v>97</v>
      </c>
      <c r="F9" s="97" t="inlineStr">
        <is>
          <t>Kurang</t>
        </is>
      </c>
      <c r="G9" s="97" t="inlineStr">
        <is>
          <t>Normal</t>
        </is>
      </c>
      <c r="H9" s="106" t="inlineStr">
        <is>
          <t>Gizi Kurang</t>
        </is>
      </c>
      <c r="I9" s="97" t="inlineStr">
        <is>
          <t>Ya</t>
        </is>
      </c>
      <c r="J9" s="97" t="inlineStr">
        <is>
          <t>Potensi Stunting</t>
        </is>
      </c>
      <c r="K9" s="107" t="n"/>
      <c r="W9" s="113" t="n"/>
      <c r="X9" s="111" t="inlineStr">
        <is>
          <t>Potensi Stunting</t>
        </is>
      </c>
      <c r="Y9" s="109">
        <f>COUNTIFS(F2:F747,"Kurang",J2:J747,"Potensi Stunting")</f>
        <v/>
      </c>
      <c r="AA9" s="113" t="n"/>
      <c r="AB9" s="111" t="inlineStr">
        <is>
          <t>Potensi Stunting</t>
        </is>
      </c>
      <c r="AC9" s="109">
        <f>COUNTIFS(G2:G747,"Sangat Pendek",J2:J747,"Potensi Stunting")</f>
        <v/>
      </c>
      <c r="AE9" s="113" t="n"/>
      <c r="AF9" s="111" t="inlineStr">
        <is>
          <t>Potensi Stunting</t>
        </is>
      </c>
      <c r="AG9" s="109">
        <f>COUNTIFS(H2:H747,"Risiko Gizi Lebih",J2:J747,"Potensi Stunting")</f>
        <v/>
      </c>
    </row>
    <row r="10" ht="15.75" customHeight="1" s="95">
      <c r="A10" s="97" t="inlineStr">
        <is>
          <t>anonymus0009</t>
        </is>
      </c>
      <c r="B10" s="97" t="inlineStr">
        <is>
          <t>L</t>
        </is>
      </c>
      <c r="C10" s="97" t="inlineStr">
        <is>
          <t>35-69 Bulan</t>
        </is>
      </c>
      <c r="D10" s="97" t="n">
        <v>10.6</v>
      </c>
      <c r="E10" s="97" t="n">
        <v>93</v>
      </c>
      <c r="F10" s="97" t="inlineStr">
        <is>
          <t>Normal</t>
        </is>
      </c>
      <c r="G10" s="97" t="inlineStr">
        <is>
          <t>Normal</t>
        </is>
      </c>
      <c r="H10" s="106" t="inlineStr">
        <is>
          <t>Gizi Baik</t>
        </is>
      </c>
      <c r="I10" s="97" t="inlineStr">
        <is>
          <t>Ya</t>
        </is>
      </c>
      <c r="J10" s="97" t="inlineStr">
        <is>
          <t>Tidak</t>
        </is>
      </c>
      <c r="K10" s="107" t="n"/>
      <c r="L10" s="94" t="inlineStr">
        <is>
          <t>Menghitung Jumlah dengan kelas yang sama</t>
        </is>
      </c>
      <c r="W10" s="113" t="n"/>
      <c r="X10" s="111" t="inlineStr">
        <is>
          <t>Tidak</t>
        </is>
      </c>
      <c r="Y10" s="109">
        <f>COUNTIFS(F2:F747,"Kurang",J2:J747,"Tidak")</f>
        <v/>
      </c>
      <c r="AA10" s="113" t="n"/>
      <c r="AB10" s="111" t="inlineStr">
        <is>
          <t>Tidak</t>
        </is>
      </c>
      <c r="AC10" s="109">
        <f>COUNTIFS(G2:G747,"Sangat Pendek",J2:J747,"Tidak")</f>
        <v/>
      </c>
      <c r="AE10" s="113" t="n"/>
      <c r="AF10" s="111" t="inlineStr">
        <is>
          <t>Tidak</t>
        </is>
      </c>
      <c r="AG10" s="109">
        <f>COUNTIFS(H2:H747,"Risiko Gizi Lebih",J2:J747,"Tidak")</f>
        <v/>
      </c>
    </row>
    <row r="11" ht="15.75" customHeight="1" s="95">
      <c r="A11" s="97" t="inlineStr">
        <is>
          <t>anonymus0010</t>
        </is>
      </c>
      <c r="B11" s="97" t="inlineStr">
        <is>
          <t>L</t>
        </is>
      </c>
      <c r="C11" s="97" t="inlineStr">
        <is>
          <t>1-34 Bulan</t>
        </is>
      </c>
      <c r="D11" s="97" t="inlineStr">
        <is>
          <t>15.8</t>
        </is>
      </c>
      <c r="E11" s="97" t="n">
        <v>93</v>
      </c>
      <c r="F11" s="97" t="inlineStr">
        <is>
          <t>Risiko Lebih</t>
        </is>
      </c>
      <c r="G11" s="97" t="inlineStr">
        <is>
          <t>Normal</t>
        </is>
      </c>
      <c r="H11" s="106" t="inlineStr">
        <is>
          <t>Risiko Gizi Lebih</t>
        </is>
      </c>
      <c r="I11" s="97" t="inlineStr">
        <is>
          <t>Ya</t>
        </is>
      </c>
      <c r="J11" s="97" t="inlineStr">
        <is>
          <t>Tidak</t>
        </is>
      </c>
      <c r="K11" s="107" t="n"/>
      <c r="W11" s="113" t="inlineStr">
        <is>
          <t>Sangat Kurang</t>
        </is>
      </c>
      <c r="X11" s="111" t="inlineStr">
        <is>
          <t>Stunting</t>
        </is>
      </c>
      <c r="Y11" s="109">
        <f>COUNTIFS(F2:F747,"Sangat Kurang",J2:J747,"Stunting")</f>
        <v/>
      </c>
      <c r="AC11" s="94">
        <f>SUM(AC2:AC10)</f>
        <v/>
      </c>
      <c r="AE11" s="113" t="inlineStr">
        <is>
          <t>Gizi Baik</t>
        </is>
      </c>
      <c r="AF11" s="111" t="inlineStr">
        <is>
          <t>Stunting</t>
        </is>
      </c>
      <c r="AG11" s="109">
        <f>COUNTIFS(H2:H747,"Gizi Baik",J2:J747,"Stunting")</f>
        <v/>
      </c>
    </row>
    <row r="12" ht="15.75" customHeight="1" s="95">
      <c r="A12" s="97" t="inlineStr">
        <is>
          <t>anonymus0011</t>
        </is>
      </c>
      <c r="B12" s="97" t="inlineStr">
        <is>
          <t>L</t>
        </is>
      </c>
      <c r="C12" s="97" t="inlineStr">
        <is>
          <t>1-34 Bulan</t>
        </is>
      </c>
      <c r="D12" s="97" t="n">
        <v>9.699999999999999</v>
      </c>
      <c r="E12" s="97" t="n">
        <v>80</v>
      </c>
      <c r="F12" s="97" t="inlineStr">
        <is>
          <t>Normal</t>
        </is>
      </c>
      <c r="G12" s="97" t="inlineStr">
        <is>
          <t>Normal</t>
        </is>
      </c>
      <c r="H12" s="106" t="inlineStr">
        <is>
          <t>Gizi Baik</t>
        </is>
      </c>
      <c r="I12" s="97" t="inlineStr">
        <is>
          <t>Ya</t>
        </is>
      </c>
      <c r="J12" s="97" t="inlineStr">
        <is>
          <t>Tidak</t>
        </is>
      </c>
      <c r="K12" s="107" t="n"/>
      <c r="L12" s="115" t="inlineStr">
        <is>
          <t>Jumlah kejadian</t>
        </is>
      </c>
      <c r="M12" s="116" t="n"/>
      <c r="N12" s="117" t="n"/>
      <c r="O12" s="118" t="n"/>
      <c r="P12" s="115" t="inlineStr">
        <is>
          <t>Probabilitas</t>
        </is>
      </c>
      <c r="Q12" s="116" t="n"/>
      <c r="R12" s="117" t="n"/>
      <c r="W12" s="113" t="n"/>
      <c r="X12" s="111" t="inlineStr">
        <is>
          <t>Potensi Stunting</t>
        </is>
      </c>
      <c r="Y12" s="109">
        <f>COUNTIFS(F2:F747,"Sangat Kurang",J2:J747,"Potensi Stunting")</f>
        <v/>
      </c>
      <c r="AE12" s="113" t="n"/>
      <c r="AF12" s="111" t="inlineStr">
        <is>
          <t>Potensi Stunting</t>
        </is>
      </c>
      <c r="AG12" s="109">
        <f>COUNTIFS(H2:H747,"Gizi Baik",J2:J747,"Potensi Stunting")</f>
        <v/>
      </c>
    </row>
    <row r="13" ht="15.75" customHeight="1" s="95">
      <c r="A13" s="97" t="inlineStr">
        <is>
          <t>anonymus0012</t>
        </is>
      </c>
      <c r="B13" s="97" t="inlineStr">
        <is>
          <t>L</t>
        </is>
      </c>
      <c r="C13" s="97" t="inlineStr">
        <is>
          <t>35-69 Bulan</t>
        </is>
      </c>
      <c r="D13" s="97" t="n">
        <v>12.7</v>
      </c>
      <c r="E13" s="97" t="n">
        <v>95</v>
      </c>
      <c r="F13" s="97" t="inlineStr">
        <is>
          <t>Kurang</t>
        </is>
      </c>
      <c r="G13" s="97" t="inlineStr">
        <is>
          <t>Pendek</t>
        </is>
      </c>
      <c r="H13" s="106" t="inlineStr">
        <is>
          <t>Gizi Baik</t>
        </is>
      </c>
      <c r="I13" s="97" t="inlineStr">
        <is>
          <t>Ya</t>
        </is>
      </c>
      <c r="J13" s="97" t="inlineStr">
        <is>
          <t>Potensi Stunting</t>
        </is>
      </c>
      <c r="K13" s="107" t="n"/>
      <c r="L13" s="115" t="inlineStr">
        <is>
          <t>Jenis Kelamin</t>
        </is>
      </c>
      <c r="M13" s="115" t="inlineStr">
        <is>
          <t>Stunting</t>
        </is>
      </c>
      <c r="N13" s="115" t="inlineStr">
        <is>
          <t>Potensi Stunting</t>
        </is>
      </c>
      <c r="O13" s="115" t="inlineStr">
        <is>
          <t>Tidak</t>
        </is>
      </c>
      <c r="P13" s="115" t="inlineStr">
        <is>
          <t>Stunting</t>
        </is>
      </c>
      <c r="Q13" s="115" t="inlineStr">
        <is>
          <t>Potensi Stuting</t>
        </is>
      </c>
      <c r="R13" s="115" t="inlineStr">
        <is>
          <t>Tidak</t>
        </is>
      </c>
      <c r="W13" s="113" t="n"/>
      <c r="X13" s="111" t="inlineStr">
        <is>
          <t>Tidak</t>
        </is>
      </c>
      <c r="Y13" s="109">
        <f>COUNTIFS(F2:F747,"Sangat Kurang",J2:J747,"Tidak")</f>
        <v/>
      </c>
      <c r="AE13" s="113" t="n"/>
      <c r="AF13" s="111" t="inlineStr">
        <is>
          <t>Tidak</t>
        </is>
      </c>
      <c r="AG13" s="109">
        <f>COUNTIFS(H2:H747,"Gizi Baik",J2:J747,"Tidak")</f>
        <v/>
      </c>
    </row>
    <row r="14" ht="15.75" customHeight="1" s="95">
      <c r="A14" s="97" t="inlineStr">
        <is>
          <t>anonymus0013</t>
        </is>
      </c>
      <c r="B14" s="97" t="inlineStr">
        <is>
          <t>L</t>
        </is>
      </c>
      <c r="C14" s="97" t="inlineStr">
        <is>
          <t>1-34 Bulan</t>
        </is>
      </c>
      <c r="D14" s="97" t="n">
        <v>12.2</v>
      </c>
      <c r="E14" s="97" t="n">
        <v>86</v>
      </c>
      <c r="F14" s="97" t="inlineStr">
        <is>
          <t>Normal</t>
        </is>
      </c>
      <c r="G14" s="97" t="inlineStr">
        <is>
          <t>Normal</t>
        </is>
      </c>
      <c r="H14" s="106" t="inlineStr">
        <is>
          <t>Gizi Baik</t>
        </is>
      </c>
      <c r="I14" s="97" t="inlineStr">
        <is>
          <t>Ya</t>
        </is>
      </c>
      <c r="J14" s="97" t="inlineStr">
        <is>
          <t>Tidak</t>
        </is>
      </c>
      <c r="K14" s="107" t="n"/>
      <c r="L14" s="112" t="inlineStr">
        <is>
          <t>Laki-laki</t>
        </is>
      </c>
      <c r="M14" s="112">
        <f>Q2</f>
        <v/>
      </c>
      <c r="N14" s="112">
        <f>Q3</f>
        <v/>
      </c>
      <c r="O14" s="112">
        <f>Q4</f>
        <v/>
      </c>
      <c r="P14" s="112">
        <f>M14/M16</f>
        <v/>
      </c>
      <c r="Q14" s="112">
        <f>N14/N16</f>
        <v/>
      </c>
      <c r="R14" s="109">
        <f>O14/O16</f>
        <v/>
      </c>
      <c r="Y14" s="94">
        <f>SUM(Y2:Y13)</f>
        <v/>
      </c>
      <c r="AE14" s="113" t="inlineStr">
        <is>
          <t>Gizi Kurang</t>
        </is>
      </c>
      <c r="AF14" s="111" t="inlineStr">
        <is>
          <t>Stunting</t>
        </is>
      </c>
      <c r="AG14" s="109">
        <f>COUNTIFS(H2:H747,"Gizi Kurang",J2:J747,"Stunting")</f>
        <v/>
      </c>
    </row>
    <row r="15" ht="15.75" customHeight="1" s="95">
      <c r="A15" s="97" t="inlineStr">
        <is>
          <t>anonymus0014</t>
        </is>
      </c>
      <c r="B15" s="97" t="inlineStr">
        <is>
          <t>L</t>
        </is>
      </c>
      <c r="C15" s="97" t="inlineStr">
        <is>
          <t>1-34 Bulan</t>
        </is>
      </c>
      <c r="D15" s="97" t="inlineStr">
        <is>
          <t>14.5</t>
        </is>
      </c>
      <c r="E15" s="97" t="n">
        <v>97</v>
      </c>
      <c r="F15" s="97" t="inlineStr">
        <is>
          <t>Normal</t>
        </is>
      </c>
      <c r="G15" s="97" t="inlineStr">
        <is>
          <t>Normal</t>
        </is>
      </c>
      <c r="H15" s="106" t="inlineStr">
        <is>
          <t>Gizi Baik</t>
        </is>
      </c>
      <c r="I15" s="97" t="inlineStr">
        <is>
          <t>Ya</t>
        </is>
      </c>
      <c r="J15" s="97" t="inlineStr">
        <is>
          <t>Tidak</t>
        </is>
      </c>
      <c r="K15" s="107" t="n"/>
      <c r="L15" s="112" t="inlineStr">
        <is>
          <t>Perempuan</t>
        </is>
      </c>
      <c r="M15" s="112">
        <f>Q5</f>
        <v/>
      </c>
      <c r="N15" s="112">
        <f>Q6</f>
        <v/>
      </c>
      <c r="O15" s="112">
        <f>Q7</f>
        <v/>
      </c>
      <c r="P15" s="112">
        <f>M15/M16</f>
        <v/>
      </c>
      <c r="Q15" s="112">
        <f>N15/N16</f>
        <v/>
      </c>
      <c r="R15" s="109">
        <f>O15/O16</f>
        <v/>
      </c>
      <c r="AE15" s="113" t="n"/>
      <c r="AF15" s="111" t="inlineStr">
        <is>
          <t>Potensi Stunting</t>
        </is>
      </c>
      <c r="AG15" s="109">
        <f>COUNTIFS(H2:H747,"Gizi Kurang",J2:J747,"Potensi Stunting")</f>
        <v/>
      </c>
    </row>
    <row r="16" ht="15.75" customHeight="1" s="95">
      <c r="A16" s="97" t="inlineStr">
        <is>
          <t>anonymus0015</t>
        </is>
      </c>
      <c r="B16" s="97" t="inlineStr">
        <is>
          <t>L</t>
        </is>
      </c>
      <c r="C16" s="97" t="inlineStr">
        <is>
          <t>35-69 Bulan</t>
        </is>
      </c>
      <c r="D16" s="97" t="n">
        <v>13.9</v>
      </c>
      <c r="E16" s="97" t="n">
        <v>96</v>
      </c>
      <c r="F16" s="97" t="inlineStr">
        <is>
          <t>Normal</t>
        </is>
      </c>
      <c r="G16" s="97" t="inlineStr">
        <is>
          <t>Normal</t>
        </is>
      </c>
      <c r="H16" s="106" t="inlineStr">
        <is>
          <t>Gizi Baik</t>
        </is>
      </c>
      <c r="I16" s="97" t="inlineStr">
        <is>
          <t>Ya</t>
        </is>
      </c>
      <c r="J16" s="97" t="inlineStr">
        <is>
          <t>Tidak</t>
        </is>
      </c>
      <c r="K16" s="107" t="n"/>
      <c r="L16" s="112" t="n"/>
      <c r="M16" s="112">
        <f>SUM(M14:M15)</f>
        <v/>
      </c>
      <c r="N16" s="112">
        <f>SUM(N14:N15)</f>
        <v/>
      </c>
      <c r="O16" s="112">
        <f>SUM(O14:O15)</f>
        <v/>
      </c>
      <c r="P16" s="112">
        <f>SUM(P14:P15)</f>
        <v/>
      </c>
      <c r="Q16" s="112">
        <f>SUM(Q14:Q15)</f>
        <v/>
      </c>
      <c r="R16" s="109">
        <f>SUM(R14:R15)</f>
        <v/>
      </c>
      <c r="AE16" s="113" t="n"/>
      <c r="AF16" s="111" t="inlineStr">
        <is>
          <t>Tidak</t>
        </is>
      </c>
      <c r="AG16" s="109">
        <f>COUNTIFS(H2:H747,"Gizi Kurang",J2:J747,"Tidak")</f>
        <v/>
      </c>
    </row>
    <row r="17" ht="15.75" customHeight="1" s="95">
      <c r="A17" s="97" t="inlineStr">
        <is>
          <t>anonymus0016</t>
        </is>
      </c>
      <c r="B17" s="97" t="inlineStr">
        <is>
          <t>L</t>
        </is>
      </c>
      <c r="C17" s="97" t="inlineStr">
        <is>
          <t>35-69 Bulan</t>
        </is>
      </c>
      <c r="D17" s="97" t="n">
        <v>12.6</v>
      </c>
      <c r="E17" s="97" t="n">
        <v>100</v>
      </c>
      <c r="F17" s="97" t="inlineStr">
        <is>
          <t>Normal</t>
        </is>
      </c>
      <c r="G17" s="97" t="inlineStr">
        <is>
          <t>Normal</t>
        </is>
      </c>
      <c r="H17" s="106" t="inlineStr">
        <is>
          <t>Gizi Kurang</t>
        </is>
      </c>
      <c r="I17" s="97" t="inlineStr">
        <is>
          <t>Ya</t>
        </is>
      </c>
      <c r="J17" s="97" t="inlineStr">
        <is>
          <t>Tidak</t>
        </is>
      </c>
      <c r="K17" s="107" t="n"/>
      <c r="AG17" s="94">
        <f>SUM(AG2:AG16)</f>
        <v/>
      </c>
    </row>
    <row r="18" ht="15.75" customHeight="1" s="95">
      <c r="A18" s="97" t="inlineStr">
        <is>
          <t>anonymus0017</t>
        </is>
      </c>
      <c r="B18" s="97" t="inlineStr">
        <is>
          <t>L</t>
        </is>
      </c>
      <c r="C18" s="97" t="inlineStr">
        <is>
          <t>35-69 Bulan</t>
        </is>
      </c>
      <c r="D18" s="97" t="inlineStr">
        <is>
          <t>14.8</t>
        </is>
      </c>
      <c r="E18" s="97" t="n">
        <v>104</v>
      </c>
      <c r="F18" s="97" t="inlineStr">
        <is>
          <t>Normal</t>
        </is>
      </c>
      <c r="G18" s="97" t="inlineStr">
        <is>
          <t>Normal</t>
        </is>
      </c>
      <c r="H18" s="106" t="inlineStr">
        <is>
          <t>Gizi Baik</t>
        </is>
      </c>
      <c r="I18" s="97" t="inlineStr">
        <is>
          <t>Ya</t>
        </is>
      </c>
      <c r="J18" s="97" t="inlineStr">
        <is>
          <t>Tidak</t>
        </is>
      </c>
      <c r="K18" s="107" t="n"/>
      <c r="L18" s="115" t="inlineStr">
        <is>
          <t>Jumlah kejadian</t>
        </is>
      </c>
      <c r="M18" s="116" t="n"/>
      <c r="N18" s="117" t="n"/>
      <c r="O18" s="118" t="n"/>
      <c r="P18" s="115" t="inlineStr">
        <is>
          <t>Probabilitas</t>
        </is>
      </c>
      <c r="Q18" s="116" t="n"/>
      <c r="R18" s="117" t="n"/>
      <c r="T18" s="102" t="n"/>
      <c r="U18" s="102" t="inlineStr">
        <is>
          <t xml:space="preserve"> </t>
        </is>
      </c>
      <c r="V18" s="102" t="n"/>
      <c r="W18" s="102" t="n"/>
      <c r="X18" s="102" t="n"/>
      <c r="Y18" s="102" t="n"/>
      <c r="Z18" s="102" t="n"/>
      <c r="AA18" s="102" t="n"/>
      <c r="AB18" s="102" t="n"/>
      <c r="AC18" s="102" t="n"/>
    </row>
    <row r="19" ht="15.75" customHeight="1" s="95">
      <c r="A19" s="97" t="inlineStr">
        <is>
          <t>anonymus0018</t>
        </is>
      </c>
      <c r="B19" s="97" t="inlineStr">
        <is>
          <t>P</t>
        </is>
      </c>
      <c r="C19" s="97" t="inlineStr">
        <is>
          <t>1-34 Bulan</t>
        </is>
      </c>
      <c r="D19" s="97" t="inlineStr">
        <is>
          <t>10.2</t>
        </is>
      </c>
      <c r="E19" s="97" t="n">
        <v>75</v>
      </c>
      <c r="F19" s="97" t="inlineStr">
        <is>
          <t>Normal</t>
        </is>
      </c>
      <c r="G19" s="97" t="inlineStr">
        <is>
          <t>Normal</t>
        </is>
      </c>
      <c r="H19" s="106" t="inlineStr">
        <is>
          <t>Risiko Gizi Lebih</t>
        </is>
      </c>
      <c r="I19" s="97" t="inlineStr">
        <is>
          <t>Ya</t>
        </is>
      </c>
      <c r="J19" s="97" t="inlineStr">
        <is>
          <t>Tidak</t>
        </is>
      </c>
      <c r="K19" s="107" t="n"/>
      <c r="L19" s="115" t="inlineStr">
        <is>
          <t>Umur</t>
        </is>
      </c>
      <c r="M19" s="115" t="inlineStr">
        <is>
          <t>Stunting</t>
        </is>
      </c>
      <c r="N19" s="115" t="inlineStr">
        <is>
          <t>Potensi Stunting</t>
        </is>
      </c>
      <c r="O19" s="115" t="inlineStr">
        <is>
          <t>Tidak</t>
        </is>
      </c>
      <c r="P19" s="115" t="inlineStr">
        <is>
          <t>Stunting</t>
        </is>
      </c>
      <c r="Q19" s="115" t="inlineStr">
        <is>
          <t>Potensi Stuting</t>
        </is>
      </c>
      <c r="R19" s="115" t="inlineStr">
        <is>
          <t>Tidak</t>
        </is>
      </c>
    </row>
    <row r="20" ht="15.75" customHeight="1" s="95">
      <c r="A20" s="97" t="inlineStr">
        <is>
          <t>anonymus0019</t>
        </is>
      </c>
      <c r="B20" s="97" t="inlineStr">
        <is>
          <t>P</t>
        </is>
      </c>
      <c r="C20" s="97" t="inlineStr">
        <is>
          <t>35-69 Bulan</t>
        </is>
      </c>
      <c r="D20" s="97" t="n">
        <v>12.4</v>
      </c>
      <c r="E20" s="97" t="n">
        <v>91</v>
      </c>
      <c r="F20" s="97" t="inlineStr">
        <is>
          <t>Kurang</t>
        </is>
      </c>
      <c r="G20" s="97" t="inlineStr">
        <is>
          <t>Sangat Pendek</t>
        </is>
      </c>
      <c r="H20" s="106" t="inlineStr">
        <is>
          <t>Gizi Baik</t>
        </is>
      </c>
      <c r="I20" s="97" t="inlineStr">
        <is>
          <t>Ya</t>
        </is>
      </c>
      <c r="J20" s="97" t="inlineStr">
        <is>
          <t>Stunting</t>
        </is>
      </c>
      <c r="K20" s="107" t="n"/>
      <c r="L20" s="112" t="inlineStr">
        <is>
          <t>1-34 Bulan</t>
        </is>
      </c>
      <c r="M20" s="112">
        <f>U2</f>
        <v/>
      </c>
      <c r="N20" s="112">
        <f>U3</f>
        <v/>
      </c>
      <c r="O20" s="112">
        <f>U4</f>
        <v/>
      </c>
      <c r="P20" s="112">
        <f>M20/M22</f>
        <v/>
      </c>
      <c r="Q20" s="112">
        <f>O20/O22</f>
        <v/>
      </c>
      <c r="R20" s="109">
        <f>O20/O22</f>
        <v/>
      </c>
    </row>
    <row r="21" ht="15.75" customHeight="1" s="95">
      <c r="A21" s="97" t="inlineStr">
        <is>
          <t>anonymus0020</t>
        </is>
      </c>
      <c r="B21" s="97" t="inlineStr">
        <is>
          <t>P</t>
        </is>
      </c>
      <c r="C21" s="97" t="inlineStr">
        <is>
          <t>35-69 Bulan</t>
        </is>
      </c>
      <c r="D21" s="97" t="n">
        <v>11.6</v>
      </c>
      <c r="E21" s="97" t="n">
        <v>98</v>
      </c>
      <c r="F21" s="97" t="inlineStr">
        <is>
          <t>Kurang</t>
        </is>
      </c>
      <c r="G21" s="97" t="inlineStr">
        <is>
          <t>Normal</t>
        </is>
      </c>
      <c r="H21" s="106" t="inlineStr">
        <is>
          <t>Gizi Kurang</t>
        </is>
      </c>
      <c r="I21" s="97" t="inlineStr">
        <is>
          <t>Ya</t>
        </is>
      </c>
      <c r="J21" s="97" t="inlineStr">
        <is>
          <t>Tidak</t>
        </is>
      </c>
      <c r="K21" s="107" t="n"/>
      <c r="L21" s="112" t="inlineStr">
        <is>
          <t>35-69 Bulan</t>
        </is>
      </c>
      <c r="M21" s="112">
        <f>U5</f>
        <v/>
      </c>
      <c r="N21" s="112">
        <f>U6</f>
        <v/>
      </c>
      <c r="O21" s="112">
        <f>U7</f>
        <v/>
      </c>
      <c r="P21" s="112">
        <f>M21/M22</f>
        <v/>
      </c>
      <c r="Q21" s="112">
        <f>O21/O22</f>
        <v/>
      </c>
      <c r="R21" s="109">
        <f>O21/O22</f>
        <v/>
      </c>
    </row>
    <row r="22" ht="15.75" customHeight="1" s="95">
      <c r="A22" s="97" t="inlineStr">
        <is>
          <t>anonymus0021</t>
        </is>
      </c>
      <c r="B22" s="97" t="inlineStr">
        <is>
          <t>L</t>
        </is>
      </c>
      <c r="C22" s="97" t="inlineStr">
        <is>
          <t>35-69 Bulan</t>
        </is>
      </c>
      <c r="D22" s="97" t="n">
        <v>15</v>
      </c>
      <c r="E22" s="97" t="n">
        <v>107</v>
      </c>
      <c r="F22" s="97" t="inlineStr">
        <is>
          <t>Normal</t>
        </is>
      </c>
      <c r="G22" s="97" t="inlineStr">
        <is>
          <t>Normal</t>
        </is>
      </c>
      <c r="H22" s="106" t="inlineStr">
        <is>
          <t>Gizi Baik</t>
        </is>
      </c>
      <c r="I22" s="97" t="inlineStr">
        <is>
          <t>Ya</t>
        </is>
      </c>
      <c r="J22" s="97" t="inlineStr">
        <is>
          <t>Tidak</t>
        </is>
      </c>
      <c r="K22" s="107" t="n"/>
      <c r="L22" s="112" t="n"/>
      <c r="M22" s="112">
        <f>SUM(M20:M21)</f>
        <v/>
      </c>
      <c r="N22" s="112">
        <f>SUM(N20:N21)</f>
        <v/>
      </c>
      <c r="O22" s="112">
        <f>SUM(O20:O21)</f>
        <v/>
      </c>
      <c r="P22" s="112">
        <f>SUM(P20:P21)</f>
        <v/>
      </c>
      <c r="Q22" s="112">
        <f>SUM(Q20:Q21)</f>
        <v/>
      </c>
      <c r="R22" s="109">
        <f>SUM(R20:R21)</f>
        <v/>
      </c>
    </row>
    <row r="23" ht="15.75" customHeight="1" s="95">
      <c r="A23" s="97" t="inlineStr">
        <is>
          <t>anonymus0022</t>
        </is>
      </c>
      <c r="B23" s="97" t="inlineStr">
        <is>
          <t>P</t>
        </is>
      </c>
      <c r="C23" s="97" t="inlineStr">
        <is>
          <t>1-34 Bulan</t>
        </is>
      </c>
      <c r="D23" s="97" t="n">
        <v>8.1</v>
      </c>
      <c r="E23" s="97" t="n">
        <v>90</v>
      </c>
      <c r="F23" s="97" t="inlineStr">
        <is>
          <t>Kurang</t>
        </is>
      </c>
      <c r="G23" s="97" t="inlineStr">
        <is>
          <t>Normal</t>
        </is>
      </c>
      <c r="H23" s="106" t="inlineStr">
        <is>
          <t>Gizi Kurang</t>
        </is>
      </c>
      <c r="I23" s="97" t="inlineStr">
        <is>
          <t>Ya</t>
        </is>
      </c>
      <c r="J23" s="97" t="inlineStr">
        <is>
          <t>Tidak</t>
        </is>
      </c>
      <c r="K23" s="107" t="n"/>
    </row>
    <row r="24" ht="15.75" customHeight="1" s="95">
      <c r="A24" s="97" t="inlineStr">
        <is>
          <t>anonymus0023</t>
        </is>
      </c>
      <c r="B24" s="97" t="inlineStr">
        <is>
          <t>P</t>
        </is>
      </c>
      <c r="C24" s="97" t="inlineStr">
        <is>
          <t>35-69 Bulan</t>
        </is>
      </c>
      <c r="D24" s="97" t="n">
        <v>17.8</v>
      </c>
      <c r="E24" s="97" t="n">
        <v>101</v>
      </c>
      <c r="F24" s="97" t="inlineStr">
        <is>
          <t>Risiko Lebih</t>
        </is>
      </c>
      <c r="G24" s="97" t="inlineStr">
        <is>
          <t>Normal</t>
        </is>
      </c>
      <c r="H24" s="106" t="inlineStr">
        <is>
          <t>Gizi Lebih</t>
        </is>
      </c>
      <c r="I24" s="97" t="inlineStr">
        <is>
          <t>Ya</t>
        </is>
      </c>
      <c r="J24" s="97" t="inlineStr">
        <is>
          <t>Tidak</t>
        </is>
      </c>
      <c r="K24" s="107" t="n"/>
      <c r="L24" s="115" t="inlineStr">
        <is>
          <t>Jumlah kejadian</t>
        </is>
      </c>
      <c r="M24" s="116" t="n"/>
      <c r="N24" s="117" t="n"/>
      <c r="O24" s="115" t="n"/>
      <c r="P24" s="115" t="inlineStr">
        <is>
          <t>Probabilitas</t>
        </is>
      </c>
      <c r="Q24" s="116" t="n"/>
      <c r="R24" s="117" t="n"/>
    </row>
    <row r="25" ht="15.75" customHeight="1" s="95">
      <c r="A25" s="97" t="inlineStr">
        <is>
          <t>anonymus0024</t>
        </is>
      </c>
      <c r="B25" s="97" t="inlineStr">
        <is>
          <t>L</t>
        </is>
      </c>
      <c r="C25" s="97" t="inlineStr">
        <is>
          <t>35-69 Bulan</t>
        </is>
      </c>
      <c r="D25" s="97" t="n">
        <v>19.9</v>
      </c>
      <c r="E25" s="97" t="n">
        <v>95</v>
      </c>
      <c r="F25" s="97" t="inlineStr">
        <is>
          <t>Risiko Lebih</t>
        </is>
      </c>
      <c r="G25" s="97" t="inlineStr">
        <is>
          <t>Normal</t>
        </is>
      </c>
      <c r="H25" s="106" t="inlineStr">
        <is>
          <t>Gizi Lebih</t>
        </is>
      </c>
      <c r="I25" s="97" t="inlineStr">
        <is>
          <t>Ya</t>
        </is>
      </c>
      <c r="J25" s="97" t="inlineStr">
        <is>
          <t>Tidak</t>
        </is>
      </c>
      <c r="K25" s="107" t="n"/>
      <c r="L25" s="115" t="inlineStr">
        <is>
          <t>BB/U</t>
        </is>
      </c>
      <c r="M25" s="115" t="inlineStr">
        <is>
          <t>Stunting</t>
        </is>
      </c>
      <c r="N25" s="115" t="inlineStr">
        <is>
          <t>Potensi Stunting</t>
        </is>
      </c>
      <c r="O25" s="115" t="inlineStr">
        <is>
          <t>Tidak</t>
        </is>
      </c>
      <c r="P25" s="115" t="inlineStr">
        <is>
          <t>Stunting</t>
        </is>
      </c>
      <c r="Q25" s="115" t="inlineStr">
        <is>
          <t>Potensi Stuting</t>
        </is>
      </c>
      <c r="R25" s="115" t="inlineStr">
        <is>
          <t>Tidak</t>
        </is>
      </c>
    </row>
    <row r="26" ht="15.75" customHeight="1" s="95">
      <c r="A26" s="97" t="inlineStr">
        <is>
          <t>anonymus0025</t>
        </is>
      </c>
      <c r="B26" s="97" t="inlineStr">
        <is>
          <t>P</t>
        </is>
      </c>
      <c r="C26" s="97" t="inlineStr">
        <is>
          <t>35-69 Bulan</t>
        </is>
      </c>
      <c r="D26" s="97" t="n">
        <v>13.5</v>
      </c>
      <c r="E26" s="97" t="n">
        <v>103</v>
      </c>
      <c r="F26" s="97" t="inlineStr">
        <is>
          <t>Normal</t>
        </is>
      </c>
      <c r="G26" s="97" t="inlineStr">
        <is>
          <t>Normal</t>
        </is>
      </c>
      <c r="H26" s="106" t="inlineStr">
        <is>
          <t>Gizi Kurang</t>
        </is>
      </c>
      <c r="I26" s="97" t="inlineStr">
        <is>
          <t>Ya</t>
        </is>
      </c>
      <c r="J26" s="97" t="inlineStr">
        <is>
          <t>Tidak</t>
        </is>
      </c>
      <c r="K26" s="107" t="n"/>
      <c r="L26" s="112" t="inlineStr">
        <is>
          <t>Risiko lebih</t>
        </is>
      </c>
      <c r="M26" s="112">
        <f>Y2</f>
        <v/>
      </c>
      <c r="N26" s="112">
        <f>Y3</f>
        <v/>
      </c>
      <c r="O26" s="112">
        <f>Y4</f>
        <v/>
      </c>
      <c r="P26" s="112">
        <f>M26/M30</f>
        <v/>
      </c>
      <c r="Q26" s="112">
        <f>N26/N30</f>
        <v/>
      </c>
      <c r="R26" s="109">
        <f>O26/O30</f>
        <v/>
      </c>
    </row>
    <row r="27" ht="15.75" customHeight="1" s="95">
      <c r="A27" s="97" t="inlineStr">
        <is>
          <t>anonymus0026</t>
        </is>
      </c>
      <c r="B27" s="97" t="inlineStr">
        <is>
          <t>L</t>
        </is>
      </c>
      <c r="C27" s="97" t="inlineStr">
        <is>
          <t>35-69 Bulan</t>
        </is>
      </c>
      <c r="D27" s="97" t="inlineStr">
        <is>
          <t>12.8</t>
        </is>
      </c>
      <c r="E27" s="97" t="n">
        <v>92</v>
      </c>
      <c r="F27" s="97" t="inlineStr">
        <is>
          <t>Normal</t>
        </is>
      </c>
      <c r="G27" s="97" t="inlineStr">
        <is>
          <t>Normal</t>
        </is>
      </c>
      <c r="H27" s="106" t="inlineStr">
        <is>
          <t>Gizi Baik</t>
        </is>
      </c>
      <c r="I27" s="97" t="inlineStr">
        <is>
          <t>Ya</t>
        </is>
      </c>
      <c r="J27" s="97" t="inlineStr">
        <is>
          <t>Tidak</t>
        </is>
      </c>
      <c r="K27" s="107" t="n"/>
      <c r="L27" s="112" t="inlineStr">
        <is>
          <t>Normal</t>
        </is>
      </c>
      <c r="M27" s="112">
        <f>Y5</f>
        <v/>
      </c>
      <c r="N27" s="112">
        <f>Y6</f>
        <v/>
      </c>
      <c r="O27" s="112">
        <f>Y7</f>
        <v/>
      </c>
      <c r="P27" s="112">
        <f>M27/M30</f>
        <v/>
      </c>
      <c r="Q27" s="112">
        <f>N27/N30</f>
        <v/>
      </c>
      <c r="R27" s="109">
        <f>O27/O30</f>
        <v/>
      </c>
    </row>
    <row r="28" ht="15.75" customHeight="1" s="95">
      <c r="A28" s="97" t="inlineStr">
        <is>
          <t>anonymus0027</t>
        </is>
      </c>
      <c r="B28" s="97" t="inlineStr">
        <is>
          <t>L</t>
        </is>
      </c>
      <c r="C28" s="97" t="inlineStr">
        <is>
          <t>35-69 Bulan</t>
        </is>
      </c>
      <c r="D28" s="97" t="n">
        <v>11.6</v>
      </c>
      <c r="E28" s="97" t="n">
        <v>94</v>
      </c>
      <c r="F28" s="97" t="inlineStr">
        <is>
          <t>Kurang</t>
        </is>
      </c>
      <c r="G28" s="97" t="inlineStr">
        <is>
          <t>Normal</t>
        </is>
      </c>
      <c r="H28" s="106" t="inlineStr">
        <is>
          <t>Gizi Kurang</t>
        </is>
      </c>
      <c r="I28" s="97" t="inlineStr">
        <is>
          <t>Ya</t>
        </is>
      </c>
      <c r="J28" s="97" t="inlineStr">
        <is>
          <t>Tidak</t>
        </is>
      </c>
      <c r="K28" s="107" t="n"/>
      <c r="L28" s="112" t="inlineStr">
        <is>
          <t>Kurang</t>
        </is>
      </c>
      <c r="M28" s="112">
        <f>Y8</f>
        <v/>
      </c>
      <c r="N28" s="112">
        <f>Y9</f>
        <v/>
      </c>
      <c r="O28" s="112">
        <f>Y10</f>
        <v/>
      </c>
      <c r="P28" s="112">
        <f>M28/M30</f>
        <v/>
      </c>
      <c r="Q28" s="112">
        <f>N28/N30</f>
        <v/>
      </c>
      <c r="R28" s="109">
        <f>O28/O30</f>
        <v/>
      </c>
    </row>
    <row r="29" ht="15.75" customHeight="1" s="95">
      <c r="A29" s="97" t="inlineStr">
        <is>
          <t>anonymus0028</t>
        </is>
      </c>
      <c r="B29" s="97" t="inlineStr">
        <is>
          <t>P</t>
        </is>
      </c>
      <c r="C29" s="97" t="inlineStr">
        <is>
          <t>1-34 Bulan</t>
        </is>
      </c>
      <c r="D29" s="97" t="n">
        <v>10.5</v>
      </c>
      <c r="E29" s="97" t="n">
        <v>97</v>
      </c>
      <c r="F29" s="97" t="inlineStr">
        <is>
          <t>Normal</t>
        </is>
      </c>
      <c r="G29" s="97" t="inlineStr">
        <is>
          <t>Normal</t>
        </is>
      </c>
      <c r="H29" s="106" t="inlineStr">
        <is>
          <t>Gizi Baik</t>
        </is>
      </c>
      <c r="I29" s="97" t="inlineStr">
        <is>
          <t>Ya</t>
        </is>
      </c>
      <c r="J29" s="97" t="inlineStr">
        <is>
          <t>Tidak</t>
        </is>
      </c>
      <c r="K29" s="107" t="n"/>
      <c r="L29" s="112" t="inlineStr">
        <is>
          <t>Sangat Kurang</t>
        </is>
      </c>
      <c r="M29" s="109">
        <f>Y11</f>
        <v/>
      </c>
      <c r="N29" s="109">
        <f>Y12</f>
        <v/>
      </c>
      <c r="O29" s="109">
        <f>Y13</f>
        <v/>
      </c>
      <c r="P29" s="109">
        <f>M29/M30</f>
        <v/>
      </c>
      <c r="Q29" s="109">
        <f>N29/N30</f>
        <v/>
      </c>
      <c r="R29" s="109">
        <f>O29/O30</f>
        <v/>
      </c>
    </row>
    <row r="30" ht="15.75" customHeight="1" s="95">
      <c r="A30" s="97" t="inlineStr">
        <is>
          <t>anonymus0029</t>
        </is>
      </c>
      <c r="B30" s="97" t="inlineStr">
        <is>
          <t>L</t>
        </is>
      </c>
      <c r="C30" s="97" t="inlineStr">
        <is>
          <t>35-69 Bulan</t>
        </is>
      </c>
      <c r="D30" s="97" t="inlineStr">
        <is>
          <t>15.2</t>
        </is>
      </c>
      <c r="E30" s="97" t="n">
        <v>104</v>
      </c>
      <c r="F30" s="97" t="inlineStr">
        <is>
          <t>Normal</t>
        </is>
      </c>
      <c r="G30" s="97" t="inlineStr">
        <is>
          <t>Normal</t>
        </is>
      </c>
      <c r="H30" s="106" t="inlineStr">
        <is>
          <t>Gizi Baik</t>
        </is>
      </c>
      <c r="I30" s="97" t="inlineStr">
        <is>
          <t>Ya</t>
        </is>
      </c>
      <c r="J30" s="97" t="inlineStr">
        <is>
          <t>Tidak</t>
        </is>
      </c>
      <c r="K30" s="107" t="n"/>
      <c r="L30" s="109" t="n"/>
      <c r="M30" s="109">
        <f>SUM(M26:M29)</f>
        <v/>
      </c>
      <c r="N30" s="109">
        <f>SUM(N26:N29)</f>
        <v/>
      </c>
      <c r="O30" s="109">
        <f>SUM(O26:O29)</f>
        <v/>
      </c>
      <c r="P30" s="109">
        <f>SUM(P26:P29)</f>
        <v/>
      </c>
      <c r="Q30" s="109">
        <f>SUM(Q26:Q29)</f>
        <v/>
      </c>
      <c r="R30" s="109">
        <f>SUM(R26:R29)</f>
        <v/>
      </c>
    </row>
    <row r="31" ht="15.75" customHeight="1" s="95">
      <c r="A31" s="97" t="inlineStr">
        <is>
          <t>anonymus0030</t>
        </is>
      </c>
      <c r="B31" s="97" t="inlineStr">
        <is>
          <t>L</t>
        </is>
      </c>
      <c r="C31" s="97" t="inlineStr">
        <is>
          <t>1-34 Bulan</t>
        </is>
      </c>
      <c r="D31" s="97" t="n">
        <v>10.8</v>
      </c>
      <c r="E31" s="97" t="n">
        <v>89.5</v>
      </c>
      <c r="F31" s="97" t="inlineStr">
        <is>
          <t>Kurang</t>
        </is>
      </c>
      <c r="G31" s="97" t="inlineStr">
        <is>
          <t>Normal</t>
        </is>
      </c>
      <c r="H31" s="106" t="inlineStr">
        <is>
          <t>Gizi Kurang</t>
        </is>
      </c>
      <c r="I31" s="97" t="inlineStr">
        <is>
          <t>Ya</t>
        </is>
      </c>
      <c r="J31" s="97" t="inlineStr">
        <is>
          <t>Tidak</t>
        </is>
      </c>
      <c r="K31" s="107" t="n"/>
    </row>
    <row r="32" ht="15.75" customHeight="1" s="95">
      <c r="A32" s="97" t="inlineStr">
        <is>
          <t>anonymus0031</t>
        </is>
      </c>
      <c r="B32" s="97" t="inlineStr">
        <is>
          <t>P</t>
        </is>
      </c>
      <c r="C32" s="97" t="inlineStr">
        <is>
          <t>35-69 Bulan</t>
        </is>
      </c>
      <c r="D32" s="97" t="n">
        <v>9.1</v>
      </c>
      <c r="E32" s="97" t="n">
        <v>79</v>
      </c>
      <c r="F32" s="97" t="inlineStr">
        <is>
          <t>Kurang</t>
        </is>
      </c>
      <c r="G32" s="97" t="inlineStr">
        <is>
          <t>Pendek</t>
        </is>
      </c>
      <c r="H32" s="106" t="inlineStr">
        <is>
          <t>Gizi Baik</t>
        </is>
      </c>
      <c r="I32" s="97" t="inlineStr">
        <is>
          <t>Ya</t>
        </is>
      </c>
      <c r="J32" s="97" t="inlineStr">
        <is>
          <t>Potensi Stunting</t>
        </is>
      </c>
      <c r="K32" s="107" t="n"/>
      <c r="L32" s="115" t="inlineStr">
        <is>
          <t>Jumlah kejadian</t>
        </is>
      </c>
      <c r="M32" s="116" t="n"/>
      <c r="N32" s="117" t="n"/>
      <c r="O32" s="115" t="n"/>
      <c r="P32" s="115" t="inlineStr">
        <is>
          <t>Probabilitas</t>
        </is>
      </c>
      <c r="Q32" s="116" t="n"/>
      <c r="R32" s="117" t="n"/>
    </row>
    <row r="33" ht="15.75" customHeight="1" s="95">
      <c r="A33" s="97" t="inlineStr">
        <is>
          <t>anonymus0032</t>
        </is>
      </c>
      <c r="B33" s="97" t="inlineStr">
        <is>
          <t>P</t>
        </is>
      </c>
      <c r="C33" s="97" t="inlineStr">
        <is>
          <t>35-69 Bulan</t>
        </is>
      </c>
      <c r="D33" s="97" t="n">
        <v>16.9</v>
      </c>
      <c r="E33" s="97" t="n">
        <v>110</v>
      </c>
      <c r="F33" s="97" t="inlineStr">
        <is>
          <t>Normal</t>
        </is>
      </c>
      <c r="G33" s="97" t="inlineStr">
        <is>
          <t>Normal</t>
        </is>
      </c>
      <c r="H33" s="106" t="inlineStr">
        <is>
          <t>Gizi Baik</t>
        </is>
      </c>
      <c r="I33" s="97" t="inlineStr">
        <is>
          <t>Ya</t>
        </is>
      </c>
      <c r="J33" s="97" t="inlineStr">
        <is>
          <t>Tidak</t>
        </is>
      </c>
      <c r="K33" s="107" t="n"/>
      <c r="L33" s="115" t="inlineStr">
        <is>
          <t>TB/U</t>
        </is>
      </c>
      <c r="M33" s="115" t="inlineStr">
        <is>
          <t>Stunting</t>
        </is>
      </c>
      <c r="N33" s="115" t="inlineStr">
        <is>
          <t>Potensi Stunting</t>
        </is>
      </c>
      <c r="O33" s="115" t="inlineStr">
        <is>
          <t>Tidak</t>
        </is>
      </c>
      <c r="P33" s="115" t="inlineStr">
        <is>
          <t>Stunting</t>
        </is>
      </c>
      <c r="Q33" s="115" t="inlineStr">
        <is>
          <t>Potensi Stuting</t>
        </is>
      </c>
      <c r="R33" s="115" t="inlineStr">
        <is>
          <t>Tidak</t>
        </is>
      </c>
    </row>
    <row r="34" ht="15.75" customHeight="1" s="95">
      <c r="A34" s="97" t="inlineStr">
        <is>
          <t>anonymus0033</t>
        </is>
      </c>
      <c r="B34" s="97" t="inlineStr">
        <is>
          <t>P</t>
        </is>
      </c>
      <c r="C34" s="97" t="inlineStr">
        <is>
          <t>35-69 Bulan</t>
        </is>
      </c>
      <c r="D34" s="97" t="n">
        <v>13.4</v>
      </c>
      <c r="E34" s="97" t="n">
        <v>76</v>
      </c>
      <c r="F34" s="97" t="inlineStr">
        <is>
          <t>Risiko Lebih</t>
        </is>
      </c>
      <c r="G34" s="97" t="inlineStr">
        <is>
          <t>Sangat Pendek</t>
        </is>
      </c>
      <c r="H34" s="106" t="inlineStr">
        <is>
          <t>Gizi Buruk</t>
        </is>
      </c>
      <c r="I34" s="97" t="inlineStr">
        <is>
          <t>Ya</t>
        </is>
      </c>
      <c r="J34" s="97" t="inlineStr">
        <is>
          <t>Stunting</t>
        </is>
      </c>
      <c r="K34" s="107" t="n"/>
      <c r="L34" s="112" t="inlineStr">
        <is>
          <t>Normal</t>
        </is>
      </c>
      <c r="M34" s="112">
        <f>AC2</f>
        <v/>
      </c>
      <c r="N34" s="112">
        <f>AC3</f>
        <v/>
      </c>
      <c r="O34" s="112">
        <f>AC4</f>
        <v/>
      </c>
      <c r="P34" s="112">
        <f>M34/M37</f>
        <v/>
      </c>
      <c r="Q34" s="112">
        <f>N34/N37</f>
        <v/>
      </c>
      <c r="R34" s="109">
        <f>O34/O37</f>
        <v/>
      </c>
    </row>
    <row r="35" ht="15.75" customHeight="1" s="95">
      <c r="A35" s="97" t="inlineStr">
        <is>
          <t>anonymus0034</t>
        </is>
      </c>
      <c r="B35" s="97" t="inlineStr">
        <is>
          <t>L</t>
        </is>
      </c>
      <c r="C35" s="97" t="inlineStr">
        <is>
          <t>1-34 Bulan</t>
        </is>
      </c>
      <c r="D35" s="97" t="inlineStr">
        <is>
          <t>12.5</t>
        </is>
      </c>
      <c r="E35" s="97" t="n">
        <v>89</v>
      </c>
      <c r="F35" s="97" t="inlineStr">
        <is>
          <t>Normal</t>
        </is>
      </c>
      <c r="G35" s="97" t="inlineStr">
        <is>
          <t>Normal</t>
        </is>
      </c>
      <c r="H35" s="106" t="inlineStr">
        <is>
          <t>Gizi Baik</t>
        </is>
      </c>
      <c r="I35" s="97" t="inlineStr">
        <is>
          <t>Ya</t>
        </is>
      </c>
      <c r="J35" s="97" t="inlineStr">
        <is>
          <t>Tidak</t>
        </is>
      </c>
      <c r="K35" s="107" t="n"/>
      <c r="L35" s="112" t="inlineStr">
        <is>
          <t>Pendek</t>
        </is>
      </c>
      <c r="M35" s="112">
        <f>AC5</f>
        <v/>
      </c>
      <c r="N35" s="112">
        <f>AC6</f>
        <v/>
      </c>
      <c r="O35" s="112">
        <f>AC7</f>
        <v/>
      </c>
      <c r="P35" s="112">
        <f>M35/M37</f>
        <v/>
      </c>
      <c r="Q35" s="112">
        <f>N35/N37</f>
        <v/>
      </c>
      <c r="R35" s="109">
        <f>O35/O37</f>
        <v/>
      </c>
    </row>
    <row r="36" ht="15.75" customHeight="1" s="95">
      <c r="A36" s="97" t="inlineStr">
        <is>
          <t>anonymus0035</t>
        </is>
      </c>
      <c r="B36" s="97" t="inlineStr">
        <is>
          <t>L</t>
        </is>
      </c>
      <c r="C36" s="97" t="inlineStr">
        <is>
          <t>1-34 Bulan</t>
        </is>
      </c>
      <c r="D36" s="97" t="inlineStr">
        <is>
          <t>13.3</t>
        </is>
      </c>
      <c r="E36" s="97" t="n">
        <v>95</v>
      </c>
      <c r="F36" s="97" t="inlineStr">
        <is>
          <t>Normal</t>
        </is>
      </c>
      <c r="G36" s="97" t="inlineStr">
        <is>
          <t>Normal</t>
        </is>
      </c>
      <c r="H36" s="106" t="inlineStr">
        <is>
          <t>Gizi Baik</t>
        </is>
      </c>
      <c r="I36" s="97" t="inlineStr">
        <is>
          <t>Ya</t>
        </is>
      </c>
      <c r="J36" s="97" t="inlineStr">
        <is>
          <t>Tidak</t>
        </is>
      </c>
      <c r="K36" s="107" t="n"/>
      <c r="L36" s="112" t="inlineStr">
        <is>
          <t>Sangat Pendek</t>
        </is>
      </c>
      <c r="M36" s="112">
        <f>AC8</f>
        <v/>
      </c>
      <c r="N36" s="112">
        <f>AC9</f>
        <v/>
      </c>
      <c r="O36" s="112">
        <f>AC10</f>
        <v/>
      </c>
      <c r="P36" s="112">
        <f>M36/M37</f>
        <v/>
      </c>
      <c r="Q36" s="112">
        <f>N36/N37</f>
        <v/>
      </c>
      <c r="R36" s="109">
        <f>O36/O37</f>
        <v/>
      </c>
    </row>
    <row r="37" ht="15.75" customHeight="1" s="95">
      <c r="A37" s="97" t="inlineStr">
        <is>
          <t>anonymus0036</t>
        </is>
      </c>
      <c r="B37" s="97" t="inlineStr">
        <is>
          <t>P</t>
        </is>
      </c>
      <c r="C37" s="97" t="inlineStr">
        <is>
          <t>35-69 Bulan</t>
        </is>
      </c>
      <c r="D37" s="97" t="inlineStr">
        <is>
          <t>23.8</t>
        </is>
      </c>
      <c r="E37" s="97" t="n">
        <v>105</v>
      </c>
      <c r="F37" s="97" t="inlineStr">
        <is>
          <t>Risiko Lebih</t>
        </is>
      </c>
      <c r="G37" s="97" t="inlineStr">
        <is>
          <t>Normal</t>
        </is>
      </c>
      <c r="H37" s="106" t="inlineStr">
        <is>
          <t>Gizi Buruk</t>
        </is>
      </c>
      <c r="I37" s="97" t="inlineStr">
        <is>
          <t>Ya</t>
        </is>
      </c>
      <c r="J37" s="97" t="inlineStr">
        <is>
          <t>Tidak</t>
        </is>
      </c>
      <c r="K37" s="107" t="n"/>
      <c r="L37" s="109" t="n"/>
      <c r="M37" s="109">
        <f>SUM(M34:M36)</f>
        <v/>
      </c>
      <c r="N37" s="109">
        <f>SUM(N34:N36)</f>
        <v/>
      </c>
      <c r="O37" s="109">
        <f>SUM(O34:O36)</f>
        <v/>
      </c>
      <c r="P37" s="109">
        <f>SUM(P34:P36)</f>
        <v/>
      </c>
      <c r="Q37" s="109">
        <f>SUM(Q34:Q36)</f>
        <v/>
      </c>
      <c r="R37" s="109">
        <f>SUM(R34:R36)</f>
        <v/>
      </c>
    </row>
    <row r="38" ht="15.75" customHeight="1" s="95">
      <c r="A38" s="97" t="inlineStr">
        <is>
          <t>anonymus0037</t>
        </is>
      </c>
      <c r="B38" s="97" t="inlineStr">
        <is>
          <t>P</t>
        </is>
      </c>
      <c r="C38" s="97" t="inlineStr">
        <is>
          <t>1-34 Bulan</t>
        </is>
      </c>
      <c r="D38" s="97" t="inlineStr">
        <is>
          <t>12.5</t>
        </is>
      </c>
      <c r="E38" s="97" t="n">
        <v>91</v>
      </c>
      <c r="F38" s="97" t="inlineStr">
        <is>
          <t>Normal</t>
        </is>
      </c>
      <c r="G38" s="97" t="inlineStr">
        <is>
          <t>Normal</t>
        </is>
      </c>
      <c r="H38" s="106" t="inlineStr">
        <is>
          <t>Gizi Baik</t>
        </is>
      </c>
      <c r="I38" s="97" t="inlineStr">
        <is>
          <t>Ya</t>
        </is>
      </c>
      <c r="J38" s="97" t="inlineStr">
        <is>
          <t>Tidak</t>
        </is>
      </c>
      <c r="K38" s="107" t="n"/>
    </row>
    <row r="39" ht="15.75" customHeight="1" s="95">
      <c r="A39" s="97" t="inlineStr">
        <is>
          <t>anonymus0038</t>
        </is>
      </c>
      <c r="B39" s="97" t="inlineStr">
        <is>
          <t>P</t>
        </is>
      </c>
      <c r="C39" s="97" t="inlineStr">
        <is>
          <t>1-34 Bulan</t>
        </is>
      </c>
      <c r="D39" s="97" t="n">
        <v>6.6</v>
      </c>
      <c r="E39" s="97" t="n">
        <v>71</v>
      </c>
      <c r="F39" s="97" t="inlineStr">
        <is>
          <t>Kurang</t>
        </is>
      </c>
      <c r="G39" s="97" t="inlineStr">
        <is>
          <t>Normal</t>
        </is>
      </c>
      <c r="H39" s="106" t="inlineStr">
        <is>
          <t>Gizi Kurang</t>
        </is>
      </c>
      <c r="I39" s="97" t="inlineStr">
        <is>
          <t>Ya</t>
        </is>
      </c>
      <c r="J39" s="97" t="inlineStr">
        <is>
          <t>Potensi Stunting</t>
        </is>
      </c>
      <c r="K39" s="107" t="n"/>
      <c r="L39" s="115" t="inlineStr">
        <is>
          <t>Jumlah kejadian</t>
        </is>
      </c>
      <c r="M39" s="116" t="n"/>
      <c r="N39" s="117" t="n"/>
      <c r="O39" s="115" t="n"/>
      <c r="P39" s="115" t="inlineStr">
        <is>
          <t>Probabilitas</t>
        </is>
      </c>
      <c r="Q39" s="116" t="n"/>
      <c r="R39" s="117" t="n"/>
    </row>
    <row r="40" ht="15.75" customHeight="1" s="95">
      <c r="A40" s="97" t="inlineStr">
        <is>
          <t>anonymus0039</t>
        </is>
      </c>
      <c r="B40" s="97" t="inlineStr">
        <is>
          <t>P</t>
        </is>
      </c>
      <c r="C40" s="97" t="inlineStr">
        <is>
          <t>35-69 Bulan</t>
        </is>
      </c>
      <c r="D40" s="97" t="n">
        <v>12.8</v>
      </c>
      <c r="E40" s="97" t="n">
        <v>111</v>
      </c>
      <c r="F40" s="97" t="inlineStr">
        <is>
          <t>Normal</t>
        </is>
      </c>
      <c r="G40" s="97" t="inlineStr">
        <is>
          <t>Normal</t>
        </is>
      </c>
      <c r="H40" s="106" t="inlineStr">
        <is>
          <t>Gizi Baik</t>
        </is>
      </c>
      <c r="I40" s="97" t="inlineStr">
        <is>
          <t>Ya</t>
        </is>
      </c>
      <c r="J40" s="97" t="inlineStr">
        <is>
          <t>Tidak</t>
        </is>
      </c>
      <c r="K40" s="107" t="n"/>
      <c r="L40" s="115" t="inlineStr">
        <is>
          <t>Status Gizi</t>
        </is>
      </c>
      <c r="M40" s="115" t="inlineStr">
        <is>
          <t>Stunting</t>
        </is>
      </c>
      <c r="N40" s="115" t="inlineStr">
        <is>
          <t>Potensi Stunting</t>
        </is>
      </c>
      <c r="O40" s="115" t="inlineStr">
        <is>
          <t>Tidak</t>
        </is>
      </c>
      <c r="P40" s="115" t="inlineStr">
        <is>
          <t>Stunting</t>
        </is>
      </c>
      <c r="Q40" s="115" t="inlineStr">
        <is>
          <t>Potensi Stuting</t>
        </is>
      </c>
      <c r="R40" s="115" t="inlineStr">
        <is>
          <t>Tidak</t>
        </is>
      </c>
    </row>
    <row r="41" ht="15.75" customHeight="1" s="95">
      <c r="A41" s="97" t="inlineStr">
        <is>
          <t>anonymus0040</t>
        </is>
      </c>
      <c r="B41" s="97" t="inlineStr">
        <is>
          <t>L</t>
        </is>
      </c>
      <c r="C41" s="97" t="inlineStr">
        <is>
          <t>35-69 Bulan</t>
        </is>
      </c>
      <c r="D41" s="97" t="inlineStr">
        <is>
          <t>18.3</t>
        </is>
      </c>
      <c r="E41" s="97" t="n">
        <v>110</v>
      </c>
      <c r="F41" s="97" t="inlineStr">
        <is>
          <t>Normal</t>
        </is>
      </c>
      <c r="G41" s="97" t="inlineStr">
        <is>
          <t>Normal</t>
        </is>
      </c>
      <c r="H41" s="106" t="inlineStr">
        <is>
          <t>Gizi Baik</t>
        </is>
      </c>
      <c r="I41" s="97" t="inlineStr">
        <is>
          <t>Ya</t>
        </is>
      </c>
      <c r="J41" s="97" t="inlineStr">
        <is>
          <t>Tidak</t>
        </is>
      </c>
      <c r="K41" s="107" t="n"/>
      <c r="L41" s="112" t="inlineStr">
        <is>
          <t>Gizi Buruk</t>
        </is>
      </c>
      <c r="M41" s="112">
        <f>AG2</f>
        <v/>
      </c>
      <c r="N41" s="112">
        <f>AG3</f>
        <v/>
      </c>
      <c r="O41" s="112">
        <f>AG4</f>
        <v/>
      </c>
      <c r="P41" s="112">
        <f>M41/M46</f>
        <v/>
      </c>
      <c r="Q41" s="112">
        <f>N41/N46</f>
        <v/>
      </c>
      <c r="R41" s="109">
        <f>O41/O46</f>
        <v/>
      </c>
    </row>
    <row r="42" ht="15.75" customHeight="1" s="95">
      <c r="A42" s="97" t="inlineStr">
        <is>
          <t>anonymus0041</t>
        </is>
      </c>
      <c r="B42" s="97" t="inlineStr">
        <is>
          <t>L</t>
        </is>
      </c>
      <c r="C42" s="97" t="inlineStr">
        <is>
          <t>35-69 Bulan</t>
        </is>
      </c>
      <c r="D42" s="97" t="inlineStr">
        <is>
          <t>16.5</t>
        </is>
      </c>
      <c r="E42" s="97" t="n">
        <v>100</v>
      </c>
      <c r="F42" s="97" t="inlineStr">
        <is>
          <t>Normal</t>
        </is>
      </c>
      <c r="G42" s="97" t="inlineStr">
        <is>
          <t>Normal</t>
        </is>
      </c>
      <c r="H42" s="106" t="inlineStr">
        <is>
          <t>Gizi Baik</t>
        </is>
      </c>
      <c r="I42" s="97" t="inlineStr">
        <is>
          <t>Ya</t>
        </is>
      </c>
      <c r="J42" s="97" t="inlineStr">
        <is>
          <t>Tidak</t>
        </is>
      </c>
      <c r="K42" s="107" t="n"/>
      <c r="L42" s="112" t="inlineStr">
        <is>
          <t>Gizi Lebih</t>
        </is>
      </c>
      <c r="M42" s="112">
        <f>AG5</f>
        <v/>
      </c>
      <c r="N42" s="112">
        <f>AG6</f>
        <v/>
      </c>
      <c r="O42" s="112">
        <f>AG7</f>
        <v/>
      </c>
      <c r="P42" s="112">
        <f>M42/M46</f>
        <v/>
      </c>
      <c r="Q42" s="112">
        <f>N42/N46</f>
        <v/>
      </c>
      <c r="R42" s="109">
        <f>O42/O46</f>
        <v/>
      </c>
    </row>
    <row r="43" ht="15.75" customHeight="1" s="95">
      <c r="A43" s="97" t="inlineStr">
        <is>
          <t>anonymus0042</t>
        </is>
      </c>
      <c r="B43" s="97" t="inlineStr">
        <is>
          <t>L</t>
        </is>
      </c>
      <c r="C43" s="97" t="inlineStr">
        <is>
          <t>1-34 Bulan</t>
        </is>
      </c>
      <c r="D43" s="97" t="n">
        <v>10.2</v>
      </c>
      <c r="E43" s="97" t="n">
        <v>87</v>
      </c>
      <c r="F43" s="97" t="inlineStr">
        <is>
          <t>Normal</t>
        </is>
      </c>
      <c r="G43" s="97" t="inlineStr">
        <is>
          <t>Normal</t>
        </is>
      </c>
      <c r="H43" s="106" t="inlineStr">
        <is>
          <t>Gizi Kurang</t>
        </is>
      </c>
      <c r="I43" s="97" t="inlineStr">
        <is>
          <t>Ya</t>
        </is>
      </c>
      <c r="J43" s="97" t="inlineStr">
        <is>
          <t>Tidak</t>
        </is>
      </c>
      <c r="K43" s="107" t="n"/>
      <c r="L43" s="112" t="inlineStr">
        <is>
          <t>Risiko Gizi Lebih</t>
        </is>
      </c>
      <c r="M43" s="112">
        <f>AG8</f>
        <v/>
      </c>
      <c r="N43" s="112">
        <f>AG9</f>
        <v/>
      </c>
      <c r="O43" s="112">
        <f>AG10</f>
        <v/>
      </c>
      <c r="P43" s="112">
        <f>M43/M46</f>
        <v/>
      </c>
      <c r="Q43" s="112">
        <f>N43/N46</f>
        <v/>
      </c>
      <c r="R43" s="109">
        <f>O43/O46</f>
        <v/>
      </c>
    </row>
    <row r="44" ht="15.75" customHeight="1" s="95">
      <c r="A44" s="97" t="inlineStr">
        <is>
          <t>anonymus0043</t>
        </is>
      </c>
      <c r="B44" s="97" t="inlineStr">
        <is>
          <t>L</t>
        </is>
      </c>
      <c r="C44" s="97" t="inlineStr">
        <is>
          <t>35-69 Bulan</t>
        </is>
      </c>
      <c r="D44" s="97" t="n">
        <v>13</v>
      </c>
      <c r="E44" s="97" t="n">
        <v>96</v>
      </c>
      <c r="F44" s="97" t="inlineStr">
        <is>
          <t>Normal</t>
        </is>
      </c>
      <c r="G44" s="97" t="inlineStr">
        <is>
          <t>Normal</t>
        </is>
      </c>
      <c r="H44" s="106" t="inlineStr">
        <is>
          <t>Gizi Baik</t>
        </is>
      </c>
      <c r="I44" s="97" t="inlineStr">
        <is>
          <t>Ya</t>
        </is>
      </c>
      <c r="J44" s="97" t="inlineStr">
        <is>
          <t>Tidak</t>
        </is>
      </c>
      <c r="K44" s="107" t="n"/>
      <c r="L44" s="109" t="inlineStr">
        <is>
          <t>Gizi Baik</t>
        </is>
      </c>
      <c r="M44" s="109">
        <f>AG11</f>
        <v/>
      </c>
      <c r="N44" s="109">
        <f>AG12</f>
        <v/>
      </c>
      <c r="O44" s="109">
        <f>AG13</f>
        <v/>
      </c>
      <c r="P44" s="109">
        <f>M44/M46</f>
        <v/>
      </c>
      <c r="Q44" s="112">
        <f>N44/N46</f>
        <v/>
      </c>
      <c r="R44" s="109">
        <f>O44/O46</f>
        <v/>
      </c>
    </row>
    <row r="45" ht="15.75" customHeight="1" s="95">
      <c r="A45" s="97" t="inlineStr">
        <is>
          <t>anonymus0044</t>
        </is>
      </c>
      <c r="B45" s="97" t="inlineStr">
        <is>
          <t>P</t>
        </is>
      </c>
      <c r="C45" s="97" t="inlineStr">
        <is>
          <t>1-34 Bulan</t>
        </is>
      </c>
      <c r="D45" s="97" t="n">
        <v>11.5</v>
      </c>
      <c r="E45" s="97" t="n">
        <v>100</v>
      </c>
      <c r="F45" s="97" t="inlineStr">
        <is>
          <t>Normal</t>
        </is>
      </c>
      <c r="G45" s="97" t="inlineStr">
        <is>
          <t>Normal</t>
        </is>
      </c>
      <c r="H45" s="106" t="inlineStr">
        <is>
          <t>Gizi Baik</t>
        </is>
      </c>
      <c r="I45" s="97" t="inlineStr">
        <is>
          <t>Ya</t>
        </is>
      </c>
      <c r="J45" s="97" t="inlineStr">
        <is>
          <t>Tidak</t>
        </is>
      </c>
      <c r="K45" s="107" t="n"/>
      <c r="L45" s="112" t="inlineStr">
        <is>
          <t>Gizi Kurang</t>
        </is>
      </c>
      <c r="M45" s="109">
        <f>AG14</f>
        <v/>
      </c>
      <c r="N45" s="109">
        <f>AG15</f>
        <v/>
      </c>
      <c r="O45" s="109">
        <f>AG16</f>
        <v/>
      </c>
      <c r="P45" s="109">
        <f>M45/M46</f>
        <v/>
      </c>
      <c r="Q45" s="112">
        <f>N45/N46</f>
        <v/>
      </c>
      <c r="R45" s="109">
        <f>O45/O46</f>
        <v/>
      </c>
    </row>
    <row r="46" ht="15.75" customHeight="1" s="95">
      <c r="A46" s="97" t="inlineStr">
        <is>
          <t>anonymus0045</t>
        </is>
      </c>
      <c r="B46" s="97" t="inlineStr">
        <is>
          <t>P</t>
        </is>
      </c>
      <c r="C46" s="97" t="inlineStr">
        <is>
          <t>1-34 Bulan</t>
        </is>
      </c>
      <c r="D46" s="97" t="n">
        <v>8.199999999999999</v>
      </c>
      <c r="E46" s="97" t="n">
        <v>70</v>
      </c>
      <c r="F46" s="97" t="inlineStr">
        <is>
          <t>Kurang</t>
        </is>
      </c>
      <c r="G46" s="97" t="inlineStr">
        <is>
          <t>Normal</t>
        </is>
      </c>
      <c r="H46" s="106" t="inlineStr">
        <is>
          <t>Gizi Kurang</t>
        </is>
      </c>
      <c r="I46" s="97" t="inlineStr">
        <is>
          <t>Ya</t>
        </is>
      </c>
      <c r="J46" s="97" t="inlineStr">
        <is>
          <t>Potensi Stunting</t>
        </is>
      </c>
      <c r="K46" s="107" t="n"/>
      <c r="L46" s="113" t="n"/>
      <c r="M46" s="109">
        <f>SUM(M41:M45)</f>
        <v/>
      </c>
      <c r="N46" s="109">
        <f>SUM(N41:N45)</f>
        <v/>
      </c>
      <c r="O46" s="109">
        <f>SUM(O41:O45)</f>
        <v/>
      </c>
      <c r="P46" s="109">
        <f>SUM(P41:P45)</f>
        <v/>
      </c>
      <c r="Q46" s="109">
        <f>SUM(Q41:Q45)</f>
        <v/>
      </c>
      <c r="R46" s="109">
        <f>SUM(R41:R45)</f>
        <v/>
      </c>
    </row>
    <row r="47" ht="15.75" customHeight="1" s="95">
      <c r="A47" s="97" t="inlineStr">
        <is>
          <t>anonymus0046</t>
        </is>
      </c>
      <c r="B47" s="97" t="inlineStr">
        <is>
          <t>P</t>
        </is>
      </c>
      <c r="C47" s="97" t="inlineStr">
        <is>
          <t>35-69 Bulan</t>
        </is>
      </c>
      <c r="D47" s="97" t="n">
        <v>18.1</v>
      </c>
      <c r="E47" s="97" t="n">
        <v>91</v>
      </c>
      <c r="F47" s="97" t="inlineStr">
        <is>
          <t>Risiko Lebih</t>
        </is>
      </c>
      <c r="G47" s="97" t="inlineStr">
        <is>
          <t>Normal</t>
        </is>
      </c>
      <c r="H47" s="106" t="inlineStr">
        <is>
          <t>Gizi Lebih</t>
        </is>
      </c>
      <c r="I47" s="97" t="inlineStr">
        <is>
          <t>Ya</t>
        </is>
      </c>
      <c r="J47" s="97" t="inlineStr">
        <is>
          <t>Tidak</t>
        </is>
      </c>
      <c r="K47" s="107" t="n"/>
    </row>
    <row r="48" ht="15.75" customHeight="1" s="95">
      <c r="A48" s="97" t="inlineStr">
        <is>
          <t>anonymus0047</t>
        </is>
      </c>
      <c r="B48" s="97" t="inlineStr">
        <is>
          <t>P</t>
        </is>
      </c>
      <c r="C48" s="97" t="inlineStr">
        <is>
          <t>35-69 Bulan</t>
        </is>
      </c>
      <c r="D48" s="97" t="n">
        <v>10</v>
      </c>
      <c r="E48" s="97" t="n">
        <v>87</v>
      </c>
      <c r="F48" s="97" t="inlineStr">
        <is>
          <t>Sangat Kurang</t>
        </is>
      </c>
      <c r="G48" s="97" t="inlineStr">
        <is>
          <t>Pendek</t>
        </is>
      </c>
      <c r="H48" s="106" t="inlineStr">
        <is>
          <t>Gizi Kurang</t>
        </is>
      </c>
      <c r="I48" s="97" t="inlineStr">
        <is>
          <t>Ya</t>
        </is>
      </c>
      <c r="J48" s="97" t="inlineStr">
        <is>
          <t>Potensi Stunting</t>
        </is>
      </c>
      <c r="K48" s="107" t="n"/>
      <c r="L48" s="115" t="inlineStr">
        <is>
          <t>Jumlah kejadian</t>
        </is>
      </c>
      <c r="M48" s="116" t="n"/>
      <c r="N48" s="117" t="n"/>
      <c r="O48" s="118" t="n"/>
      <c r="P48" s="115" t="inlineStr">
        <is>
          <t>Probabilitas</t>
        </is>
      </c>
      <c r="Q48" s="116" t="n"/>
      <c r="R48" s="117" t="n"/>
    </row>
    <row r="49" ht="15.75" customHeight="1" s="95">
      <c r="A49" s="97" t="inlineStr">
        <is>
          <t>anonymus0048</t>
        </is>
      </c>
      <c r="B49" s="97" t="inlineStr">
        <is>
          <t>P</t>
        </is>
      </c>
      <c r="C49" s="97" t="inlineStr">
        <is>
          <t>1-34 Bulan</t>
        </is>
      </c>
      <c r="D49" s="97" t="n">
        <v>7</v>
      </c>
      <c r="E49" s="97" t="n">
        <v>78</v>
      </c>
      <c r="F49" s="97" t="inlineStr">
        <is>
          <t>Kurang</t>
        </is>
      </c>
      <c r="G49" s="97" t="inlineStr">
        <is>
          <t>Normal</t>
        </is>
      </c>
      <c r="H49" s="106" t="inlineStr">
        <is>
          <t>Gizi Kurang</t>
        </is>
      </c>
      <c r="I49" s="97" t="inlineStr">
        <is>
          <t>Ya</t>
        </is>
      </c>
      <c r="J49" s="97" t="inlineStr">
        <is>
          <t>Tidak</t>
        </is>
      </c>
      <c r="K49" s="107" t="n"/>
      <c r="L49" s="115" t="inlineStr">
        <is>
          <t>Status Asi Ekslusif</t>
        </is>
      </c>
      <c r="M49" s="115" t="inlineStr">
        <is>
          <t>Stunting</t>
        </is>
      </c>
      <c r="N49" s="115" t="inlineStr">
        <is>
          <t>Potensi Stunting</t>
        </is>
      </c>
      <c r="O49" s="115" t="inlineStr">
        <is>
          <t>Tidak</t>
        </is>
      </c>
      <c r="P49" s="115" t="inlineStr">
        <is>
          <t>Stunting</t>
        </is>
      </c>
      <c r="Q49" s="115" t="inlineStr">
        <is>
          <t>Potensi Stuting</t>
        </is>
      </c>
      <c r="R49" s="115" t="inlineStr">
        <is>
          <t>Tidak</t>
        </is>
      </c>
    </row>
    <row r="50" ht="15.75" customHeight="1" s="95">
      <c r="A50" s="97" t="inlineStr">
        <is>
          <t>anonymus0049</t>
        </is>
      </c>
      <c r="B50" s="97" t="inlineStr">
        <is>
          <t>L</t>
        </is>
      </c>
      <c r="C50" s="97" t="inlineStr">
        <is>
          <t>1-34 Bulan</t>
        </is>
      </c>
      <c r="D50" s="97" t="n">
        <v>8.300000000000001</v>
      </c>
      <c r="E50" s="97" t="n">
        <v>77</v>
      </c>
      <c r="F50" s="97" t="inlineStr">
        <is>
          <t>Kurang</t>
        </is>
      </c>
      <c r="G50" s="97" t="inlineStr">
        <is>
          <t>Pendek</t>
        </is>
      </c>
      <c r="H50" s="106" t="inlineStr">
        <is>
          <t>Gizi Kurang</t>
        </is>
      </c>
      <c r="I50" s="97" t="inlineStr">
        <is>
          <t>Ya</t>
        </is>
      </c>
      <c r="J50" s="97" t="inlineStr">
        <is>
          <t>Potensi Stunting</t>
        </is>
      </c>
      <c r="K50" s="107" t="n"/>
      <c r="L50" s="112" t="inlineStr">
        <is>
          <t>Ya</t>
        </is>
      </c>
      <c r="M50" s="112">
        <f>AK2</f>
        <v/>
      </c>
      <c r="N50" s="112">
        <f>AK3</f>
        <v/>
      </c>
      <c r="O50" s="112">
        <f>AK4</f>
        <v/>
      </c>
      <c r="P50" s="112">
        <f>M50/M52</f>
        <v/>
      </c>
      <c r="Q50" s="112">
        <f>N50/N52</f>
        <v/>
      </c>
      <c r="R50" s="109">
        <f>O50/O52</f>
        <v/>
      </c>
    </row>
    <row r="51" ht="15.75" customHeight="1" s="95">
      <c r="A51" s="97" t="inlineStr">
        <is>
          <t>anonymus0050</t>
        </is>
      </c>
      <c r="B51" s="97" t="inlineStr">
        <is>
          <t>L</t>
        </is>
      </c>
      <c r="C51" s="97" t="inlineStr">
        <is>
          <t>1-34 Bulan</t>
        </is>
      </c>
      <c r="D51" s="97" t="n">
        <v>6.1</v>
      </c>
      <c r="E51" s="97" t="n">
        <v>96</v>
      </c>
      <c r="F51" s="97" t="inlineStr">
        <is>
          <t>Kurang</t>
        </is>
      </c>
      <c r="G51" s="97" t="inlineStr">
        <is>
          <t>Normal</t>
        </is>
      </c>
      <c r="H51" s="106" t="inlineStr">
        <is>
          <t>Gizi Kurang</t>
        </is>
      </c>
      <c r="I51" s="97" t="inlineStr">
        <is>
          <t>Ya</t>
        </is>
      </c>
      <c r="J51" s="97" t="inlineStr">
        <is>
          <t>Tidak</t>
        </is>
      </c>
      <c r="K51" s="107" t="n"/>
      <c r="L51" s="112" t="inlineStr">
        <is>
          <t>Tidak</t>
        </is>
      </c>
      <c r="M51" s="112">
        <f>AK5</f>
        <v/>
      </c>
      <c r="N51" s="112">
        <f>AK6</f>
        <v/>
      </c>
      <c r="O51" s="112">
        <f>AK7</f>
        <v/>
      </c>
      <c r="P51" s="112">
        <f>M51/M52</f>
        <v/>
      </c>
      <c r="Q51" s="112">
        <f>N51/N52</f>
        <v/>
      </c>
      <c r="R51" s="109">
        <f>O51/O52</f>
        <v/>
      </c>
    </row>
    <row r="52" ht="15.75" customHeight="1" s="95">
      <c r="A52" s="97" t="inlineStr">
        <is>
          <t>anonymus0051</t>
        </is>
      </c>
      <c r="B52" s="97" t="inlineStr">
        <is>
          <t>L</t>
        </is>
      </c>
      <c r="C52" s="97" t="inlineStr">
        <is>
          <t>35-69 Bulan</t>
        </is>
      </c>
      <c r="D52" s="97" t="n">
        <v>6.7</v>
      </c>
      <c r="E52" s="97" t="n">
        <v>65</v>
      </c>
      <c r="F52" s="97" t="inlineStr">
        <is>
          <t>Sangat Kurang</t>
        </is>
      </c>
      <c r="G52" s="97" t="inlineStr">
        <is>
          <t>Sangat Pendek</t>
        </is>
      </c>
      <c r="H52" s="106" t="inlineStr">
        <is>
          <t>Gizi Baik</t>
        </is>
      </c>
      <c r="I52" s="97" t="inlineStr">
        <is>
          <t>Ya</t>
        </is>
      </c>
      <c r="J52" s="97" t="inlineStr">
        <is>
          <t>Stunting</t>
        </is>
      </c>
      <c r="K52" s="107" t="n"/>
      <c r="L52" s="112" t="n"/>
      <c r="M52" s="112">
        <f>SUM(M50:M51)</f>
        <v/>
      </c>
      <c r="N52" s="112">
        <f>SUM(N50:N51)</f>
        <v/>
      </c>
      <c r="O52" s="112">
        <f>SUM(O50:O51)</f>
        <v/>
      </c>
      <c r="P52" s="112">
        <f>SUM(P50:P51)</f>
        <v/>
      </c>
      <c r="Q52" s="112">
        <f>SUM(Q50:Q51)</f>
        <v/>
      </c>
      <c r="R52" s="109">
        <f>SUM(R50:R51)</f>
        <v/>
      </c>
      <c r="S52" s="119" t="n"/>
    </row>
    <row r="53" ht="15.75" customHeight="1" s="95">
      <c r="A53" s="97" t="inlineStr">
        <is>
          <t>anonymus0052</t>
        </is>
      </c>
      <c r="B53" s="97" t="inlineStr">
        <is>
          <t>P</t>
        </is>
      </c>
      <c r="C53" s="97" t="inlineStr">
        <is>
          <t>1-34 Bulan</t>
        </is>
      </c>
      <c r="D53" s="97" t="inlineStr">
        <is>
          <t>7.6</t>
        </is>
      </c>
      <c r="E53" s="97" t="n">
        <v>72</v>
      </c>
      <c r="F53" s="97" t="inlineStr">
        <is>
          <t>Kurang</t>
        </is>
      </c>
      <c r="G53" s="97" t="inlineStr">
        <is>
          <t>Pendek</t>
        </is>
      </c>
      <c r="H53" s="106" t="inlineStr">
        <is>
          <t>Gizi Baik</t>
        </is>
      </c>
      <c r="I53" s="97" t="inlineStr">
        <is>
          <t>Ya</t>
        </is>
      </c>
      <c r="J53" s="97" t="inlineStr">
        <is>
          <t>Potensi Stunting</t>
        </is>
      </c>
      <c r="K53" s="107" t="n"/>
    </row>
    <row r="54" ht="15.75" customHeight="1" s="95">
      <c r="A54" s="97" t="inlineStr">
        <is>
          <t>anonymus0053</t>
        </is>
      </c>
      <c r="B54" s="97" t="inlineStr">
        <is>
          <t>P</t>
        </is>
      </c>
      <c r="C54" s="97" t="inlineStr">
        <is>
          <t>1-34 Bulan</t>
        </is>
      </c>
      <c r="D54" s="97" t="inlineStr">
        <is>
          <t>8.6</t>
        </is>
      </c>
      <c r="E54" s="97" t="n">
        <v>73</v>
      </c>
      <c r="F54" s="97" t="inlineStr">
        <is>
          <t>Normal</t>
        </is>
      </c>
      <c r="G54" s="97" t="inlineStr">
        <is>
          <t>Normal</t>
        </is>
      </c>
      <c r="H54" s="106" t="inlineStr">
        <is>
          <t>Gizi Baik</t>
        </is>
      </c>
      <c r="I54" s="97" t="inlineStr">
        <is>
          <t>Ya</t>
        </is>
      </c>
      <c r="J54" s="97" t="inlineStr">
        <is>
          <t>Tidak</t>
        </is>
      </c>
      <c r="K54" s="107" t="n"/>
      <c r="V54" s="109" t="inlineStr">
        <is>
          <t>Prediksi</t>
        </is>
      </c>
      <c r="W54" s="116" t="n"/>
      <c r="X54" s="117" t="n"/>
      <c r="Y54" s="112" t="inlineStr">
        <is>
          <t>Hasil Prediksi</t>
        </is>
      </c>
      <c r="Z54" s="120" t="n"/>
    </row>
    <row r="55" ht="15.75" customHeight="1" s="95">
      <c r="A55" s="97" t="inlineStr">
        <is>
          <t>anonymus0054</t>
        </is>
      </c>
      <c r="B55" s="97" t="inlineStr">
        <is>
          <t>P</t>
        </is>
      </c>
      <c r="C55" s="97" t="inlineStr">
        <is>
          <t>35-69 Bulan</t>
        </is>
      </c>
      <c r="D55" s="97" t="n">
        <v>7.7</v>
      </c>
      <c r="E55" s="97" t="n">
        <v>76</v>
      </c>
      <c r="F55" s="97" t="inlineStr">
        <is>
          <t>Sangat Kurang</t>
        </is>
      </c>
      <c r="G55" s="97" t="inlineStr">
        <is>
          <t>Sangat Pendek</t>
        </is>
      </c>
      <c r="H55" s="106" t="inlineStr">
        <is>
          <t>Gizi Kurang</t>
        </is>
      </c>
      <c r="I55" s="97" t="inlineStr">
        <is>
          <t>Ya</t>
        </is>
      </c>
      <c r="J55" s="97" t="inlineStr">
        <is>
          <t>Potensi Stunting</t>
        </is>
      </c>
      <c r="K55" s="107" t="n"/>
      <c r="L55" s="100" t="inlineStr">
        <is>
          <t>Nama/Kode balita</t>
        </is>
      </c>
      <c r="M55" s="100" t="inlineStr">
        <is>
          <t>JK</t>
        </is>
      </c>
      <c r="N55" s="100" t="inlineStr">
        <is>
          <t xml:space="preserve">Umur </t>
        </is>
      </c>
      <c r="O55" s="100" t="inlineStr">
        <is>
          <t xml:space="preserve">Berat </t>
        </is>
      </c>
      <c r="P55" s="100" t="inlineStr">
        <is>
          <t>Tinggi</t>
        </is>
      </c>
      <c r="Q55" s="100" t="inlineStr">
        <is>
          <t>BB/U</t>
        </is>
      </c>
      <c r="R55" s="100" t="inlineStr">
        <is>
          <t>TB/U</t>
        </is>
      </c>
      <c r="S55" s="100" t="inlineStr">
        <is>
          <t>Status Gizi</t>
        </is>
      </c>
      <c r="T55" s="100" t="inlineStr">
        <is>
          <t>Status ASI Ekslusif</t>
        </is>
      </c>
      <c r="U55" s="100" t="inlineStr">
        <is>
          <t>Status Stunting</t>
        </is>
      </c>
      <c r="V55" s="100" t="inlineStr">
        <is>
          <t>Stunting</t>
        </is>
      </c>
      <c r="W55" s="100" t="inlineStr">
        <is>
          <t>Potensi Stunting</t>
        </is>
      </c>
      <c r="X55" s="100" t="inlineStr">
        <is>
          <t>Tidak</t>
        </is>
      </c>
      <c r="Y55" s="121" t="n"/>
      <c r="Z55" s="122" t="n"/>
    </row>
    <row r="56" ht="15.75" customHeight="1" s="95">
      <c r="A56" s="97" t="inlineStr">
        <is>
          <t>anonymus0055</t>
        </is>
      </c>
      <c r="B56" s="97" t="inlineStr">
        <is>
          <t>L</t>
        </is>
      </c>
      <c r="C56" s="97" t="inlineStr">
        <is>
          <t>1-34 Bulan</t>
        </is>
      </c>
      <c r="D56" s="97" t="n">
        <v>7.6</v>
      </c>
      <c r="E56" s="97" t="n">
        <v>76</v>
      </c>
      <c r="F56" s="97" t="inlineStr">
        <is>
          <t>Kurang</t>
        </is>
      </c>
      <c r="G56" s="97" t="inlineStr">
        <is>
          <t>Normal</t>
        </is>
      </c>
      <c r="H56" s="106" t="inlineStr">
        <is>
          <t>Gizi Kurang</t>
        </is>
      </c>
      <c r="I56" s="97" t="inlineStr">
        <is>
          <t>Ya</t>
        </is>
      </c>
      <c r="J56" s="97" t="inlineStr">
        <is>
          <t>Tidak</t>
        </is>
      </c>
      <c r="K56" s="107" t="n"/>
      <c r="L56" s="97" t="inlineStr">
        <is>
          <t>anonymus0001</t>
        </is>
      </c>
      <c r="M56" s="97" t="inlineStr">
        <is>
          <t>L</t>
        </is>
      </c>
      <c r="N56" s="97" t="inlineStr">
        <is>
          <t>35-69 Bulan</t>
        </is>
      </c>
      <c r="O56" s="97" t="n">
        <v>17.6</v>
      </c>
      <c r="P56" s="97" t="n">
        <v>107</v>
      </c>
      <c r="Q56" s="97" t="inlineStr">
        <is>
          <t>Risiko Lebih</t>
        </is>
      </c>
      <c r="R56" s="97" t="inlineStr">
        <is>
          <t>Normal</t>
        </is>
      </c>
      <c r="S56" s="97" t="inlineStr">
        <is>
          <t>Gizi Lebih</t>
        </is>
      </c>
      <c r="T56" s="97" t="inlineStr">
        <is>
          <t>Ya</t>
        </is>
      </c>
      <c r="U56" s="97" t="inlineStr">
        <is>
          <t>Tidak</t>
        </is>
      </c>
      <c r="V56" s="109">
        <f>P14*P21*P26*P42*P50</f>
        <v/>
      </c>
      <c r="W56" s="109">
        <f>Q14*Q21*Q26*Q34*Q42*Q50</f>
        <v/>
      </c>
      <c r="X56" s="123">
        <f>R14*R21*R26*R34*R42*R50</f>
        <v/>
      </c>
      <c r="Y56" s="109" t="inlineStr">
        <is>
          <t>Tidak</t>
        </is>
      </c>
      <c r="Z56" s="109" t="n"/>
    </row>
    <row r="57" ht="15.75" customHeight="1" s="95">
      <c r="A57" s="97" t="inlineStr">
        <is>
          <t>anonymus0056</t>
        </is>
      </c>
      <c r="B57" s="97" t="inlineStr">
        <is>
          <t>L</t>
        </is>
      </c>
      <c r="C57" s="97" t="inlineStr">
        <is>
          <t>1-34 Bulan</t>
        </is>
      </c>
      <c r="D57" s="97" t="n">
        <v>11.1</v>
      </c>
      <c r="E57" s="97" t="n">
        <v>91</v>
      </c>
      <c r="F57" s="97" t="inlineStr">
        <is>
          <t>Normal</t>
        </is>
      </c>
      <c r="G57" s="97" t="inlineStr">
        <is>
          <t>Normal</t>
        </is>
      </c>
      <c r="H57" s="106" t="inlineStr">
        <is>
          <t>Gizi Kurang</t>
        </is>
      </c>
      <c r="I57" s="97" t="inlineStr">
        <is>
          <t>Ya</t>
        </is>
      </c>
      <c r="J57" s="97" t="inlineStr">
        <is>
          <t>Tidak</t>
        </is>
      </c>
      <c r="K57" s="107" t="n"/>
      <c r="L57" s="102" t="n"/>
      <c r="M57" s="102" t="n"/>
      <c r="N57" s="102" t="n"/>
      <c r="O57" s="102" t="n"/>
      <c r="P57" s="102" t="n"/>
      <c r="Q57" s="102" t="n"/>
      <c r="R57" s="102" t="n"/>
      <c r="S57" s="102" t="n"/>
      <c r="T57" s="102" t="n"/>
      <c r="U57" s="102" t="n"/>
    </row>
    <row r="58" ht="15.75" customHeight="1" s="95">
      <c r="A58" s="97" t="inlineStr">
        <is>
          <t>anonymus0057</t>
        </is>
      </c>
      <c r="B58" s="97" t="inlineStr">
        <is>
          <t>P</t>
        </is>
      </c>
      <c r="C58" s="97" t="inlineStr">
        <is>
          <t>35-69 Bulan</t>
        </is>
      </c>
      <c r="D58" s="97" t="n">
        <v>16.3</v>
      </c>
      <c r="E58" s="97" t="n">
        <v>105</v>
      </c>
      <c r="F58" s="97" t="inlineStr">
        <is>
          <t>Normal</t>
        </is>
      </c>
      <c r="G58" s="97" t="inlineStr">
        <is>
          <t>Normal</t>
        </is>
      </c>
      <c r="H58" s="106" t="inlineStr">
        <is>
          <t>Gizi Baik</t>
        </is>
      </c>
      <c r="I58" s="97" t="inlineStr">
        <is>
          <t>Ya</t>
        </is>
      </c>
      <c r="J58" s="97" t="inlineStr">
        <is>
          <t>Tidak</t>
        </is>
      </c>
      <c r="K58" s="107" t="n"/>
      <c r="L58" s="102" t="inlineStr">
        <is>
          <t>Stunting</t>
        </is>
      </c>
      <c r="M58" s="102">
        <f>P14</f>
        <v/>
      </c>
      <c r="N58" s="102">
        <f>P21</f>
        <v/>
      </c>
      <c r="O58" s="102" t="n"/>
      <c r="P58" s="102" t="n"/>
      <c r="Q58" s="102">
        <f>P26</f>
        <v/>
      </c>
      <c r="R58" s="102">
        <f>P34</f>
        <v/>
      </c>
      <c r="S58" s="102">
        <f>P42</f>
        <v/>
      </c>
      <c r="T58" s="102">
        <f>P50</f>
        <v/>
      </c>
      <c r="U58" s="102" t="n"/>
    </row>
    <row r="59" ht="15.75" customHeight="1" s="95">
      <c r="A59" s="97" t="inlineStr">
        <is>
          <t>anonymus0058</t>
        </is>
      </c>
      <c r="B59" s="97" t="inlineStr">
        <is>
          <t>L</t>
        </is>
      </c>
      <c r="C59" s="97" t="inlineStr">
        <is>
          <t>1-34 Bulan</t>
        </is>
      </c>
      <c r="D59" s="97" t="inlineStr">
        <is>
          <t>9.6</t>
        </is>
      </c>
      <c r="E59" s="97" t="n">
        <v>75</v>
      </c>
      <c r="F59" s="97" t="inlineStr">
        <is>
          <t>Kurang</t>
        </is>
      </c>
      <c r="G59" s="97" t="inlineStr">
        <is>
          <t>Sangat Pendek</t>
        </is>
      </c>
      <c r="H59" s="106" t="inlineStr">
        <is>
          <t>Gizi Baik</t>
        </is>
      </c>
      <c r="I59" s="97" t="inlineStr">
        <is>
          <t>Ya</t>
        </is>
      </c>
      <c r="J59" s="97" t="inlineStr">
        <is>
          <t>Stunting</t>
        </is>
      </c>
      <c r="K59" s="107" t="n"/>
      <c r="L59" s="102" t="inlineStr">
        <is>
          <t>Potensi Stunting</t>
        </is>
      </c>
      <c r="M59" s="102">
        <f>Q14</f>
        <v/>
      </c>
      <c r="N59" s="102">
        <f>Q21</f>
        <v/>
      </c>
      <c r="O59" s="102" t="n"/>
      <c r="P59" s="102" t="n"/>
      <c r="Q59" s="102">
        <f>Q26</f>
        <v/>
      </c>
      <c r="R59" s="102">
        <f>Q34</f>
        <v/>
      </c>
      <c r="S59" s="102">
        <f>Q42</f>
        <v/>
      </c>
      <c r="T59" s="102">
        <f>Q50</f>
        <v/>
      </c>
      <c r="U59" s="102" t="n"/>
    </row>
    <row r="60" ht="15.75" customHeight="1" s="95">
      <c r="A60" s="97" t="inlineStr">
        <is>
          <t>anonymus0059</t>
        </is>
      </c>
      <c r="B60" s="97" t="inlineStr">
        <is>
          <t>L</t>
        </is>
      </c>
      <c r="C60" s="97" t="inlineStr">
        <is>
          <t>1-34 Bulan</t>
        </is>
      </c>
      <c r="D60" s="97" t="n">
        <v>9.5</v>
      </c>
      <c r="E60" s="97" t="n">
        <v>72</v>
      </c>
      <c r="F60" s="97" t="inlineStr">
        <is>
          <t>Normal</t>
        </is>
      </c>
      <c r="G60" s="97" t="inlineStr">
        <is>
          <t>Normal</t>
        </is>
      </c>
      <c r="H60" s="106" t="inlineStr">
        <is>
          <t>Gizi Baik</t>
        </is>
      </c>
      <c r="I60" s="97" t="inlineStr">
        <is>
          <t>Ya</t>
        </is>
      </c>
      <c r="J60" s="97" t="inlineStr">
        <is>
          <t>Tidak</t>
        </is>
      </c>
      <c r="K60" s="107" t="n"/>
      <c r="L60" s="102" t="inlineStr">
        <is>
          <t>Tidak</t>
        </is>
      </c>
      <c r="M60" s="102">
        <f>R14</f>
        <v/>
      </c>
      <c r="N60" s="102">
        <f>R21</f>
        <v/>
      </c>
      <c r="O60" s="102" t="n"/>
      <c r="P60" s="102" t="n"/>
      <c r="Q60" s="102">
        <f>R26</f>
        <v/>
      </c>
      <c r="R60" s="102">
        <f>R34</f>
        <v/>
      </c>
      <c r="S60" s="102">
        <f>R42</f>
        <v/>
      </c>
      <c r="T60" s="102">
        <f>R50</f>
        <v/>
      </c>
      <c r="U60" s="102" t="n"/>
    </row>
    <row r="61" ht="15.75" customHeight="1" s="95">
      <c r="A61" s="97" t="inlineStr">
        <is>
          <t>anonymus0060</t>
        </is>
      </c>
      <c r="B61" s="97" t="inlineStr">
        <is>
          <t>L</t>
        </is>
      </c>
      <c r="C61" s="97" t="inlineStr">
        <is>
          <t>1-34 Bulan</t>
        </is>
      </c>
      <c r="D61" s="97" t="n">
        <v>6.2</v>
      </c>
      <c r="E61" s="97" t="n">
        <v>97</v>
      </c>
      <c r="F61" s="97" t="inlineStr">
        <is>
          <t>Kurang</t>
        </is>
      </c>
      <c r="G61" s="97" t="inlineStr">
        <is>
          <t>Normal</t>
        </is>
      </c>
      <c r="H61" s="106" t="inlineStr">
        <is>
          <t>Gizi Kurang</t>
        </is>
      </c>
      <c r="I61" s="97" t="inlineStr">
        <is>
          <t>Ya</t>
        </is>
      </c>
      <c r="J61" s="97" t="inlineStr">
        <is>
          <t>Tidak</t>
        </is>
      </c>
      <c r="K61" s="107" t="n"/>
    </row>
    <row r="62" ht="15.75" customHeight="1" s="95">
      <c r="A62" s="97" t="inlineStr">
        <is>
          <t>anonymus0061</t>
        </is>
      </c>
      <c r="B62" s="97" t="inlineStr">
        <is>
          <t>L</t>
        </is>
      </c>
      <c r="C62" s="97" t="inlineStr">
        <is>
          <t>35-69 Bulan</t>
        </is>
      </c>
      <c r="D62" s="97" t="n">
        <v>14.4</v>
      </c>
      <c r="E62" s="97" t="n">
        <v>100</v>
      </c>
      <c r="F62" s="97" t="inlineStr">
        <is>
          <t>Normal</t>
        </is>
      </c>
      <c r="G62" s="97" t="inlineStr">
        <is>
          <t>Normal</t>
        </is>
      </c>
      <c r="H62" s="106" t="inlineStr">
        <is>
          <t>Gizi Baik</t>
        </is>
      </c>
      <c r="I62" s="97" t="inlineStr">
        <is>
          <t>Ya</t>
        </is>
      </c>
      <c r="J62" s="97" t="inlineStr">
        <is>
          <t>Tidak</t>
        </is>
      </c>
      <c r="K62" s="107" t="n"/>
      <c r="N62" s="94">
        <f>M60*N60*Q60*R60*S60*T60</f>
        <v/>
      </c>
    </row>
    <row r="63" ht="15.75" customHeight="1" s="95">
      <c r="A63" s="97" t="inlineStr">
        <is>
          <t>anonymus0062</t>
        </is>
      </c>
      <c r="B63" s="97" t="inlineStr">
        <is>
          <t>P</t>
        </is>
      </c>
      <c r="C63" s="97" t="inlineStr">
        <is>
          <t>1-34 Bulan</t>
        </is>
      </c>
      <c r="D63" s="97" t="inlineStr">
        <is>
          <t>7.1</t>
        </is>
      </c>
      <c r="E63" s="97" t="n">
        <v>76</v>
      </c>
      <c r="F63" s="97" t="inlineStr">
        <is>
          <t>Sangat Kurang</t>
        </is>
      </c>
      <c r="G63" s="97" t="inlineStr">
        <is>
          <t>Pendek</t>
        </is>
      </c>
      <c r="H63" s="106" t="inlineStr">
        <is>
          <t>Gizi Kurang</t>
        </is>
      </c>
      <c r="I63" s="97" t="inlineStr">
        <is>
          <t>Ya</t>
        </is>
      </c>
      <c r="J63" s="97" t="inlineStr">
        <is>
          <t>Potensi Stunting</t>
        </is>
      </c>
      <c r="K63" s="107" t="n"/>
    </row>
    <row r="64" ht="15.75" customHeight="1" s="95">
      <c r="A64" s="97" t="inlineStr">
        <is>
          <t>anonymus0063</t>
        </is>
      </c>
      <c r="B64" s="97" t="inlineStr">
        <is>
          <t>L</t>
        </is>
      </c>
      <c r="C64" s="97" t="inlineStr">
        <is>
          <t>1-34 Bulan</t>
        </is>
      </c>
      <c r="D64" s="97" t="n">
        <v>14.7</v>
      </c>
      <c r="E64" s="97" t="n">
        <v>90</v>
      </c>
      <c r="F64" s="97" t="inlineStr">
        <is>
          <t>Normal</t>
        </is>
      </c>
      <c r="G64" s="97" t="inlineStr">
        <is>
          <t>Normal</t>
        </is>
      </c>
      <c r="H64" s="106" t="inlineStr">
        <is>
          <t>Gizi Baik</t>
        </is>
      </c>
      <c r="I64" s="97" t="inlineStr">
        <is>
          <t>Ya</t>
        </is>
      </c>
      <c r="J64" s="97" t="inlineStr">
        <is>
          <t>Tidak</t>
        </is>
      </c>
      <c r="K64" s="107" t="n"/>
    </row>
    <row r="65" ht="15.75" customHeight="1" s="95">
      <c r="A65" s="97" t="inlineStr">
        <is>
          <t>anonymus0064</t>
        </is>
      </c>
      <c r="B65" s="97" t="inlineStr">
        <is>
          <t>L</t>
        </is>
      </c>
      <c r="C65" s="97" t="inlineStr">
        <is>
          <t>35-69 Bulan</t>
        </is>
      </c>
      <c r="D65" s="97" t="inlineStr">
        <is>
          <t>14.5</t>
        </is>
      </c>
      <c r="E65" s="97" t="n">
        <v>96</v>
      </c>
      <c r="F65" s="97" t="inlineStr">
        <is>
          <t>Normal</t>
        </is>
      </c>
      <c r="G65" s="97" t="inlineStr">
        <is>
          <t>Normal</t>
        </is>
      </c>
      <c r="H65" s="106" t="inlineStr">
        <is>
          <t>Gizi Baik</t>
        </is>
      </c>
      <c r="I65" s="97" t="inlineStr">
        <is>
          <t>Ya</t>
        </is>
      </c>
      <c r="J65" s="97" t="inlineStr">
        <is>
          <t>Tidak</t>
        </is>
      </c>
      <c r="K65" s="107" t="n"/>
    </row>
    <row r="66" ht="15.75" customHeight="1" s="95">
      <c r="A66" s="97" t="inlineStr">
        <is>
          <t>anonymus0065</t>
        </is>
      </c>
      <c r="B66" s="97" t="inlineStr">
        <is>
          <t>P</t>
        </is>
      </c>
      <c r="C66" s="97" t="inlineStr">
        <is>
          <t>35-69 Bulan</t>
        </is>
      </c>
      <c r="D66" s="97" t="inlineStr">
        <is>
          <t>15.3</t>
        </is>
      </c>
      <c r="E66" s="97" t="n">
        <v>98</v>
      </c>
      <c r="F66" s="97" t="inlineStr">
        <is>
          <t>Normal</t>
        </is>
      </c>
      <c r="G66" s="97" t="inlineStr">
        <is>
          <t>Normal</t>
        </is>
      </c>
      <c r="H66" s="106" t="inlineStr">
        <is>
          <t>Gizi Baik</t>
        </is>
      </c>
      <c r="I66" s="97" t="inlineStr">
        <is>
          <t>Ya</t>
        </is>
      </c>
      <c r="J66" s="97" t="inlineStr">
        <is>
          <t>Tidak</t>
        </is>
      </c>
      <c r="K66" s="107" t="n"/>
    </row>
    <row r="67" ht="15.75" customHeight="1" s="95">
      <c r="A67" s="97" t="inlineStr">
        <is>
          <t>anonymus0066</t>
        </is>
      </c>
      <c r="B67" s="97" t="inlineStr">
        <is>
          <t>L</t>
        </is>
      </c>
      <c r="C67" s="97" t="inlineStr">
        <is>
          <t>35-69 Bulan</t>
        </is>
      </c>
      <c r="D67" s="97" t="n">
        <v>8.6</v>
      </c>
      <c r="E67" s="97" t="n">
        <v>76.09999999999999</v>
      </c>
      <c r="F67" s="97" t="inlineStr">
        <is>
          <t>Kurang</t>
        </is>
      </c>
      <c r="G67" s="97" t="inlineStr">
        <is>
          <t>Sangat Pendek</t>
        </is>
      </c>
      <c r="H67" s="106" t="inlineStr">
        <is>
          <t>Gizi Baik</t>
        </is>
      </c>
      <c r="I67" s="97" t="inlineStr">
        <is>
          <t>Ya</t>
        </is>
      </c>
      <c r="J67" s="97" t="inlineStr">
        <is>
          <t>Stunting</t>
        </is>
      </c>
      <c r="K67" s="107" t="n"/>
    </row>
    <row r="68" ht="15.75" customHeight="1" s="95">
      <c r="A68" s="97" t="inlineStr">
        <is>
          <t>anonymus0067</t>
        </is>
      </c>
      <c r="B68" s="97" t="inlineStr">
        <is>
          <t>P</t>
        </is>
      </c>
      <c r="C68" s="97" t="inlineStr">
        <is>
          <t>35-69 Bulan</t>
        </is>
      </c>
      <c r="D68" s="97" t="inlineStr">
        <is>
          <t>15.6</t>
        </is>
      </c>
      <c r="E68" s="97" t="n">
        <v>99</v>
      </c>
      <c r="F68" s="97" t="inlineStr">
        <is>
          <t>Normal</t>
        </is>
      </c>
      <c r="G68" s="97" t="inlineStr">
        <is>
          <t>Normal</t>
        </is>
      </c>
      <c r="H68" s="106" t="inlineStr">
        <is>
          <t>Gizi Baik</t>
        </is>
      </c>
      <c r="I68" s="97" t="inlineStr">
        <is>
          <t>Ya</t>
        </is>
      </c>
      <c r="J68" s="97" t="inlineStr">
        <is>
          <t>Tidak</t>
        </is>
      </c>
      <c r="K68" s="107" t="n"/>
    </row>
    <row r="69" ht="15.75" customHeight="1" s="95">
      <c r="A69" s="97" t="inlineStr">
        <is>
          <t>anonymus0068</t>
        </is>
      </c>
      <c r="B69" s="97" t="inlineStr">
        <is>
          <t>L</t>
        </is>
      </c>
      <c r="C69" s="97" t="inlineStr">
        <is>
          <t>1-34 Bulan</t>
        </is>
      </c>
      <c r="D69" s="97" t="n">
        <v>11.3</v>
      </c>
      <c r="E69" s="97" t="n">
        <v>82</v>
      </c>
      <c r="F69" s="97" t="inlineStr">
        <is>
          <t>Normal</t>
        </is>
      </c>
      <c r="G69" s="97" t="inlineStr">
        <is>
          <t>Normal</t>
        </is>
      </c>
      <c r="H69" s="106" t="inlineStr">
        <is>
          <t>Gizi Baik</t>
        </is>
      </c>
      <c r="I69" s="97" t="inlineStr">
        <is>
          <t>Ya</t>
        </is>
      </c>
      <c r="J69" s="97" t="inlineStr">
        <is>
          <t>Tidak</t>
        </is>
      </c>
      <c r="K69" s="107" t="n"/>
    </row>
    <row r="70" ht="15.75" customHeight="1" s="95">
      <c r="A70" s="97" t="inlineStr">
        <is>
          <t>anonymus0069</t>
        </is>
      </c>
      <c r="B70" s="97" t="inlineStr">
        <is>
          <t>L</t>
        </is>
      </c>
      <c r="C70" s="97" t="inlineStr">
        <is>
          <t>1-34 Bulan</t>
        </is>
      </c>
      <c r="D70" s="97" t="n">
        <v>14.3</v>
      </c>
      <c r="E70" s="97" t="n">
        <v>89</v>
      </c>
      <c r="F70" s="97" t="inlineStr">
        <is>
          <t>Normal</t>
        </is>
      </c>
      <c r="G70" s="97" t="inlineStr">
        <is>
          <t>Normal</t>
        </is>
      </c>
      <c r="H70" s="106" t="inlineStr">
        <is>
          <t>Gizi Baik</t>
        </is>
      </c>
      <c r="I70" s="97" t="inlineStr">
        <is>
          <t>Ya</t>
        </is>
      </c>
      <c r="J70" s="97" t="inlineStr">
        <is>
          <t>Tidak</t>
        </is>
      </c>
      <c r="K70" s="107" t="n"/>
    </row>
    <row r="71" ht="15.75" customHeight="1" s="95">
      <c r="A71" s="97" t="inlineStr">
        <is>
          <t>anonymus0070</t>
        </is>
      </c>
      <c r="B71" s="97" t="inlineStr">
        <is>
          <t>L</t>
        </is>
      </c>
      <c r="C71" s="97" t="inlineStr">
        <is>
          <t>35-69 Bulan</t>
        </is>
      </c>
      <c r="D71" s="97" t="n">
        <v>11.8</v>
      </c>
      <c r="E71" s="97" t="n">
        <v>92.5</v>
      </c>
      <c r="F71" s="97" t="inlineStr">
        <is>
          <t>Kurang</t>
        </is>
      </c>
      <c r="G71" s="97" t="inlineStr">
        <is>
          <t>Pendek</t>
        </is>
      </c>
      <c r="H71" s="106" t="inlineStr">
        <is>
          <t>Gizi Baik</t>
        </is>
      </c>
      <c r="I71" s="97" t="inlineStr">
        <is>
          <t>Ya</t>
        </is>
      </c>
      <c r="J71" s="97" t="inlineStr">
        <is>
          <t>Potensi Stunting</t>
        </is>
      </c>
      <c r="K71" s="107" t="n"/>
    </row>
    <row r="72" ht="15.75" customHeight="1" s="95">
      <c r="A72" s="97" t="inlineStr">
        <is>
          <t>anonymus0071</t>
        </is>
      </c>
      <c r="B72" s="97" t="inlineStr">
        <is>
          <t>L</t>
        </is>
      </c>
      <c r="C72" s="97" t="inlineStr">
        <is>
          <t>35-69 Bulan</t>
        </is>
      </c>
      <c r="D72" s="97" t="inlineStr">
        <is>
          <t>16.1</t>
        </is>
      </c>
      <c r="E72" s="97" t="n">
        <v>100</v>
      </c>
      <c r="F72" s="97" t="inlineStr">
        <is>
          <t>Normal</t>
        </is>
      </c>
      <c r="G72" s="97" t="inlineStr">
        <is>
          <t>Normal</t>
        </is>
      </c>
      <c r="H72" s="106" t="inlineStr">
        <is>
          <t>Gizi Baik</t>
        </is>
      </c>
      <c r="I72" s="97" t="inlineStr">
        <is>
          <t>Ya</t>
        </is>
      </c>
      <c r="J72" s="97" t="inlineStr">
        <is>
          <t>Tidak</t>
        </is>
      </c>
      <c r="K72" s="107" t="n"/>
    </row>
    <row r="73" ht="15.75" customHeight="1" s="95">
      <c r="A73" s="97" t="inlineStr">
        <is>
          <t>anonymus0072</t>
        </is>
      </c>
      <c r="B73" s="97" t="inlineStr">
        <is>
          <t>L</t>
        </is>
      </c>
      <c r="C73" s="97" t="inlineStr">
        <is>
          <t>1-34 Bulan</t>
        </is>
      </c>
      <c r="D73" s="97" t="n">
        <v>12.4</v>
      </c>
      <c r="E73" s="97" t="n">
        <v>88</v>
      </c>
      <c r="F73" s="97" t="inlineStr">
        <is>
          <t>Normal</t>
        </is>
      </c>
      <c r="G73" s="97" t="inlineStr">
        <is>
          <t>Normal</t>
        </is>
      </c>
      <c r="H73" s="106" t="inlineStr">
        <is>
          <t>Gizi Baik</t>
        </is>
      </c>
      <c r="I73" s="97" t="inlineStr">
        <is>
          <t>Ya</t>
        </is>
      </c>
      <c r="J73" s="97" t="inlineStr">
        <is>
          <t>Tidak</t>
        </is>
      </c>
      <c r="K73" s="107" t="n"/>
    </row>
    <row r="74" ht="15.75" customHeight="1" s="95">
      <c r="A74" s="97" t="inlineStr">
        <is>
          <t>anonymus0073</t>
        </is>
      </c>
      <c r="B74" s="97" t="inlineStr">
        <is>
          <t>P</t>
        </is>
      </c>
      <c r="C74" s="97" t="inlineStr">
        <is>
          <t>35-69 Bulan</t>
        </is>
      </c>
      <c r="D74" s="97" t="n">
        <v>13.5</v>
      </c>
      <c r="E74" s="97" t="n">
        <v>120</v>
      </c>
      <c r="F74" s="97" t="inlineStr">
        <is>
          <t>Normal</t>
        </is>
      </c>
      <c r="G74" s="97" t="inlineStr">
        <is>
          <t>Normal</t>
        </is>
      </c>
      <c r="H74" s="106" t="inlineStr">
        <is>
          <t>Gizi Baik</t>
        </is>
      </c>
      <c r="I74" s="97" t="inlineStr">
        <is>
          <t>Ya</t>
        </is>
      </c>
      <c r="J74" s="97" t="inlineStr">
        <is>
          <t>Tidak</t>
        </is>
      </c>
      <c r="K74" s="107" t="n"/>
    </row>
    <row r="75" ht="15.75" customHeight="1" s="95">
      <c r="A75" s="97" t="inlineStr">
        <is>
          <t>anonymus0074</t>
        </is>
      </c>
      <c r="B75" s="97" t="inlineStr">
        <is>
          <t>P</t>
        </is>
      </c>
      <c r="C75" s="97" t="inlineStr">
        <is>
          <t>35-69 Bulan</t>
        </is>
      </c>
      <c r="D75" s="97" t="n">
        <v>9.300000000000001</v>
      </c>
      <c r="E75" s="97" t="n">
        <v>69.2</v>
      </c>
      <c r="F75" s="97" t="inlineStr">
        <is>
          <t>Normal</t>
        </is>
      </c>
      <c r="G75" s="97" t="inlineStr">
        <is>
          <t>Pendek</t>
        </is>
      </c>
      <c r="H75" s="106" t="inlineStr">
        <is>
          <t>Risiko Gizi Lebih</t>
        </is>
      </c>
      <c r="I75" s="97" t="inlineStr">
        <is>
          <t>Ya</t>
        </is>
      </c>
      <c r="J75" s="97" t="inlineStr">
        <is>
          <t>Potensi Stunting</t>
        </is>
      </c>
      <c r="K75" s="107" t="n"/>
    </row>
    <row r="76" ht="15.75" customHeight="1" s="95">
      <c r="A76" s="97" t="inlineStr">
        <is>
          <t>anonymus0075</t>
        </is>
      </c>
      <c r="B76" s="97" t="inlineStr">
        <is>
          <t>P</t>
        </is>
      </c>
      <c r="C76" s="97" t="inlineStr">
        <is>
          <t>35-69 Bulan</t>
        </is>
      </c>
      <c r="D76" s="97" t="n">
        <v>9.199999999999999</v>
      </c>
      <c r="E76" s="97" t="n">
        <v>79</v>
      </c>
      <c r="F76" s="97" t="inlineStr">
        <is>
          <t>Sangat Kurang</t>
        </is>
      </c>
      <c r="G76" s="97" t="inlineStr">
        <is>
          <t>Sangat Pendek</t>
        </is>
      </c>
      <c r="H76" s="106" t="inlineStr">
        <is>
          <t>Gizi Baik</t>
        </is>
      </c>
      <c r="I76" s="97" t="inlineStr">
        <is>
          <t>Ya</t>
        </is>
      </c>
      <c r="J76" s="97" t="inlineStr">
        <is>
          <t>Stunting</t>
        </is>
      </c>
      <c r="K76" s="107" t="n"/>
    </row>
    <row r="77" ht="15.75" customHeight="1" s="95">
      <c r="A77" s="97" t="inlineStr">
        <is>
          <t>anonymus0076</t>
        </is>
      </c>
      <c r="B77" s="97" t="inlineStr">
        <is>
          <t>P</t>
        </is>
      </c>
      <c r="C77" s="97" t="inlineStr">
        <is>
          <t>1-34 Bulan</t>
        </is>
      </c>
      <c r="D77" s="97" t="n">
        <v>13.7</v>
      </c>
      <c r="E77" s="97" t="n">
        <v>89</v>
      </c>
      <c r="F77" s="97" t="inlineStr">
        <is>
          <t>Normal</t>
        </is>
      </c>
      <c r="G77" s="97" t="inlineStr">
        <is>
          <t>Normal</t>
        </is>
      </c>
      <c r="H77" s="106" t="inlineStr">
        <is>
          <t>Gizi Baik</t>
        </is>
      </c>
      <c r="I77" s="97" t="inlineStr">
        <is>
          <t>Ya</t>
        </is>
      </c>
      <c r="J77" s="97" t="inlineStr">
        <is>
          <t>Tidak</t>
        </is>
      </c>
      <c r="K77" s="107" t="n"/>
    </row>
    <row r="78" ht="15.75" customHeight="1" s="95">
      <c r="A78" s="97" t="inlineStr">
        <is>
          <t>anonymus0077</t>
        </is>
      </c>
      <c r="B78" s="97" t="inlineStr">
        <is>
          <t>L</t>
        </is>
      </c>
      <c r="C78" s="97" t="inlineStr">
        <is>
          <t>1-34 Bulan</t>
        </is>
      </c>
      <c r="D78" s="97" t="n">
        <v>9.6</v>
      </c>
      <c r="E78" s="97" t="n">
        <v>75</v>
      </c>
      <c r="F78" s="97" t="inlineStr">
        <is>
          <t>Normal</t>
        </is>
      </c>
      <c r="G78" s="97" t="inlineStr">
        <is>
          <t>Pendek</t>
        </is>
      </c>
      <c r="H78" s="106" t="inlineStr">
        <is>
          <t>Gizi Baik</t>
        </is>
      </c>
      <c r="I78" s="97" t="inlineStr">
        <is>
          <t>Ya</t>
        </is>
      </c>
      <c r="J78" s="97" t="inlineStr">
        <is>
          <t>Potensi Stunting</t>
        </is>
      </c>
      <c r="K78" s="107" t="n"/>
    </row>
    <row r="79" ht="15.75" customHeight="1" s="95">
      <c r="A79" s="97" t="inlineStr">
        <is>
          <t>anonymus0078</t>
        </is>
      </c>
      <c r="B79" s="97" t="inlineStr">
        <is>
          <t>P</t>
        </is>
      </c>
      <c r="C79" s="97" t="inlineStr">
        <is>
          <t>35-69 Bulan</t>
        </is>
      </c>
      <c r="D79" s="97" t="inlineStr">
        <is>
          <t>15.6</t>
        </is>
      </c>
      <c r="E79" s="97" t="n">
        <v>99</v>
      </c>
      <c r="F79" s="97" t="inlineStr">
        <is>
          <t>Normal</t>
        </is>
      </c>
      <c r="G79" s="97" t="inlineStr">
        <is>
          <t>Normal</t>
        </is>
      </c>
      <c r="H79" s="106" t="inlineStr">
        <is>
          <t>Gizi Baik</t>
        </is>
      </c>
      <c r="I79" s="97" t="inlineStr">
        <is>
          <t>Ya</t>
        </is>
      </c>
      <c r="J79" s="97" t="inlineStr">
        <is>
          <t>Tidak</t>
        </is>
      </c>
      <c r="K79" s="107" t="n"/>
    </row>
    <row r="80" ht="15.75" customHeight="1" s="95">
      <c r="A80" s="97" t="inlineStr">
        <is>
          <t>anonymus0079</t>
        </is>
      </c>
      <c r="B80" s="97" t="inlineStr">
        <is>
          <t>L</t>
        </is>
      </c>
      <c r="C80" s="97" t="inlineStr">
        <is>
          <t>1-34 Bulan</t>
        </is>
      </c>
      <c r="D80" s="97" t="inlineStr">
        <is>
          <t>12.9</t>
        </is>
      </c>
      <c r="E80" s="97" t="n">
        <v>91</v>
      </c>
      <c r="F80" s="97" t="inlineStr">
        <is>
          <t>Normal</t>
        </is>
      </c>
      <c r="G80" s="97" t="inlineStr">
        <is>
          <t>Normal</t>
        </is>
      </c>
      <c r="H80" s="106" t="inlineStr">
        <is>
          <t>Gizi Baik</t>
        </is>
      </c>
      <c r="I80" s="97" t="inlineStr">
        <is>
          <t>Ya</t>
        </is>
      </c>
      <c r="J80" s="97" t="inlineStr">
        <is>
          <t>Tidak</t>
        </is>
      </c>
      <c r="K80" s="107" t="n"/>
    </row>
    <row r="81" ht="15.75" customHeight="1" s="95">
      <c r="A81" s="97" t="inlineStr">
        <is>
          <t>anonymus0080</t>
        </is>
      </c>
      <c r="B81" s="97" t="inlineStr">
        <is>
          <t>P</t>
        </is>
      </c>
      <c r="C81" s="97" t="inlineStr">
        <is>
          <t>1-34 Bulan</t>
        </is>
      </c>
      <c r="D81" s="97" t="inlineStr">
        <is>
          <t>7.8</t>
        </is>
      </c>
      <c r="E81" s="97" t="n">
        <v>71</v>
      </c>
      <c r="F81" s="97" t="inlineStr">
        <is>
          <t>Normal</t>
        </is>
      </c>
      <c r="G81" s="97" t="inlineStr">
        <is>
          <t>Normal</t>
        </is>
      </c>
      <c r="H81" s="106" t="inlineStr">
        <is>
          <t>Gizi Baik</t>
        </is>
      </c>
      <c r="I81" s="97" t="inlineStr">
        <is>
          <t>Ya</t>
        </is>
      </c>
      <c r="J81" s="97" t="inlineStr">
        <is>
          <t>Tidak</t>
        </is>
      </c>
      <c r="K81" s="107" t="n"/>
    </row>
    <row r="82" ht="15.75" customHeight="1" s="95">
      <c r="A82" s="97" t="inlineStr">
        <is>
          <t>anonymus0081</t>
        </is>
      </c>
      <c r="B82" s="97" t="inlineStr">
        <is>
          <t>P</t>
        </is>
      </c>
      <c r="C82" s="97" t="inlineStr">
        <is>
          <t>35-69 Bulan</t>
        </is>
      </c>
      <c r="D82" s="97" t="n">
        <v>15.5</v>
      </c>
      <c r="E82" s="97" t="n">
        <v>93</v>
      </c>
      <c r="F82" s="97" t="inlineStr">
        <is>
          <t>Normal</t>
        </is>
      </c>
      <c r="G82" s="97" t="inlineStr">
        <is>
          <t>Normal</t>
        </is>
      </c>
      <c r="H82" s="106" t="inlineStr">
        <is>
          <t>Gizi Baik</t>
        </is>
      </c>
      <c r="I82" s="97" t="inlineStr">
        <is>
          <t>Ya</t>
        </is>
      </c>
      <c r="J82" s="97" t="inlineStr">
        <is>
          <t>Tidak</t>
        </is>
      </c>
      <c r="K82" s="107" t="n"/>
    </row>
    <row r="83" ht="15.75" customHeight="1" s="95">
      <c r="A83" s="97" t="inlineStr">
        <is>
          <t>anonymus0082</t>
        </is>
      </c>
      <c r="B83" s="97" t="inlineStr">
        <is>
          <t>P</t>
        </is>
      </c>
      <c r="C83" s="97" t="inlineStr">
        <is>
          <t>35-69 Bulan</t>
        </is>
      </c>
      <c r="D83" s="97" t="n">
        <v>15.9</v>
      </c>
      <c r="E83" s="97" t="n">
        <v>114</v>
      </c>
      <c r="F83" s="97" t="inlineStr">
        <is>
          <t>Normal</t>
        </is>
      </c>
      <c r="G83" s="97" t="inlineStr">
        <is>
          <t>Normal</t>
        </is>
      </c>
      <c r="H83" s="106" t="inlineStr">
        <is>
          <t>Gizi Baik</t>
        </is>
      </c>
      <c r="I83" s="97" t="inlineStr">
        <is>
          <t>Ya</t>
        </is>
      </c>
      <c r="J83" s="97" t="inlineStr">
        <is>
          <t>Tidak</t>
        </is>
      </c>
      <c r="K83" s="107" t="n"/>
    </row>
    <row r="84" ht="15.75" customHeight="1" s="95">
      <c r="A84" s="97" t="inlineStr">
        <is>
          <t>anonymus0083</t>
        </is>
      </c>
      <c r="B84" s="97" t="inlineStr">
        <is>
          <t>L</t>
        </is>
      </c>
      <c r="C84" s="97" t="inlineStr">
        <is>
          <t>1-34 Bulan</t>
        </is>
      </c>
      <c r="D84" s="97" t="inlineStr">
        <is>
          <t>9.3</t>
        </is>
      </c>
      <c r="E84" s="97" t="n">
        <v>76</v>
      </c>
      <c r="F84" s="97" t="inlineStr">
        <is>
          <t>Normal</t>
        </is>
      </c>
      <c r="G84" s="97" t="inlineStr">
        <is>
          <t>Normal</t>
        </is>
      </c>
      <c r="H84" s="106" t="inlineStr">
        <is>
          <t>Gizi Baik</t>
        </is>
      </c>
      <c r="I84" s="97" t="inlineStr">
        <is>
          <t>Ya</t>
        </is>
      </c>
      <c r="J84" s="97" t="inlineStr">
        <is>
          <t>Tidak</t>
        </is>
      </c>
      <c r="K84" s="107" t="n"/>
    </row>
    <row r="85" ht="15.75" customHeight="1" s="95">
      <c r="A85" s="97" t="inlineStr">
        <is>
          <t>anonymus0084</t>
        </is>
      </c>
      <c r="B85" s="97" t="inlineStr">
        <is>
          <t>L</t>
        </is>
      </c>
      <c r="C85" s="97" t="inlineStr">
        <is>
          <t>35-69 Bulan</t>
        </is>
      </c>
      <c r="D85" s="97" t="n">
        <v>12.8</v>
      </c>
      <c r="E85" s="97" t="n">
        <v>99</v>
      </c>
      <c r="F85" s="97" t="inlineStr">
        <is>
          <t>Kurang</t>
        </is>
      </c>
      <c r="G85" s="97" t="inlineStr">
        <is>
          <t>Normal</t>
        </is>
      </c>
      <c r="H85" s="106" t="inlineStr">
        <is>
          <t>Gizi Kurang</t>
        </is>
      </c>
      <c r="I85" s="97" t="inlineStr">
        <is>
          <t>Ya</t>
        </is>
      </c>
      <c r="J85" s="97" t="inlineStr">
        <is>
          <t>Tidak</t>
        </is>
      </c>
      <c r="K85" s="107" t="n"/>
    </row>
    <row r="86" ht="15.75" customHeight="1" s="95">
      <c r="A86" s="97" t="inlineStr">
        <is>
          <t>anonymus0085</t>
        </is>
      </c>
      <c r="B86" s="97" t="inlineStr">
        <is>
          <t>P</t>
        </is>
      </c>
      <c r="C86" s="97" t="inlineStr">
        <is>
          <t>1-34 Bulan</t>
        </is>
      </c>
      <c r="D86" s="97" t="n">
        <v>9.5</v>
      </c>
      <c r="E86" s="97" t="n">
        <v>76</v>
      </c>
      <c r="F86" s="97" t="inlineStr">
        <is>
          <t>Normal</t>
        </is>
      </c>
      <c r="G86" s="97" t="inlineStr">
        <is>
          <t>Pendek</t>
        </is>
      </c>
      <c r="H86" s="106" t="inlineStr">
        <is>
          <t>Gizi Baik</t>
        </is>
      </c>
      <c r="I86" s="97" t="inlineStr">
        <is>
          <t>Ya</t>
        </is>
      </c>
      <c r="J86" s="97" t="inlineStr">
        <is>
          <t>Potensi Stunting</t>
        </is>
      </c>
      <c r="K86" s="107" t="n"/>
    </row>
    <row r="87" ht="15.75" customHeight="1" s="95">
      <c r="A87" s="97" t="inlineStr">
        <is>
          <t>anonymus0086</t>
        </is>
      </c>
      <c r="B87" s="97" t="inlineStr">
        <is>
          <t>L</t>
        </is>
      </c>
      <c r="C87" s="97" t="inlineStr">
        <is>
          <t>35-69 Bulan</t>
        </is>
      </c>
      <c r="D87" s="97" t="n">
        <v>12</v>
      </c>
      <c r="E87" s="97" t="n">
        <v>95</v>
      </c>
      <c r="F87" s="97" t="inlineStr">
        <is>
          <t>Kurang</t>
        </is>
      </c>
      <c r="G87" s="97" t="inlineStr">
        <is>
          <t>Pendek</t>
        </is>
      </c>
      <c r="H87" s="106" t="inlineStr">
        <is>
          <t>Gizi Kurang</t>
        </is>
      </c>
      <c r="I87" s="97" t="inlineStr">
        <is>
          <t>Ya</t>
        </is>
      </c>
      <c r="J87" s="97" t="inlineStr">
        <is>
          <t>Potensi Stunting</t>
        </is>
      </c>
      <c r="K87" s="107" t="n"/>
    </row>
    <row r="88" ht="15.75" customHeight="1" s="95">
      <c r="A88" s="97" t="inlineStr">
        <is>
          <t>anonymus0087</t>
        </is>
      </c>
      <c r="B88" s="97" t="inlineStr">
        <is>
          <t>L</t>
        </is>
      </c>
      <c r="C88" s="97" t="inlineStr">
        <is>
          <t>35-69 Bulan</t>
        </is>
      </c>
      <c r="D88" s="97" t="inlineStr">
        <is>
          <t>17.5</t>
        </is>
      </c>
      <c r="E88" s="97" t="n">
        <v>110</v>
      </c>
      <c r="F88" s="97" t="inlineStr">
        <is>
          <t>Normal</t>
        </is>
      </c>
      <c r="G88" s="97" t="inlineStr">
        <is>
          <t>Normal</t>
        </is>
      </c>
      <c r="H88" s="106" t="inlineStr">
        <is>
          <t>Gizi Baik</t>
        </is>
      </c>
      <c r="I88" s="97" t="inlineStr">
        <is>
          <t>Ya</t>
        </is>
      </c>
      <c r="J88" s="97" t="inlineStr">
        <is>
          <t>Tidak</t>
        </is>
      </c>
      <c r="K88" s="107" t="n"/>
    </row>
    <row r="89" ht="15.75" customHeight="1" s="95">
      <c r="A89" s="97" t="inlineStr">
        <is>
          <t>anonymus0088</t>
        </is>
      </c>
      <c r="B89" s="97" t="inlineStr">
        <is>
          <t>P</t>
        </is>
      </c>
      <c r="C89" s="97" t="inlineStr">
        <is>
          <t>1-34 Bulan</t>
        </is>
      </c>
      <c r="D89" s="97" t="n">
        <v>10.6</v>
      </c>
      <c r="E89" s="97" t="n">
        <v>84</v>
      </c>
      <c r="F89" s="97" t="inlineStr">
        <is>
          <t>Normal</t>
        </is>
      </c>
      <c r="G89" s="97" t="inlineStr">
        <is>
          <t>Normal</t>
        </is>
      </c>
      <c r="H89" s="106" t="inlineStr">
        <is>
          <t>Gizi Baik</t>
        </is>
      </c>
      <c r="I89" s="97" t="inlineStr">
        <is>
          <t>Ya</t>
        </is>
      </c>
      <c r="J89" s="97" t="inlineStr">
        <is>
          <t>Tidak</t>
        </is>
      </c>
      <c r="K89" s="107" t="n"/>
    </row>
    <row r="90" ht="15.75" customHeight="1" s="95">
      <c r="A90" s="97" t="inlineStr">
        <is>
          <t>anonymus0089</t>
        </is>
      </c>
      <c r="B90" s="97" t="inlineStr">
        <is>
          <t>L</t>
        </is>
      </c>
      <c r="C90" s="97" t="inlineStr">
        <is>
          <t>35-69 Bulan</t>
        </is>
      </c>
      <c r="D90" s="97" t="n">
        <v>10.4</v>
      </c>
      <c r="E90" s="97" t="n">
        <v>102</v>
      </c>
      <c r="F90" s="97" t="inlineStr">
        <is>
          <t>Normal</t>
        </is>
      </c>
      <c r="G90" s="97" t="inlineStr">
        <is>
          <t>Normal</t>
        </is>
      </c>
      <c r="H90" s="106" t="inlineStr">
        <is>
          <t>Gizi Baik</t>
        </is>
      </c>
      <c r="I90" s="97" t="inlineStr">
        <is>
          <t>Ya</t>
        </is>
      </c>
      <c r="J90" s="97" t="inlineStr">
        <is>
          <t>Tidak</t>
        </is>
      </c>
      <c r="K90" s="107" t="n"/>
    </row>
    <row r="91" ht="15.75" customHeight="1" s="95">
      <c r="A91" s="97" t="inlineStr">
        <is>
          <t>anonymus0090</t>
        </is>
      </c>
      <c r="B91" s="97" t="inlineStr">
        <is>
          <t>L</t>
        </is>
      </c>
      <c r="C91" s="97" t="inlineStr">
        <is>
          <t>1-34 Bulan</t>
        </is>
      </c>
      <c r="D91" s="97" t="n">
        <v>8.1</v>
      </c>
      <c r="E91" s="97" t="n">
        <v>77</v>
      </c>
      <c r="F91" s="97" t="inlineStr">
        <is>
          <t>Normal</t>
        </is>
      </c>
      <c r="G91" s="97" t="inlineStr">
        <is>
          <t>Normal</t>
        </is>
      </c>
      <c r="H91" s="106" t="inlineStr">
        <is>
          <t>Gizi Kurang</t>
        </is>
      </c>
      <c r="I91" s="97" t="inlineStr">
        <is>
          <t>Ya</t>
        </is>
      </c>
      <c r="J91" s="97" t="inlineStr">
        <is>
          <t>Tidak</t>
        </is>
      </c>
      <c r="K91" s="107" t="n"/>
    </row>
    <row r="92" ht="15.75" customHeight="1" s="95">
      <c r="A92" s="97" t="inlineStr">
        <is>
          <t>anonymus0091</t>
        </is>
      </c>
      <c r="B92" s="97" t="inlineStr">
        <is>
          <t>P</t>
        </is>
      </c>
      <c r="C92" s="97" t="inlineStr">
        <is>
          <t>1-34 Bulan</t>
        </is>
      </c>
      <c r="D92" s="97" t="n">
        <v>6.9</v>
      </c>
      <c r="E92" s="97" t="n">
        <v>70</v>
      </c>
      <c r="F92" s="97" t="inlineStr">
        <is>
          <t>Sangat Kurang</t>
        </is>
      </c>
      <c r="G92" s="97" t="inlineStr">
        <is>
          <t>Sangat Pendek</t>
        </is>
      </c>
      <c r="H92" s="106" t="inlineStr">
        <is>
          <t>Gizi Baik</t>
        </is>
      </c>
      <c r="I92" s="97" t="inlineStr">
        <is>
          <t>Ya</t>
        </is>
      </c>
      <c r="J92" s="97" t="inlineStr">
        <is>
          <t>Stunting</t>
        </is>
      </c>
      <c r="K92" s="107" t="n"/>
    </row>
    <row r="93" ht="15.75" customHeight="1" s="95">
      <c r="A93" s="97" t="inlineStr">
        <is>
          <t>anonymus0092</t>
        </is>
      </c>
      <c r="B93" s="97" t="inlineStr">
        <is>
          <t>L</t>
        </is>
      </c>
      <c r="C93" s="97" t="inlineStr">
        <is>
          <t>1-34 Bulan</t>
        </is>
      </c>
      <c r="D93" s="97" t="n">
        <v>7.4</v>
      </c>
      <c r="E93" s="97" t="n">
        <v>95</v>
      </c>
      <c r="F93" s="97" t="inlineStr">
        <is>
          <t>Kurang</t>
        </is>
      </c>
      <c r="G93" s="97" t="inlineStr">
        <is>
          <t>Normal</t>
        </is>
      </c>
      <c r="H93" s="106" t="inlineStr">
        <is>
          <t>Gizi Kurang</t>
        </is>
      </c>
      <c r="I93" s="97" t="inlineStr">
        <is>
          <t>Ya</t>
        </is>
      </c>
      <c r="J93" s="97" t="inlineStr">
        <is>
          <t>Tidak</t>
        </is>
      </c>
      <c r="K93" s="107" t="n"/>
    </row>
    <row r="94" ht="15.75" customHeight="1" s="95">
      <c r="A94" s="97" t="inlineStr">
        <is>
          <t>anonymus0093</t>
        </is>
      </c>
      <c r="B94" s="97" t="inlineStr">
        <is>
          <t>P</t>
        </is>
      </c>
      <c r="C94" s="97" t="inlineStr">
        <is>
          <t>1-34 Bulan</t>
        </is>
      </c>
      <c r="D94" s="97" t="n">
        <v>11.35</v>
      </c>
      <c r="E94" s="97" t="n">
        <v>94</v>
      </c>
      <c r="F94" s="97" t="inlineStr">
        <is>
          <t>Normal</t>
        </is>
      </c>
      <c r="G94" s="97" t="inlineStr">
        <is>
          <t>Normal</t>
        </is>
      </c>
      <c r="H94" s="106" t="inlineStr">
        <is>
          <t>Gizi Kurang</t>
        </is>
      </c>
      <c r="I94" s="97" t="inlineStr">
        <is>
          <t>Ya</t>
        </is>
      </c>
      <c r="J94" s="97" t="inlineStr">
        <is>
          <t>Tidak</t>
        </is>
      </c>
      <c r="K94" s="107" t="n"/>
    </row>
    <row r="95" ht="15.75" customHeight="1" s="95">
      <c r="A95" s="97" t="inlineStr">
        <is>
          <t>anonymus0094</t>
        </is>
      </c>
      <c r="B95" s="97" t="inlineStr">
        <is>
          <t>L</t>
        </is>
      </c>
      <c r="C95" s="97" t="inlineStr">
        <is>
          <t>1-34 Bulan</t>
        </is>
      </c>
      <c r="D95" s="97" t="n">
        <v>8</v>
      </c>
      <c r="E95" s="97" t="n">
        <v>69</v>
      </c>
      <c r="F95" s="97" t="inlineStr">
        <is>
          <t>Normal</t>
        </is>
      </c>
      <c r="G95" s="97" t="inlineStr">
        <is>
          <t>Pendek</t>
        </is>
      </c>
      <c r="H95" s="106" t="inlineStr">
        <is>
          <t>Gizi Baik</t>
        </is>
      </c>
      <c r="I95" s="97" t="inlineStr">
        <is>
          <t>Ya</t>
        </is>
      </c>
      <c r="J95" s="97" t="inlineStr">
        <is>
          <t>Potensi Stunting</t>
        </is>
      </c>
      <c r="K95" s="107" t="n"/>
    </row>
    <row r="96" ht="15.75" customHeight="1" s="95">
      <c r="A96" s="97" t="inlineStr">
        <is>
          <t>anonymus0095</t>
        </is>
      </c>
      <c r="B96" s="97" t="inlineStr">
        <is>
          <t>L</t>
        </is>
      </c>
      <c r="C96" s="97" t="inlineStr">
        <is>
          <t>1-34 Bulan</t>
        </is>
      </c>
      <c r="D96" s="97" t="inlineStr">
        <is>
          <t>11.6</t>
        </is>
      </c>
      <c r="E96" s="97" t="n">
        <v>86</v>
      </c>
      <c r="F96" s="97" t="inlineStr">
        <is>
          <t>Normal</t>
        </is>
      </c>
      <c r="G96" s="97" t="inlineStr">
        <is>
          <t>Normal</t>
        </is>
      </c>
      <c r="H96" s="106" t="inlineStr">
        <is>
          <t>Gizi Baik</t>
        </is>
      </c>
      <c r="I96" s="97" t="inlineStr">
        <is>
          <t>Ya</t>
        </is>
      </c>
      <c r="J96" s="97" t="inlineStr">
        <is>
          <t>Tidak</t>
        </is>
      </c>
      <c r="K96" s="107" t="n"/>
    </row>
    <row r="97" ht="15.75" customHeight="1" s="95">
      <c r="A97" s="97" t="inlineStr">
        <is>
          <t>anonymus0096</t>
        </is>
      </c>
      <c r="B97" s="97" t="inlineStr">
        <is>
          <t>L</t>
        </is>
      </c>
      <c r="C97" s="97" t="inlineStr">
        <is>
          <t>35-69 Bulan</t>
        </is>
      </c>
      <c r="D97" s="97" t="n">
        <v>12</v>
      </c>
      <c r="E97" s="97" t="n">
        <v>88</v>
      </c>
      <c r="F97" s="97" t="inlineStr">
        <is>
          <t>Normal</t>
        </is>
      </c>
      <c r="G97" s="97" t="inlineStr">
        <is>
          <t>Normal</t>
        </is>
      </c>
      <c r="H97" s="106" t="inlineStr">
        <is>
          <t>Gizi Baik</t>
        </is>
      </c>
      <c r="I97" s="97" t="inlineStr">
        <is>
          <t>Ya</t>
        </is>
      </c>
      <c r="J97" s="97" t="inlineStr">
        <is>
          <t>Tidak</t>
        </is>
      </c>
      <c r="K97" s="107" t="n"/>
    </row>
    <row r="98" ht="15.75" customHeight="1" s="95">
      <c r="A98" s="97" t="inlineStr">
        <is>
          <t>anonymus0097</t>
        </is>
      </c>
      <c r="B98" s="97" t="inlineStr">
        <is>
          <t>L</t>
        </is>
      </c>
      <c r="C98" s="97" t="inlineStr">
        <is>
          <t>35-69 Bulan</t>
        </is>
      </c>
      <c r="D98" s="97" t="n">
        <v>10.5</v>
      </c>
      <c r="E98" s="97" t="n">
        <v>88.8</v>
      </c>
      <c r="F98" s="97" t="inlineStr">
        <is>
          <t>Sangat Kurang</t>
        </is>
      </c>
      <c r="G98" s="97" t="inlineStr">
        <is>
          <t>Sangat Pendek</t>
        </is>
      </c>
      <c r="H98" s="106" t="inlineStr">
        <is>
          <t>Gizi Kurang</t>
        </is>
      </c>
      <c r="I98" s="97" t="inlineStr">
        <is>
          <t>Ya</t>
        </is>
      </c>
      <c r="J98" s="97" t="inlineStr">
        <is>
          <t>Stunting</t>
        </is>
      </c>
      <c r="K98" s="107" t="n"/>
    </row>
    <row r="99" ht="15.75" customHeight="1" s="95">
      <c r="A99" s="97" t="inlineStr">
        <is>
          <t>anonymus0098</t>
        </is>
      </c>
      <c r="B99" s="97" t="inlineStr">
        <is>
          <t>P</t>
        </is>
      </c>
      <c r="C99" s="97" t="inlineStr">
        <is>
          <t>1-34 Bulan</t>
        </is>
      </c>
      <c r="D99" s="97" t="n">
        <v>9.300000000000001</v>
      </c>
      <c r="E99" s="97" t="n">
        <v>76</v>
      </c>
      <c r="F99" s="97" t="inlineStr">
        <is>
          <t>Normal</t>
        </is>
      </c>
      <c r="G99" s="97" t="inlineStr">
        <is>
          <t>Normal</t>
        </is>
      </c>
      <c r="H99" s="106" t="inlineStr">
        <is>
          <t>Gizi Baik</t>
        </is>
      </c>
      <c r="I99" s="97" t="inlineStr">
        <is>
          <t>Ya</t>
        </is>
      </c>
      <c r="J99" s="97" t="inlineStr">
        <is>
          <t>Tidak</t>
        </is>
      </c>
      <c r="K99" s="107" t="n"/>
    </row>
    <row r="100" ht="15.75" customHeight="1" s="95">
      <c r="A100" s="97" t="inlineStr">
        <is>
          <t>anonymus0099</t>
        </is>
      </c>
      <c r="B100" s="97" t="inlineStr">
        <is>
          <t>L</t>
        </is>
      </c>
      <c r="C100" s="97" t="inlineStr">
        <is>
          <t>35-69 Bulan</t>
        </is>
      </c>
      <c r="D100" s="97" t="n">
        <v>18.7</v>
      </c>
      <c r="E100" s="97" t="n">
        <v>100</v>
      </c>
      <c r="F100" s="97" t="inlineStr">
        <is>
          <t>Risiko Lebih</t>
        </is>
      </c>
      <c r="G100" s="97" t="inlineStr">
        <is>
          <t>Normal</t>
        </is>
      </c>
      <c r="H100" s="106" t="inlineStr">
        <is>
          <t>Gizi Lebih</t>
        </is>
      </c>
      <c r="I100" s="97" t="inlineStr">
        <is>
          <t>Ya</t>
        </is>
      </c>
      <c r="J100" s="97" t="inlineStr">
        <is>
          <t>Tidak</t>
        </is>
      </c>
      <c r="K100" s="107" t="n"/>
    </row>
    <row r="101" ht="15.75" customHeight="1" s="95">
      <c r="A101" s="97" t="inlineStr">
        <is>
          <t>anonymus0100</t>
        </is>
      </c>
      <c r="B101" s="97" t="inlineStr">
        <is>
          <t>P</t>
        </is>
      </c>
      <c r="C101" s="97" t="inlineStr">
        <is>
          <t>35-69 Bulan</t>
        </is>
      </c>
      <c r="D101" s="97" t="inlineStr">
        <is>
          <t>14.6</t>
        </is>
      </c>
      <c r="E101" s="97" t="n">
        <v>100</v>
      </c>
      <c r="F101" s="97" t="inlineStr">
        <is>
          <t>Normal</t>
        </is>
      </c>
      <c r="G101" s="97" t="inlineStr">
        <is>
          <t>Normal</t>
        </is>
      </c>
      <c r="H101" s="106" t="inlineStr">
        <is>
          <t>Gizi Baik</t>
        </is>
      </c>
      <c r="I101" s="97" t="inlineStr">
        <is>
          <t>Ya</t>
        </is>
      </c>
      <c r="J101" s="97" t="inlineStr">
        <is>
          <t>Tidak</t>
        </is>
      </c>
      <c r="K101" s="107" t="n"/>
    </row>
    <row r="102" ht="15.75" customHeight="1" s="95">
      <c r="A102" s="97" t="inlineStr">
        <is>
          <t>anonymus0101</t>
        </is>
      </c>
      <c r="B102" s="97" t="inlineStr">
        <is>
          <t>L</t>
        </is>
      </c>
      <c r="C102" s="97" t="inlineStr">
        <is>
          <t>1-34 Bulan</t>
        </is>
      </c>
      <c r="D102" s="97" t="n">
        <v>8.9</v>
      </c>
      <c r="E102" s="97" t="n">
        <v>94</v>
      </c>
      <c r="F102" s="97" t="inlineStr">
        <is>
          <t>Kurang</t>
        </is>
      </c>
      <c r="G102" s="97" t="inlineStr">
        <is>
          <t>Normal</t>
        </is>
      </c>
      <c r="H102" s="106" t="inlineStr">
        <is>
          <t>Gizi Kurang</t>
        </is>
      </c>
      <c r="I102" s="97" t="inlineStr">
        <is>
          <t>Ya</t>
        </is>
      </c>
      <c r="J102" s="97" t="inlineStr">
        <is>
          <t>Potensi Stunting</t>
        </is>
      </c>
      <c r="K102" s="107" t="n"/>
    </row>
    <row r="103" ht="15.75" customHeight="1" s="95">
      <c r="A103" s="97" t="inlineStr">
        <is>
          <t>anonymus0102</t>
        </is>
      </c>
      <c r="B103" s="97" t="inlineStr">
        <is>
          <t>L</t>
        </is>
      </c>
      <c r="C103" s="97" t="inlineStr">
        <is>
          <t>35-69 Bulan</t>
        </is>
      </c>
      <c r="D103" s="97" t="n">
        <v>11.7</v>
      </c>
      <c r="E103" s="97" t="n">
        <v>103</v>
      </c>
      <c r="F103" s="97" t="inlineStr">
        <is>
          <t>Normal</t>
        </is>
      </c>
      <c r="G103" s="97" t="inlineStr">
        <is>
          <t>Normal</t>
        </is>
      </c>
      <c r="H103" s="106" t="inlineStr">
        <is>
          <t>Gizi Baik</t>
        </is>
      </c>
      <c r="I103" s="97" t="inlineStr">
        <is>
          <t>Ya</t>
        </is>
      </c>
      <c r="J103" s="97" t="inlineStr">
        <is>
          <t>Tidak</t>
        </is>
      </c>
      <c r="K103" s="107" t="n"/>
    </row>
    <row r="104" ht="15.75" customHeight="1" s="95">
      <c r="A104" s="97" t="inlineStr">
        <is>
          <t>anonymus0103</t>
        </is>
      </c>
      <c r="B104" s="97" t="inlineStr">
        <is>
          <t>P</t>
        </is>
      </c>
      <c r="C104" s="97" t="inlineStr">
        <is>
          <t>35-69 Bulan</t>
        </is>
      </c>
      <c r="D104" s="97" t="inlineStr">
        <is>
          <t>14.3</t>
        </is>
      </c>
      <c r="E104" s="97" t="n">
        <v>95</v>
      </c>
      <c r="F104" s="97" t="inlineStr">
        <is>
          <t>Normal</t>
        </is>
      </c>
      <c r="G104" s="97" t="inlineStr">
        <is>
          <t>Normal</t>
        </is>
      </c>
      <c r="H104" s="106" t="inlineStr">
        <is>
          <t>Gizi Baik</t>
        </is>
      </c>
      <c r="I104" s="97" t="inlineStr">
        <is>
          <t>Ya</t>
        </is>
      </c>
      <c r="J104" s="97" t="inlineStr">
        <is>
          <t>Tidak</t>
        </is>
      </c>
      <c r="K104" s="107" t="n"/>
    </row>
    <row r="105" ht="15.75" customHeight="1" s="95">
      <c r="A105" s="97" t="inlineStr">
        <is>
          <t>anonymus0104</t>
        </is>
      </c>
      <c r="B105" s="97" t="inlineStr">
        <is>
          <t>P</t>
        </is>
      </c>
      <c r="C105" s="97" t="inlineStr">
        <is>
          <t>1-34 Bulan</t>
        </is>
      </c>
      <c r="D105" s="97" t="inlineStr">
        <is>
          <t>5.5</t>
        </is>
      </c>
      <c r="E105" s="97" t="n">
        <v>55</v>
      </c>
      <c r="F105" s="97" t="inlineStr">
        <is>
          <t>Risiko Lebih</t>
        </is>
      </c>
      <c r="G105" s="97" t="inlineStr">
        <is>
          <t>Pendek</t>
        </is>
      </c>
      <c r="H105" s="106" t="inlineStr">
        <is>
          <t>Gizi Lebih</t>
        </is>
      </c>
      <c r="I105" s="97" t="inlineStr">
        <is>
          <t>Tidak</t>
        </is>
      </c>
      <c r="J105" s="97" t="inlineStr">
        <is>
          <t>Potensi Stunting</t>
        </is>
      </c>
      <c r="K105" s="107" t="n"/>
    </row>
    <row r="106" ht="15.75" customHeight="1" s="95">
      <c r="A106" s="97" t="inlineStr">
        <is>
          <t>anonymus0105</t>
        </is>
      </c>
      <c r="B106" s="97" t="inlineStr">
        <is>
          <t>P</t>
        </is>
      </c>
      <c r="C106" s="97" t="inlineStr">
        <is>
          <t>35-69 Bulan</t>
        </is>
      </c>
      <c r="D106" s="97" t="inlineStr">
        <is>
          <t>13.6</t>
        </is>
      </c>
      <c r="E106" s="97" t="n">
        <v>94</v>
      </c>
      <c r="F106" s="97" t="inlineStr">
        <is>
          <t>Risiko Lebih</t>
        </is>
      </c>
      <c r="G106" s="97" t="inlineStr">
        <is>
          <t>Normal</t>
        </is>
      </c>
      <c r="H106" s="106" t="inlineStr">
        <is>
          <t>Gizi Baik</t>
        </is>
      </c>
      <c r="I106" s="97" t="inlineStr">
        <is>
          <t>Ya</t>
        </is>
      </c>
      <c r="J106" s="97" t="inlineStr">
        <is>
          <t>Tidak</t>
        </is>
      </c>
      <c r="K106" s="107" t="n"/>
    </row>
    <row r="107" ht="15.75" customHeight="1" s="95">
      <c r="A107" s="97" t="inlineStr">
        <is>
          <t>anonymus0106</t>
        </is>
      </c>
      <c r="B107" s="97" t="inlineStr">
        <is>
          <t>L</t>
        </is>
      </c>
      <c r="C107" s="97" t="inlineStr">
        <is>
          <t>1-34 Bulan</t>
        </is>
      </c>
      <c r="D107" s="97" t="n">
        <v>7.9</v>
      </c>
      <c r="E107" s="97" t="n">
        <v>76.40000000000001</v>
      </c>
      <c r="F107" s="97" t="inlineStr">
        <is>
          <t>Kurang</t>
        </is>
      </c>
      <c r="G107" s="97" t="inlineStr">
        <is>
          <t>Normal</t>
        </is>
      </c>
      <c r="H107" s="106" t="inlineStr">
        <is>
          <t>Gizi Kurang</t>
        </is>
      </c>
      <c r="I107" s="97" t="inlineStr">
        <is>
          <t>Ya</t>
        </is>
      </c>
      <c r="J107" s="97" t="inlineStr">
        <is>
          <t>Tidak</t>
        </is>
      </c>
      <c r="K107" s="107" t="n"/>
    </row>
    <row r="108" ht="15.75" customHeight="1" s="95">
      <c r="A108" s="97" t="inlineStr">
        <is>
          <t>anonymus0107</t>
        </is>
      </c>
      <c r="B108" s="97" t="inlineStr">
        <is>
          <t>P</t>
        </is>
      </c>
      <c r="C108" s="97" t="inlineStr">
        <is>
          <t>1-34 Bulan</t>
        </is>
      </c>
      <c r="D108" s="97" t="inlineStr">
        <is>
          <t>10.3</t>
        </is>
      </c>
      <c r="E108" s="97" t="n">
        <v>84</v>
      </c>
      <c r="F108" s="97" t="inlineStr">
        <is>
          <t>Normal</t>
        </is>
      </c>
      <c r="G108" s="97" t="inlineStr">
        <is>
          <t>Pendek</t>
        </is>
      </c>
      <c r="H108" s="106" t="inlineStr">
        <is>
          <t>Gizi Baik</t>
        </is>
      </c>
      <c r="I108" s="97" t="inlineStr">
        <is>
          <t>Ya</t>
        </is>
      </c>
      <c r="J108" s="97" t="inlineStr">
        <is>
          <t>Potensi Stunting</t>
        </is>
      </c>
      <c r="K108" s="107" t="n"/>
    </row>
    <row r="109" ht="15.75" customHeight="1" s="95">
      <c r="A109" s="97" t="inlineStr">
        <is>
          <t>anonymus0108</t>
        </is>
      </c>
      <c r="B109" s="97" t="inlineStr">
        <is>
          <t>P</t>
        </is>
      </c>
      <c r="C109" s="97" t="inlineStr">
        <is>
          <t>1-34 Bulan</t>
        </is>
      </c>
      <c r="D109" s="97" t="n">
        <v>7.8</v>
      </c>
      <c r="E109" s="97" t="n">
        <v>72</v>
      </c>
      <c r="F109" s="97" t="inlineStr">
        <is>
          <t>Normal</t>
        </is>
      </c>
      <c r="G109" s="97" t="inlineStr">
        <is>
          <t>Pendek</t>
        </is>
      </c>
      <c r="H109" s="106" t="inlineStr">
        <is>
          <t>Gizi Baik</t>
        </is>
      </c>
      <c r="I109" s="97" t="inlineStr">
        <is>
          <t>Ya</t>
        </is>
      </c>
      <c r="J109" s="97" t="inlineStr">
        <is>
          <t>Potensi Stunting</t>
        </is>
      </c>
      <c r="K109" s="107" t="n"/>
    </row>
    <row r="110" ht="15.75" customHeight="1" s="95">
      <c r="A110" s="97" t="inlineStr">
        <is>
          <t>anonymus0109</t>
        </is>
      </c>
      <c r="B110" s="97" t="inlineStr">
        <is>
          <t>P</t>
        </is>
      </c>
      <c r="C110" s="97" t="inlineStr">
        <is>
          <t>1-34 Bulan</t>
        </is>
      </c>
      <c r="D110" s="97" t="inlineStr">
        <is>
          <t>12.9</t>
        </is>
      </c>
      <c r="E110" s="97" t="n">
        <v>91</v>
      </c>
      <c r="F110" s="97" t="inlineStr">
        <is>
          <t>Normal</t>
        </is>
      </c>
      <c r="G110" s="97" t="inlineStr">
        <is>
          <t>Normal</t>
        </is>
      </c>
      <c r="H110" s="106" t="inlineStr">
        <is>
          <t>Gizi Baik</t>
        </is>
      </c>
      <c r="I110" s="97" t="inlineStr">
        <is>
          <t>Ya</t>
        </is>
      </c>
      <c r="J110" s="97" t="inlineStr">
        <is>
          <t>Tidak</t>
        </is>
      </c>
      <c r="K110" s="107" t="n"/>
    </row>
    <row r="111" ht="15.75" customHeight="1" s="95">
      <c r="A111" s="97" t="inlineStr">
        <is>
          <t>anonymus0110</t>
        </is>
      </c>
      <c r="B111" s="97" t="inlineStr">
        <is>
          <t>L</t>
        </is>
      </c>
      <c r="C111" s="97" t="inlineStr">
        <is>
          <t>1-34 Bulan</t>
        </is>
      </c>
      <c r="D111" s="97" t="n">
        <v>10.3</v>
      </c>
      <c r="E111" s="97" t="n">
        <v>88</v>
      </c>
      <c r="F111" s="97" t="inlineStr">
        <is>
          <t>Kurang</t>
        </is>
      </c>
      <c r="G111" s="97" t="inlineStr">
        <is>
          <t>Normal</t>
        </is>
      </c>
      <c r="H111" s="106" t="inlineStr">
        <is>
          <t>Gizi Kurang</t>
        </is>
      </c>
      <c r="I111" s="97" t="inlineStr">
        <is>
          <t>Ya</t>
        </is>
      </c>
      <c r="J111" s="97" t="inlineStr">
        <is>
          <t>Tidak</t>
        </is>
      </c>
      <c r="K111" s="107" t="n"/>
    </row>
    <row r="112" ht="15.75" customHeight="1" s="95">
      <c r="A112" s="97" t="inlineStr">
        <is>
          <t>anonymus0111</t>
        </is>
      </c>
      <c r="B112" s="97" t="inlineStr">
        <is>
          <t>P</t>
        </is>
      </c>
      <c r="C112" s="97" t="inlineStr">
        <is>
          <t>35-69 Bulan</t>
        </is>
      </c>
      <c r="D112" s="97" t="n">
        <v>8</v>
      </c>
      <c r="E112" s="97" t="n">
        <v>78.2</v>
      </c>
      <c r="F112" s="97" t="inlineStr">
        <is>
          <t>Sangat Kurang</t>
        </is>
      </c>
      <c r="G112" s="97" t="inlineStr">
        <is>
          <t>Sangat Pendek</t>
        </is>
      </c>
      <c r="H112" s="106" t="inlineStr">
        <is>
          <t>Gizi Kurang</t>
        </is>
      </c>
      <c r="I112" s="97" t="inlineStr">
        <is>
          <t>Ya</t>
        </is>
      </c>
      <c r="J112" s="97" t="inlineStr">
        <is>
          <t>Stunting</t>
        </is>
      </c>
      <c r="K112" s="107" t="n"/>
    </row>
    <row r="113" ht="15.75" customHeight="1" s="95">
      <c r="A113" s="97" t="inlineStr">
        <is>
          <t>anonymus0112</t>
        </is>
      </c>
      <c r="B113" s="97" t="inlineStr">
        <is>
          <t>P</t>
        </is>
      </c>
      <c r="C113" s="97" t="inlineStr">
        <is>
          <t>1-34 Bulan</t>
        </is>
      </c>
      <c r="D113" s="97" t="n">
        <v>8</v>
      </c>
      <c r="E113" s="97" t="n">
        <v>69</v>
      </c>
      <c r="F113" s="97" t="inlineStr">
        <is>
          <t>Normal</t>
        </is>
      </c>
      <c r="G113" s="97" t="inlineStr">
        <is>
          <t>Normal</t>
        </is>
      </c>
      <c r="H113" s="106" t="inlineStr">
        <is>
          <t>Gizi Baik</t>
        </is>
      </c>
      <c r="I113" s="97" t="inlineStr">
        <is>
          <t>Ya</t>
        </is>
      </c>
      <c r="J113" s="97" t="inlineStr">
        <is>
          <t>Tidak</t>
        </is>
      </c>
      <c r="K113" s="107" t="n"/>
    </row>
    <row r="114" ht="15.75" customHeight="1" s="95">
      <c r="A114" s="97" t="inlineStr">
        <is>
          <t>anonymus0113</t>
        </is>
      </c>
      <c r="B114" s="97" t="inlineStr">
        <is>
          <t>L</t>
        </is>
      </c>
      <c r="C114" s="97" t="inlineStr">
        <is>
          <t>35-69 Bulan</t>
        </is>
      </c>
      <c r="D114" s="97" t="n">
        <v>13.1</v>
      </c>
      <c r="E114" s="97" t="n">
        <v>110</v>
      </c>
      <c r="F114" s="97" t="inlineStr">
        <is>
          <t>Normal</t>
        </is>
      </c>
      <c r="G114" s="97" t="inlineStr">
        <is>
          <t>Normal</t>
        </is>
      </c>
      <c r="H114" s="106" t="inlineStr">
        <is>
          <t>Gizi Baik</t>
        </is>
      </c>
      <c r="I114" s="97" t="inlineStr">
        <is>
          <t>Ya</t>
        </is>
      </c>
      <c r="J114" s="97" t="inlineStr">
        <is>
          <t>Tidak</t>
        </is>
      </c>
      <c r="K114" s="107" t="n"/>
    </row>
    <row r="115" ht="15.75" customHeight="1" s="95">
      <c r="A115" s="97" t="inlineStr">
        <is>
          <t>anonymus0114</t>
        </is>
      </c>
      <c r="B115" s="97" t="inlineStr">
        <is>
          <t>P</t>
        </is>
      </c>
      <c r="C115" s="97" t="inlineStr">
        <is>
          <t>35-69 Bulan</t>
        </is>
      </c>
      <c r="D115" s="97" t="inlineStr">
        <is>
          <t>13.7</t>
        </is>
      </c>
      <c r="E115" s="97" t="n">
        <v>101</v>
      </c>
      <c r="F115" s="97" t="inlineStr">
        <is>
          <t>Normal</t>
        </is>
      </c>
      <c r="G115" s="97" t="inlineStr">
        <is>
          <t>Normal</t>
        </is>
      </c>
      <c r="H115" s="106" t="inlineStr">
        <is>
          <t>Gizi Baik</t>
        </is>
      </c>
      <c r="I115" s="97" t="inlineStr">
        <is>
          <t>Ya</t>
        </is>
      </c>
      <c r="J115" s="97" t="inlineStr">
        <is>
          <t>Tidak</t>
        </is>
      </c>
      <c r="K115" s="107" t="n"/>
    </row>
    <row r="116" ht="15.75" customHeight="1" s="95">
      <c r="A116" s="97" t="inlineStr">
        <is>
          <t>anonymus0115</t>
        </is>
      </c>
      <c r="B116" s="97" t="inlineStr">
        <is>
          <t>L</t>
        </is>
      </c>
      <c r="C116" s="97" t="inlineStr">
        <is>
          <t>35-69 Bulan</t>
        </is>
      </c>
      <c r="D116" s="97" t="n">
        <v>12.5</v>
      </c>
      <c r="E116" s="97" t="n">
        <v>85</v>
      </c>
      <c r="F116" s="97" t="inlineStr">
        <is>
          <t>Normal</t>
        </is>
      </c>
      <c r="G116" s="97" t="inlineStr">
        <is>
          <t>Pendek</t>
        </is>
      </c>
      <c r="H116" s="106" t="inlineStr">
        <is>
          <t>Gizi Baik</t>
        </is>
      </c>
      <c r="I116" s="97" t="inlineStr">
        <is>
          <t>Ya</t>
        </is>
      </c>
      <c r="J116" s="97" t="inlineStr">
        <is>
          <t>Potensi Stunting</t>
        </is>
      </c>
      <c r="K116" s="107" t="n"/>
    </row>
    <row r="117" ht="15.75" customHeight="1" s="95">
      <c r="A117" s="97" t="inlineStr">
        <is>
          <t>anonymus0116</t>
        </is>
      </c>
      <c r="B117" s="97" t="inlineStr">
        <is>
          <t>L</t>
        </is>
      </c>
      <c r="C117" s="97" t="inlineStr">
        <is>
          <t>1-34 Bulan</t>
        </is>
      </c>
      <c r="D117" s="97" t="inlineStr">
        <is>
          <t>6.9</t>
        </is>
      </c>
      <c r="E117" s="97" t="n">
        <v>69</v>
      </c>
      <c r="F117" s="97" t="inlineStr">
        <is>
          <t>Kurang</t>
        </is>
      </c>
      <c r="G117" s="97" t="inlineStr">
        <is>
          <t>Pendek</t>
        </is>
      </c>
      <c r="H117" s="106" t="inlineStr">
        <is>
          <t>Gizi Kurang</t>
        </is>
      </c>
      <c r="I117" s="97" t="inlineStr">
        <is>
          <t>Ya</t>
        </is>
      </c>
      <c r="J117" s="97" t="inlineStr">
        <is>
          <t>Potensi Stunting</t>
        </is>
      </c>
      <c r="K117" s="107" t="n"/>
    </row>
    <row r="118" ht="15.75" customHeight="1" s="95">
      <c r="A118" s="97" t="inlineStr">
        <is>
          <t>anonymus0117</t>
        </is>
      </c>
      <c r="B118" s="97" t="inlineStr">
        <is>
          <t>L</t>
        </is>
      </c>
      <c r="C118" s="97" t="inlineStr">
        <is>
          <t>1-34 Bulan</t>
        </is>
      </c>
      <c r="D118" s="97" t="n">
        <v>7.1</v>
      </c>
      <c r="E118" s="97" t="n">
        <v>70</v>
      </c>
      <c r="F118" s="97" t="inlineStr">
        <is>
          <t>Sangat Kurang</t>
        </is>
      </c>
      <c r="G118" s="97" t="inlineStr">
        <is>
          <t>Pendek</t>
        </is>
      </c>
      <c r="H118" s="106" t="inlineStr">
        <is>
          <t>Gizi Kurang</t>
        </is>
      </c>
      <c r="I118" s="97" t="inlineStr">
        <is>
          <t>Ya</t>
        </is>
      </c>
      <c r="J118" s="97" t="inlineStr">
        <is>
          <t>Potensi Stunting</t>
        </is>
      </c>
      <c r="K118" s="107" t="n"/>
    </row>
    <row r="119" ht="15.75" customHeight="1" s="95">
      <c r="A119" s="97" t="inlineStr">
        <is>
          <t>anonymus0118</t>
        </is>
      </c>
      <c r="B119" s="97" t="inlineStr">
        <is>
          <t>L</t>
        </is>
      </c>
      <c r="C119" s="97" t="inlineStr">
        <is>
          <t>1-34 Bulan</t>
        </is>
      </c>
      <c r="D119" s="97" t="inlineStr">
        <is>
          <t>9.7</t>
        </is>
      </c>
      <c r="E119" s="97" t="n">
        <v>83</v>
      </c>
      <c r="F119" s="97" t="inlineStr">
        <is>
          <t>Kurang</t>
        </is>
      </c>
      <c r="G119" s="97" t="inlineStr">
        <is>
          <t>Pendek</t>
        </is>
      </c>
      <c r="H119" s="106" t="inlineStr">
        <is>
          <t>Gizi Baik</t>
        </is>
      </c>
      <c r="I119" s="97" t="inlineStr">
        <is>
          <t>Ya</t>
        </is>
      </c>
      <c r="J119" s="97" t="inlineStr">
        <is>
          <t>Potensi Stunting</t>
        </is>
      </c>
      <c r="K119" s="107" t="n"/>
    </row>
    <row r="120" ht="15.75" customHeight="1" s="95">
      <c r="A120" s="97" t="inlineStr">
        <is>
          <t>anonymus0119</t>
        </is>
      </c>
      <c r="B120" s="97" t="inlineStr">
        <is>
          <t>P</t>
        </is>
      </c>
      <c r="C120" s="97" t="inlineStr">
        <is>
          <t>1-34 Bulan</t>
        </is>
      </c>
      <c r="D120" s="97" t="n">
        <v>8.199999999999999</v>
      </c>
      <c r="E120" s="97" t="n">
        <v>75</v>
      </c>
      <c r="F120" s="97" t="inlineStr">
        <is>
          <t>Normal</t>
        </is>
      </c>
      <c r="G120" s="97" t="inlineStr">
        <is>
          <t>Pendek</t>
        </is>
      </c>
      <c r="H120" s="106" t="inlineStr">
        <is>
          <t>Gizi Baik</t>
        </is>
      </c>
      <c r="I120" s="97" t="inlineStr">
        <is>
          <t>Ya</t>
        </is>
      </c>
      <c r="J120" s="97" t="inlineStr">
        <is>
          <t>Potensi Stunting</t>
        </is>
      </c>
      <c r="K120" s="107" t="n"/>
    </row>
    <row r="121" ht="15.75" customHeight="1" s="95">
      <c r="A121" s="97" t="inlineStr">
        <is>
          <t>anonymus0120</t>
        </is>
      </c>
      <c r="B121" s="97" t="inlineStr">
        <is>
          <t>L</t>
        </is>
      </c>
      <c r="C121" s="97" t="inlineStr">
        <is>
          <t>35-69 Bulan</t>
        </is>
      </c>
      <c r="D121" s="97" t="n">
        <v>12</v>
      </c>
      <c r="E121" s="97" t="n">
        <v>92</v>
      </c>
      <c r="F121" s="97" t="inlineStr">
        <is>
          <t>Normal</t>
        </is>
      </c>
      <c r="G121" s="97" t="inlineStr">
        <is>
          <t>Pendek</t>
        </is>
      </c>
      <c r="H121" s="106" t="inlineStr">
        <is>
          <t>Gizi Baik</t>
        </is>
      </c>
      <c r="I121" s="97" t="inlineStr">
        <is>
          <t>Ya</t>
        </is>
      </c>
      <c r="J121" s="97" t="inlineStr">
        <is>
          <t>Potensi Stunting</t>
        </is>
      </c>
      <c r="K121" s="107" t="n"/>
    </row>
    <row r="122" ht="15.75" customHeight="1" s="95">
      <c r="A122" s="97" t="inlineStr">
        <is>
          <t>anonymus0121</t>
        </is>
      </c>
      <c r="B122" s="97" t="inlineStr">
        <is>
          <t>L</t>
        </is>
      </c>
      <c r="C122" s="97" t="inlineStr">
        <is>
          <t>35-69 Bulan</t>
        </is>
      </c>
      <c r="D122" s="97" t="n">
        <v>13.6</v>
      </c>
      <c r="E122" s="97" t="n">
        <v>102</v>
      </c>
      <c r="F122" s="97" t="inlineStr">
        <is>
          <t>Normal</t>
        </is>
      </c>
      <c r="G122" s="97" t="inlineStr">
        <is>
          <t>Normal</t>
        </is>
      </c>
      <c r="H122" s="106" t="inlineStr">
        <is>
          <t>Gizi Baik</t>
        </is>
      </c>
      <c r="I122" s="97" t="inlineStr">
        <is>
          <t>Ya</t>
        </is>
      </c>
      <c r="J122" s="97" t="inlineStr">
        <is>
          <t>Tidak</t>
        </is>
      </c>
      <c r="K122" s="107" t="n"/>
    </row>
    <row r="123" ht="15.75" customHeight="1" s="95">
      <c r="A123" s="97" t="inlineStr">
        <is>
          <t>anonymus0122</t>
        </is>
      </c>
      <c r="B123" s="97" t="inlineStr">
        <is>
          <t>L</t>
        </is>
      </c>
      <c r="C123" s="97" t="inlineStr">
        <is>
          <t>1-34 Bulan</t>
        </is>
      </c>
      <c r="D123" s="97" t="n">
        <v>8.5</v>
      </c>
      <c r="E123" s="97" t="n">
        <v>73</v>
      </c>
      <c r="F123" s="97" t="inlineStr">
        <is>
          <t>Normal</t>
        </is>
      </c>
      <c r="G123" s="97" t="inlineStr">
        <is>
          <t>Pendek</t>
        </is>
      </c>
      <c r="H123" s="106" t="inlineStr">
        <is>
          <t>Gizi Baik</t>
        </is>
      </c>
      <c r="I123" s="97" t="inlineStr">
        <is>
          <t>Ya</t>
        </is>
      </c>
      <c r="J123" s="97" t="inlineStr">
        <is>
          <t>Potensi Stunting</t>
        </is>
      </c>
      <c r="K123" s="107" t="n"/>
    </row>
    <row r="124" ht="15.75" customHeight="1" s="95">
      <c r="A124" s="97" t="inlineStr">
        <is>
          <t>anonymus0123</t>
        </is>
      </c>
      <c r="B124" s="97" t="inlineStr">
        <is>
          <t>L</t>
        </is>
      </c>
      <c r="C124" s="97" t="inlineStr">
        <is>
          <t>1-34 Bulan</t>
        </is>
      </c>
      <c r="D124" s="97" t="inlineStr">
        <is>
          <t>8.8</t>
        </is>
      </c>
      <c r="E124" s="97" t="n">
        <v>72</v>
      </c>
      <c r="F124" s="97" t="inlineStr">
        <is>
          <t>Normal</t>
        </is>
      </c>
      <c r="G124" s="97" t="inlineStr">
        <is>
          <t>Pendek</t>
        </is>
      </c>
      <c r="H124" s="106" t="inlineStr">
        <is>
          <t>Gizi Baik</t>
        </is>
      </c>
      <c r="I124" s="97" t="inlineStr">
        <is>
          <t>Ya</t>
        </is>
      </c>
      <c r="J124" s="97" t="inlineStr">
        <is>
          <t>Potensi Stunting</t>
        </is>
      </c>
      <c r="K124" s="107" t="n"/>
    </row>
    <row r="125" ht="15.75" customHeight="1" s="95">
      <c r="A125" s="97" t="inlineStr">
        <is>
          <t>anonymus0124</t>
        </is>
      </c>
      <c r="B125" s="97" t="inlineStr">
        <is>
          <t>P</t>
        </is>
      </c>
      <c r="C125" s="97" t="inlineStr">
        <is>
          <t>35-69 Bulan</t>
        </is>
      </c>
      <c r="D125" s="97" t="n">
        <v>11.7</v>
      </c>
      <c r="E125" s="97" t="n">
        <v>95</v>
      </c>
      <c r="F125" s="97" t="inlineStr">
        <is>
          <t>Normal</t>
        </is>
      </c>
      <c r="G125" s="97" t="inlineStr">
        <is>
          <t>Normal</t>
        </is>
      </c>
      <c r="H125" s="106" t="inlineStr">
        <is>
          <t>Gizi Baik</t>
        </is>
      </c>
      <c r="I125" s="97" t="inlineStr">
        <is>
          <t>Ya</t>
        </is>
      </c>
      <c r="J125" s="97" t="inlineStr">
        <is>
          <t>Tidak</t>
        </is>
      </c>
      <c r="K125" s="107" t="n"/>
    </row>
    <row r="126" ht="15.75" customHeight="1" s="95">
      <c r="A126" s="97" t="inlineStr">
        <is>
          <t>anonymus0125</t>
        </is>
      </c>
      <c r="B126" s="97" t="inlineStr">
        <is>
          <t>L</t>
        </is>
      </c>
      <c r="C126" s="97" t="inlineStr">
        <is>
          <t>1-34 Bulan</t>
        </is>
      </c>
      <c r="D126" s="97" t="n">
        <v>7.6</v>
      </c>
      <c r="E126" s="97" t="n">
        <v>85</v>
      </c>
      <c r="F126" s="97" t="inlineStr">
        <is>
          <t>Kurang</t>
        </is>
      </c>
      <c r="G126" s="97" t="inlineStr">
        <is>
          <t>Normal</t>
        </is>
      </c>
      <c r="H126" s="106" t="inlineStr">
        <is>
          <t>Gizi Kurang</t>
        </is>
      </c>
      <c r="I126" s="97" t="inlineStr">
        <is>
          <t>Ya</t>
        </is>
      </c>
      <c r="J126" s="97" t="inlineStr">
        <is>
          <t>Tidak</t>
        </is>
      </c>
      <c r="K126" s="107" t="n"/>
    </row>
    <row r="127" ht="15.75" customHeight="1" s="95">
      <c r="A127" s="97" t="inlineStr">
        <is>
          <t>anonymus0126</t>
        </is>
      </c>
      <c r="B127" s="97" t="inlineStr">
        <is>
          <t>P</t>
        </is>
      </c>
      <c r="C127" s="97" t="inlineStr">
        <is>
          <t>35-69 Bulan</t>
        </is>
      </c>
      <c r="D127" s="97" t="n">
        <v>11.4</v>
      </c>
      <c r="E127" s="97" t="n">
        <v>115</v>
      </c>
      <c r="F127" s="97" t="inlineStr">
        <is>
          <t>Normal</t>
        </is>
      </c>
      <c r="G127" s="97" t="inlineStr">
        <is>
          <t>Normal</t>
        </is>
      </c>
      <c r="H127" s="106" t="inlineStr">
        <is>
          <t>Gizi Baik</t>
        </is>
      </c>
      <c r="I127" s="97" t="inlineStr">
        <is>
          <t>Ya</t>
        </is>
      </c>
      <c r="J127" s="97" t="inlineStr">
        <is>
          <t>Tidak</t>
        </is>
      </c>
      <c r="K127" s="107" t="n"/>
    </row>
    <row r="128" ht="15.75" customHeight="1" s="95">
      <c r="A128" s="97" t="inlineStr">
        <is>
          <t>anonymus0127</t>
        </is>
      </c>
      <c r="B128" s="97" t="inlineStr">
        <is>
          <t>L</t>
        </is>
      </c>
      <c r="C128" s="97" t="inlineStr">
        <is>
          <t>35-69 Bulan</t>
        </is>
      </c>
      <c r="D128" s="97" t="inlineStr">
        <is>
          <t>17.4</t>
        </is>
      </c>
      <c r="E128" s="97" t="n">
        <v>101</v>
      </c>
      <c r="F128" s="97" t="inlineStr">
        <is>
          <t>Normal</t>
        </is>
      </c>
      <c r="G128" s="97" t="inlineStr">
        <is>
          <t>Normal</t>
        </is>
      </c>
      <c r="H128" s="106" t="inlineStr">
        <is>
          <t>Risiko Gizi Lebih</t>
        </is>
      </c>
      <c r="I128" s="97" t="inlineStr">
        <is>
          <t>Ya</t>
        </is>
      </c>
      <c r="J128" s="97" t="inlineStr">
        <is>
          <t>Tidak</t>
        </is>
      </c>
      <c r="K128" s="107" t="n"/>
    </row>
    <row r="129" ht="15.75" customHeight="1" s="95">
      <c r="A129" s="97" t="inlineStr">
        <is>
          <t>anonymus0128</t>
        </is>
      </c>
      <c r="B129" s="97" t="inlineStr">
        <is>
          <t>L</t>
        </is>
      </c>
      <c r="C129" s="97" t="inlineStr">
        <is>
          <t>1-34 Bulan</t>
        </is>
      </c>
      <c r="D129" s="97" t="n">
        <v>13.3</v>
      </c>
      <c r="E129" s="97" t="n">
        <v>100</v>
      </c>
      <c r="F129" s="97" t="inlineStr">
        <is>
          <t>Normal</t>
        </is>
      </c>
      <c r="G129" s="97" t="inlineStr">
        <is>
          <t>Normal</t>
        </is>
      </c>
      <c r="H129" s="106" t="inlineStr">
        <is>
          <t>Gizi Baik</t>
        </is>
      </c>
      <c r="I129" s="97" t="inlineStr">
        <is>
          <t>Ya</t>
        </is>
      </c>
      <c r="J129" s="97" t="inlineStr">
        <is>
          <t>Tidak</t>
        </is>
      </c>
      <c r="K129" s="107" t="n"/>
    </row>
    <row r="130" ht="15.75" customHeight="1" s="95">
      <c r="A130" s="97" t="inlineStr">
        <is>
          <t>anonymus0129</t>
        </is>
      </c>
      <c r="B130" s="97" t="inlineStr">
        <is>
          <t>L</t>
        </is>
      </c>
      <c r="C130" s="97" t="inlineStr">
        <is>
          <t>35-69 Bulan</t>
        </is>
      </c>
      <c r="D130" s="97" t="n">
        <v>16.4</v>
      </c>
      <c r="E130" s="97" t="n">
        <v>103</v>
      </c>
      <c r="F130" s="97" t="inlineStr">
        <is>
          <t>Normal</t>
        </is>
      </c>
      <c r="G130" s="97" t="inlineStr">
        <is>
          <t>Normal</t>
        </is>
      </c>
      <c r="H130" s="106" t="inlineStr">
        <is>
          <t>Gizi Baik</t>
        </is>
      </c>
      <c r="I130" s="97" t="inlineStr">
        <is>
          <t>Ya</t>
        </is>
      </c>
      <c r="J130" s="97" t="inlineStr">
        <is>
          <t>Tidak</t>
        </is>
      </c>
      <c r="K130" s="107" t="n"/>
    </row>
    <row r="131" ht="15.75" customHeight="1" s="95">
      <c r="A131" s="97" t="inlineStr">
        <is>
          <t>anonymus0130</t>
        </is>
      </c>
      <c r="B131" s="97" t="inlineStr">
        <is>
          <t>L</t>
        </is>
      </c>
      <c r="C131" s="97" t="inlineStr">
        <is>
          <t>1-34 Bulan</t>
        </is>
      </c>
      <c r="D131" s="97" t="n">
        <v>8</v>
      </c>
      <c r="E131" s="97" t="n">
        <v>75</v>
      </c>
      <c r="F131" s="97" t="inlineStr">
        <is>
          <t>Kurang</t>
        </is>
      </c>
      <c r="G131" s="97" t="inlineStr">
        <is>
          <t>Pendek</t>
        </is>
      </c>
      <c r="H131" s="106" t="inlineStr">
        <is>
          <t>Gizi Kurang</t>
        </is>
      </c>
      <c r="I131" s="97" t="inlineStr">
        <is>
          <t>Ya</t>
        </is>
      </c>
      <c r="J131" s="97" t="inlineStr">
        <is>
          <t>Stunting</t>
        </is>
      </c>
      <c r="K131" s="107" t="n"/>
    </row>
    <row r="132" ht="15.75" customHeight="1" s="95">
      <c r="A132" s="97" t="inlineStr">
        <is>
          <t>anonymus0131</t>
        </is>
      </c>
      <c r="B132" s="97" t="inlineStr">
        <is>
          <t>P</t>
        </is>
      </c>
      <c r="C132" s="97" t="inlineStr">
        <is>
          <t>35-69 Bulan</t>
        </is>
      </c>
      <c r="D132" s="97" t="inlineStr">
        <is>
          <t>17.2</t>
        </is>
      </c>
      <c r="E132" s="97" t="n">
        <v>105</v>
      </c>
      <c r="F132" s="97" t="inlineStr">
        <is>
          <t>Normal</t>
        </is>
      </c>
      <c r="G132" s="97" t="inlineStr">
        <is>
          <t>Normal</t>
        </is>
      </c>
      <c r="H132" s="106" t="inlineStr">
        <is>
          <t>Gizi Baik</t>
        </is>
      </c>
      <c r="I132" s="97" t="inlineStr">
        <is>
          <t>Ya</t>
        </is>
      </c>
      <c r="J132" s="97" t="inlineStr">
        <is>
          <t>Tidak</t>
        </is>
      </c>
      <c r="K132" s="107" t="n"/>
    </row>
    <row r="133" ht="15.75" customHeight="1" s="95">
      <c r="A133" s="97" t="inlineStr">
        <is>
          <t>anonymus0132</t>
        </is>
      </c>
      <c r="B133" s="97" t="inlineStr">
        <is>
          <t>L</t>
        </is>
      </c>
      <c r="C133" s="97" t="inlineStr">
        <is>
          <t>35-69 Bulan</t>
        </is>
      </c>
      <c r="D133" s="97" t="n">
        <v>10.5</v>
      </c>
      <c r="E133" s="97" t="n">
        <v>82</v>
      </c>
      <c r="F133" s="97" t="inlineStr">
        <is>
          <t>Normal</t>
        </is>
      </c>
      <c r="G133" s="97" t="inlineStr">
        <is>
          <t>Pendek</t>
        </is>
      </c>
      <c r="H133" s="106" t="inlineStr">
        <is>
          <t>Gizi Baik</t>
        </is>
      </c>
      <c r="I133" s="97" t="inlineStr">
        <is>
          <t>Ya</t>
        </is>
      </c>
      <c r="J133" s="97" t="inlineStr">
        <is>
          <t>Potensi Stunting</t>
        </is>
      </c>
      <c r="K133" s="107" t="n"/>
    </row>
    <row r="134" ht="15.75" customHeight="1" s="95">
      <c r="A134" s="97" t="inlineStr">
        <is>
          <t>anonymus0133</t>
        </is>
      </c>
      <c r="B134" s="97" t="inlineStr">
        <is>
          <t>P</t>
        </is>
      </c>
      <c r="C134" s="97" t="inlineStr">
        <is>
          <t>35-69 Bulan</t>
        </is>
      </c>
      <c r="D134" s="97" t="inlineStr">
        <is>
          <t>18.9</t>
        </is>
      </c>
      <c r="E134" s="97" t="n">
        <v>105</v>
      </c>
      <c r="F134" s="97" t="inlineStr">
        <is>
          <t>Risiko Lebih</t>
        </is>
      </c>
      <c r="G134" s="97" t="inlineStr">
        <is>
          <t>Normal</t>
        </is>
      </c>
      <c r="H134" s="106" t="inlineStr">
        <is>
          <t>Risiko Gizi Lebih</t>
        </is>
      </c>
      <c r="I134" s="97" t="inlineStr">
        <is>
          <t>Ya</t>
        </is>
      </c>
      <c r="J134" s="97" t="inlineStr">
        <is>
          <t>Tidak</t>
        </is>
      </c>
      <c r="K134" s="107" t="n"/>
    </row>
    <row r="135" ht="15.75" customHeight="1" s="95">
      <c r="A135" s="97" t="inlineStr">
        <is>
          <t>anonymus0134</t>
        </is>
      </c>
      <c r="B135" s="97" t="inlineStr">
        <is>
          <t>L</t>
        </is>
      </c>
      <c r="C135" s="97" t="inlineStr">
        <is>
          <t>35-69 Bulan</t>
        </is>
      </c>
      <c r="D135" s="97" t="inlineStr">
        <is>
          <t>15.8</t>
        </is>
      </c>
      <c r="E135" s="97" t="n">
        <v>107</v>
      </c>
      <c r="F135" s="97" t="inlineStr">
        <is>
          <t>Normal</t>
        </is>
      </c>
      <c r="G135" s="97" t="inlineStr">
        <is>
          <t>Normal</t>
        </is>
      </c>
      <c r="H135" s="106" t="inlineStr">
        <is>
          <t>Gizi Baik</t>
        </is>
      </c>
      <c r="I135" s="97" t="inlineStr">
        <is>
          <t>Ya</t>
        </is>
      </c>
      <c r="J135" s="97" t="inlineStr">
        <is>
          <t>Tidak</t>
        </is>
      </c>
      <c r="K135" s="107" t="n"/>
    </row>
    <row r="136" ht="15.75" customHeight="1" s="95">
      <c r="A136" s="97" t="inlineStr">
        <is>
          <t>anonymus0135</t>
        </is>
      </c>
      <c r="B136" s="97" t="inlineStr">
        <is>
          <t>L</t>
        </is>
      </c>
      <c r="C136" s="97" t="inlineStr">
        <is>
          <t>35-69 Bulan</t>
        </is>
      </c>
      <c r="D136" s="97" t="inlineStr">
        <is>
          <t>16.9</t>
        </is>
      </c>
      <c r="E136" s="97" t="n">
        <v>103</v>
      </c>
      <c r="F136" s="97" t="inlineStr">
        <is>
          <t>Normal</t>
        </is>
      </c>
      <c r="G136" s="97" t="inlineStr">
        <is>
          <t>Normal</t>
        </is>
      </c>
      <c r="H136" s="106" t="inlineStr">
        <is>
          <t>Gizi Baik</t>
        </is>
      </c>
      <c r="I136" s="97" t="inlineStr">
        <is>
          <t>Ya</t>
        </is>
      </c>
      <c r="J136" s="97" t="inlineStr">
        <is>
          <t>Tidak</t>
        </is>
      </c>
      <c r="K136" s="107" t="n"/>
    </row>
    <row r="137" ht="15.75" customHeight="1" s="95">
      <c r="A137" s="97" t="inlineStr">
        <is>
          <t>anonymus0136</t>
        </is>
      </c>
      <c r="B137" s="97" t="inlineStr">
        <is>
          <t>L</t>
        </is>
      </c>
      <c r="C137" s="97" t="inlineStr">
        <is>
          <t>1-34 Bulan</t>
        </is>
      </c>
      <c r="D137" s="97" t="inlineStr">
        <is>
          <t>9.2</t>
        </is>
      </c>
      <c r="E137" s="97" t="n">
        <v>78</v>
      </c>
      <c r="F137" s="97" t="inlineStr">
        <is>
          <t>Normal</t>
        </is>
      </c>
      <c r="G137" s="97" t="inlineStr">
        <is>
          <t>Normal</t>
        </is>
      </c>
      <c r="H137" s="106" t="inlineStr">
        <is>
          <t>Gizi Baik</t>
        </is>
      </c>
      <c r="I137" s="97" t="inlineStr">
        <is>
          <t>Ya</t>
        </is>
      </c>
      <c r="J137" s="97" t="inlineStr">
        <is>
          <t>Tidak</t>
        </is>
      </c>
      <c r="K137" s="107" t="n"/>
    </row>
    <row r="138" ht="15.75" customHeight="1" s="95">
      <c r="A138" s="97" t="inlineStr">
        <is>
          <t>anonymus0137</t>
        </is>
      </c>
      <c r="B138" s="97" t="inlineStr">
        <is>
          <t>P</t>
        </is>
      </c>
      <c r="C138" s="97" t="inlineStr">
        <is>
          <t>1-34 Bulan</t>
        </is>
      </c>
      <c r="D138" s="97" t="n">
        <v>13.4</v>
      </c>
      <c r="E138" s="97" t="n">
        <v>75</v>
      </c>
      <c r="F138" s="97" t="inlineStr">
        <is>
          <t>Normal</t>
        </is>
      </c>
      <c r="G138" s="97" t="inlineStr">
        <is>
          <t>Normal</t>
        </is>
      </c>
      <c r="H138" s="106" t="inlineStr">
        <is>
          <t>Gizi Baik</t>
        </is>
      </c>
      <c r="I138" s="97" t="inlineStr">
        <is>
          <t>Ya</t>
        </is>
      </c>
      <c r="J138" s="97" t="inlineStr">
        <is>
          <t>Tidak</t>
        </is>
      </c>
      <c r="K138" s="107" t="n"/>
    </row>
    <row r="139" ht="15.75" customHeight="1" s="95">
      <c r="A139" s="97" t="inlineStr">
        <is>
          <t>anonymus0138</t>
        </is>
      </c>
      <c r="B139" s="97" t="inlineStr">
        <is>
          <t>L</t>
        </is>
      </c>
      <c r="C139" s="97" t="inlineStr">
        <is>
          <t>1-34 Bulan</t>
        </is>
      </c>
      <c r="D139" s="97" t="inlineStr">
        <is>
          <t>10.3</t>
        </is>
      </c>
      <c r="E139" s="97" t="n">
        <v>77</v>
      </c>
      <c r="F139" s="97" t="inlineStr">
        <is>
          <t>Normal</t>
        </is>
      </c>
      <c r="G139" s="97" t="inlineStr">
        <is>
          <t>Normal</t>
        </is>
      </c>
      <c r="H139" s="106" t="inlineStr">
        <is>
          <t>Gizi Baik</t>
        </is>
      </c>
      <c r="I139" s="97" t="inlineStr">
        <is>
          <t>Ya</t>
        </is>
      </c>
      <c r="J139" s="97" t="inlineStr">
        <is>
          <t>Tidak</t>
        </is>
      </c>
      <c r="K139" s="107" t="n"/>
    </row>
    <row r="140" ht="15.75" customHeight="1" s="95">
      <c r="A140" s="97" t="inlineStr">
        <is>
          <t>anonymus0139</t>
        </is>
      </c>
      <c r="B140" s="97" t="inlineStr">
        <is>
          <t>L</t>
        </is>
      </c>
      <c r="C140" s="97" t="inlineStr">
        <is>
          <t>35-69 Bulan</t>
        </is>
      </c>
      <c r="D140" s="97" t="n">
        <v>18.3</v>
      </c>
      <c r="E140" s="97" t="n">
        <v>99</v>
      </c>
      <c r="F140" s="97" t="inlineStr">
        <is>
          <t>Risiko Lebih</t>
        </is>
      </c>
      <c r="G140" s="97" t="inlineStr">
        <is>
          <t>Normal</t>
        </is>
      </c>
      <c r="H140" s="106" t="inlineStr">
        <is>
          <t>Gizi Lebih</t>
        </is>
      </c>
      <c r="I140" s="97" t="inlineStr">
        <is>
          <t>Ya</t>
        </is>
      </c>
      <c r="J140" s="97" t="inlineStr">
        <is>
          <t>Tidak</t>
        </is>
      </c>
      <c r="K140" s="107" t="n"/>
    </row>
    <row r="141" ht="15.75" customHeight="1" s="95">
      <c r="A141" s="97" t="inlineStr">
        <is>
          <t>anonymus0140</t>
        </is>
      </c>
      <c r="B141" s="97" t="inlineStr">
        <is>
          <t>L</t>
        </is>
      </c>
      <c r="C141" s="97" t="inlineStr">
        <is>
          <t>35-69 Bulan</t>
        </is>
      </c>
      <c r="D141" s="97" t="n">
        <v>9</v>
      </c>
      <c r="E141" s="97" t="n">
        <v>68</v>
      </c>
      <c r="F141" s="97" t="inlineStr">
        <is>
          <t>Normal</t>
        </is>
      </c>
      <c r="G141" s="97" t="inlineStr">
        <is>
          <t>Sangat Pendek</t>
        </is>
      </c>
      <c r="H141" s="106" t="inlineStr">
        <is>
          <t>Risiko Gizi Lebih</t>
        </is>
      </c>
      <c r="I141" s="97" t="inlineStr">
        <is>
          <t>Ya</t>
        </is>
      </c>
      <c r="J141" s="97" t="inlineStr">
        <is>
          <t>Stunting</t>
        </is>
      </c>
      <c r="K141" s="107" t="n"/>
    </row>
    <row r="142" ht="15.75" customHeight="1" s="95">
      <c r="A142" s="97" t="inlineStr">
        <is>
          <t>anonymus0141</t>
        </is>
      </c>
      <c r="B142" s="97" t="inlineStr">
        <is>
          <t>L</t>
        </is>
      </c>
      <c r="C142" s="97" t="inlineStr">
        <is>
          <t>1-34 Bulan</t>
        </is>
      </c>
      <c r="D142" s="97" t="n">
        <v>10.9</v>
      </c>
      <c r="E142" s="97" t="n">
        <v>96</v>
      </c>
      <c r="F142" s="97" t="inlineStr">
        <is>
          <t>Normal</t>
        </is>
      </c>
      <c r="G142" s="97" t="inlineStr">
        <is>
          <t>Normal</t>
        </is>
      </c>
      <c r="H142" s="106" t="inlineStr">
        <is>
          <t>Gizi Baik</t>
        </is>
      </c>
      <c r="I142" s="97" t="inlineStr">
        <is>
          <t>Ya</t>
        </is>
      </c>
      <c r="J142" s="97" t="inlineStr">
        <is>
          <t>Tidak</t>
        </is>
      </c>
      <c r="K142" s="107" t="n"/>
    </row>
    <row r="143" ht="15.75" customHeight="1" s="95">
      <c r="A143" s="97" t="inlineStr">
        <is>
          <t>anonymus0142</t>
        </is>
      </c>
      <c r="B143" s="97" t="inlineStr">
        <is>
          <t>L</t>
        </is>
      </c>
      <c r="C143" s="97" t="inlineStr">
        <is>
          <t>1-34 Bulan</t>
        </is>
      </c>
      <c r="D143" s="97" t="inlineStr">
        <is>
          <t>12.3</t>
        </is>
      </c>
      <c r="E143" s="97" t="n">
        <v>90</v>
      </c>
      <c r="F143" s="97" t="inlineStr">
        <is>
          <t>Normal</t>
        </is>
      </c>
      <c r="G143" s="97" t="inlineStr">
        <is>
          <t>Normal</t>
        </is>
      </c>
      <c r="H143" s="106" t="inlineStr">
        <is>
          <t>Gizi Baik</t>
        </is>
      </c>
      <c r="I143" s="97" t="inlineStr">
        <is>
          <t>Ya</t>
        </is>
      </c>
      <c r="J143" s="97" t="inlineStr">
        <is>
          <t>Tidak</t>
        </is>
      </c>
      <c r="K143" s="107" t="n"/>
    </row>
    <row r="144" ht="15.75" customHeight="1" s="95">
      <c r="A144" s="97" t="inlineStr">
        <is>
          <t>anonymus0143</t>
        </is>
      </c>
      <c r="B144" s="97" t="inlineStr">
        <is>
          <t>L</t>
        </is>
      </c>
      <c r="C144" s="97" t="inlineStr">
        <is>
          <t>35-69 Bulan</t>
        </is>
      </c>
      <c r="D144" s="97" t="n">
        <v>16.7</v>
      </c>
      <c r="E144" s="97" t="n">
        <v>103</v>
      </c>
      <c r="F144" s="97" t="inlineStr">
        <is>
          <t>Normal</t>
        </is>
      </c>
      <c r="G144" s="97" t="inlineStr">
        <is>
          <t>Normal</t>
        </is>
      </c>
      <c r="H144" s="106" t="inlineStr">
        <is>
          <t>Gizi Baik</t>
        </is>
      </c>
      <c r="I144" s="97" t="inlineStr">
        <is>
          <t>Ya</t>
        </is>
      </c>
      <c r="J144" s="97" t="inlineStr">
        <is>
          <t>Tidak</t>
        </is>
      </c>
      <c r="K144" s="107" t="n"/>
    </row>
    <row r="145" ht="15.75" customHeight="1" s="95">
      <c r="A145" s="97" t="inlineStr">
        <is>
          <t>anonymus0144</t>
        </is>
      </c>
      <c r="B145" s="97" t="inlineStr">
        <is>
          <t>P</t>
        </is>
      </c>
      <c r="C145" s="97" t="inlineStr">
        <is>
          <t>1-34 Bulan</t>
        </is>
      </c>
      <c r="D145" s="97" t="inlineStr">
        <is>
          <t>9.5</t>
        </is>
      </c>
      <c r="E145" s="97" t="n">
        <v>73</v>
      </c>
      <c r="F145" s="97" t="inlineStr">
        <is>
          <t>Normal</t>
        </is>
      </c>
      <c r="G145" s="97" t="inlineStr">
        <is>
          <t>Pendek</t>
        </is>
      </c>
      <c r="H145" s="106" t="inlineStr">
        <is>
          <t>Gizi Baik</t>
        </is>
      </c>
      <c r="I145" s="97" t="inlineStr">
        <is>
          <t>Ya</t>
        </is>
      </c>
      <c r="J145" s="97" t="inlineStr">
        <is>
          <t>Potensi Stunting</t>
        </is>
      </c>
      <c r="K145" s="107" t="n"/>
    </row>
    <row r="146" ht="15.75" customHeight="1" s="95">
      <c r="A146" s="97" t="inlineStr">
        <is>
          <t>anonymus0145</t>
        </is>
      </c>
      <c r="B146" s="97" t="inlineStr">
        <is>
          <t>L</t>
        </is>
      </c>
      <c r="C146" s="97" t="inlineStr">
        <is>
          <t>35-69 Bulan</t>
        </is>
      </c>
      <c r="D146" s="97" t="n">
        <v>11.6</v>
      </c>
      <c r="E146" s="97" t="n">
        <v>85</v>
      </c>
      <c r="F146" s="97" t="inlineStr">
        <is>
          <t>Normal</t>
        </is>
      </c>
      <c r="G146" s="97" t="inlineStr">
        <is>
          <t>Pendek</t>
        </is>
      </c>
      <c r="H146" s="106" t="inlineStr">
        <is>
          <t>Gizi Baik</t>
        </is>
      </c>
      <c r="I146" s="97" t="inlineStr">
        <is>
          <t>Ya</t>
        </is>
      </c>
      <c r="J146" s="97" t="inlineStr">
        <is>
          <t>Potensi Stunting</t>
        </is>
      </c>
      <c r="K146" s="107" t="n"/>
    </row>
    <row r="147" ht="15.75" customHeight="1" s="95">
      <c r="A147" s="97" t="inlineStr">
        <is>
          <t>anonymus0146</t>
        </is>
      </c>
      <c r="B147" s="97" t="inlineStr">
        <is>
          <t>L</t>
        </is>
      </c>
      <c r="C147" s="97" t="inlineStr">
        <is>
          <t>35-69 Bulan</t>
        </is>
      </c>
      <c r="D147" s="97" t="n">
        <v>13.8</v>
      </c>
      <c r="E147" s="97" t="n">
        <v>104</v>
      </c>
      <c r="F147" s="97" t="inlineStr">
        <is>
          <t>Kurang</t>
        </is>
      </c>
      <c r="G147" s="97" t="inlineStr">
        <is>
          <t>Normal</t>
        </is>
      </c>
      <c r="H147" s="106" t="inlineStr">
        <is>
          <t>Gizi Kurang</t>
        </is>
      </c>
      <c r="I147" s="97" t="inlineStr">
        <is>
          <t>Ya</t>
        </is>
      </c>
      <c r="J147" s="97" t="inlineStr">
        <is>
          <t>Potensi Stunting</t>
        </is>
      </c>
      <c r="K147" s="107" t="n"/>
    </row>
    <row r="148" ht="15.75" customHeight="1" s="95">
      <c r="A148" s="97" t="inlineStr">
        <is>
          <t>anonymus0147</t>
        </is>
      </c>
      <c r="B148" s="97" t="inlineStr">
        <is>
          <t>L</t>
        </is>
      </c>
      <c r="C148" s="97" t="inlineStr">
        <is>
          <t>1-34 Bulan</t>
        </is>
      </c>
      <c r="D148" s="97" t="n">
        <v>9.1</v>
      </c>
      <c r="E148" s="97" t="n">
        <v>92</v>
      </c>
      <c r="F148" s="97" t="inlineStr">
        <is>
          <t>Normal</t>
        </is>
      </c>
      <c r="G148" s="97" t="inlineStr">
        <is>
          <t>Normal</t>
        </is>
      </c>
      <c r="H148" s="106" t="inlineStr">
        <is>
          <t>Gizi Baik</t>
        </is>
      </c>
      <c r="I148" s="97" t="inlineStr">
        <is>
          <t>Ya</t>
        </is>
      </c>
      <c r="J148" s="97" t="inlineStr">
        <is>
          <t>Tidak</t>
        </is>
      </c>
      <c r="K148" s="107" t="n"/>
    </row>
    <row r="149" ht="15.75" customHeight="1" s="95">
      <c r="A149" s="97" t="inlineStr">
        <is>
          <t>anonymus0148</t>
        </is>
      </c>
      <c r="B149" s="97" t="inlineStr">
        <is>
          <t>P</t>
        </is>
      </c>
      <c r="C149" s="97" t="inlineStr">
        <is>
          <t>35-69 Bulan</t>
        </is>
      </c>
      <c r="D149" s="97" t="n">
        <v>17.7</v>
      </c>
      <c r="E149" s="97" t="n">
        <v>116</v>
      </c>
      <c r="F149" s="97" t="inlineStr">
        <is>
          <t>Risiko Lebih</t>
        </is>
      </c>
      <c r="G149" s="97" t="inlineStr">
        <is>
          <t>Normal</t>
        </is>
      </c>
      <c r="H149" s="106" t="inlineStr">
        <is>
          <t>Gizi Lebih</t>
        </is>
      </c>
      <c r="I149" s="97" t="inlineStr">
        <is>
          <t>Ya</t>
        </is>
      </c>
      <c r="J149" s="97" t="inlineStr">
        <is>
          <t>Tidak</t>
        </is>
      </c>
      <c r="K149" s="107" t="n"/>
    </row>
    <row r="150" ht="15.75" customHeight="1" s="95">
      <c r="A150" s="97" t="inlineStr">
        <is>
          <t>anonymus0149</t>
        </is>
      </c>
      <c r="B150" s="97" t="inlineStr">
        <is>
          <t>L</t>
        </is>
      </c>
      <c r="C150" s="97" t="inlineStr">
        <is>
          <t>1-34 Bulan</t>
        </is>
      </c>
      <c r="D150" s="97" t="n">
        <v>6.7</v>
      </c>
      <c r="E150" s="97" t="n">
        <v>87</v>
      </c>
      <c r="F150" s="97" t="inlineStr">
        <is>
          <t>Kurang</t>
        </is>
      </c>
      <c r="G150" s="97" t="inlineStr">
        <is>
          <t>Normal</t>
        </is>
      </c>
      <c r="H150" s="106" t="inlineStr">
        <is>
          <t>Gizi Kurang</t>
        </is>
      </c>
      <c r="I150" s="97" t="inlineStr">
        <is>
          <t>Ya</t>
        </is>
      </c>
      <c r="J150" s="97" t="inlineStr">
        <is>
          <t>Tidak</t>
        </is>
      </c>
      <c r="K150" s="107" t="n"/>
    </row>
    <row r="151" ht="15.75" customHeight="1" s="95">
      <c r="A151" s="97" t="inlineStr">
        <is>
          <t>anonymus0150</t>
        </is>
      </c>
      <c r="B151" s="97" t="inlineStr">
        <is>
          <t>P</t>
        </is>
      </c>
      <c r="C151" s="97" t="inlineStr">
        <is>
          <t>35-69 Bulan</t>
        </is>
      </c>
      <c r="D151" s="97" t="n">
        <v>19.1</v>
      </c>
      <c r="E151" s="97" t="n">
        <v>110</v>
      </c>
      <c r="F151" s="97" t="inlineStr">
        <is>
          <t>Risiko Lebih</t>
        </is>
      </c>
      <c r="G151" s="97" t="inlineStr">
        <is>
          <t>Normal</t>
        </is>
      </c>
      <c r="H151" s="106" t="inlineStr">
        <is>
          <t>Gizi Lebih</t>
        </is>
      </c>
      <c r="I151" s="97" t="inlineStr">
        <is>
          <t>Ya</t>
        </is>
      </c>
      <c r="J151" s="97" t="inlineStr">
        <is>
          <t>Tidak</t>
        </is>
      </c>
      <c r="K151" s="107" t="n"/>
    </row>
    <row r="152" ht="15.75" customHeight="1" s="95">
      <c r="A152" s="97" t="inlineStr">
        <is>
          <t>anonymus0151</t>
        </is>
      </c>
      <c r="B152" s="97" t="inlineStr">
        <is>
          <t>P</t>
        </is>
      </c>
      <c r="C152" s="97" t="inlineStr">
        <is>
          <t>35-69 Bulan</t>
        </is>
      </c>
      <c r="D152" s="97" t="n">
        <v>15.4</v>
      </c>
      <c r="E152" s="97" t="n">
        <v>91</v>
      </c>
      <c r="F152" s="97" t="inlineStr">
        <is>
          <t>Normal</t>
        </is>
      </c>
      <c r="G152" s="97" t="inlineStr">
        <is>
          <t>Normal</t>
        </is>
      </c>
      <c r="H152" s="106" t="inlineStr">
        <is>
          <t>Gizi Baik</t>
        </is>
      </c>
      <c r="I152" s="97" t="inlineStr">
        <is>
          <t>Ya</t>
        </is>
      </c>
      <c r="J152" s="97" t="inlineStr">
        <is>
          <t>Tidak</t>
        </is>
      </c>
      <c r="K152" s="107" t="n"/>
    </row>
    <row r="153" ht="15.75" customHeight="1" s="95">
      <c r="A153" s="97" t="inlineStr">
        <is>
          <t>anonymus0152</t>
        </is>
      </c>
      <c r="B153" s="97" t="inlineStr">
        <is>
          <t>L</t>
        </is>
      </c>
      <c r="C153" s="97" t="inlineStr">
        <is>
          <t>35-69 Bulan</t>
        </is>
      </c>
      <c r="D153" s="97" t="n">
        <v>13</v>
      </c>
      <c r="E153" s="97" t="n">
        <v>101</v>
      </c>
      <c r="F153" s="97" t="inlineStr">
        <is>
          <t>Kurang</t>
        </is>
      </c>
      <c r="G153" s="97" t="inlineStr">
        <is>
          <t>Normal</t>
        </is>
      </c>
      <c r="H153" s="106" t="inlineStr">
        <is>
          <t>Gizi Kurang</t>
        </is>
      </c>
      <c r="I153" s="97" t="inlineStr">
        <is>
          <t>Ya</t>
        </is>
      </c>
      <c r="J153" s="97" t="inlineStr">
        <is>
          <t>Tidak</t>
        </is>
      </c>
      <c r="K153" s="107" t="n"/>
    </row>
    <row r="154" ht="15.75" customHeight="1" s="95">
      <c r="A154" s="97" t="inlineStr">
        <is>
          <t>anonymus0153</t>
        </is>
      </c>
      <c r="B154" s="97" t="inlineStr">
        <is>
          <t>L</t>
        </is>
      </c>
      <c r="C154" s="97" t="inlineStr">
        <is>
          <t>35-69 Bulan</t>
        </is>
      </c>
      <c r="D154" s="97" t="n">
        <v>13.4</v>
      </c>
      <c r="E154" s="97" t="n">
        <v>94</v>
      </c>
      <c r="F154" s="97" t="inlineStr">
        <is>
          <t>Normal</t>
        </is>
      </c>
      <c r="G154" s="97" t="inlineStr">
        <is>
          <t>Normal</t>
        </is>
      </c>
      <c r="H154" s="106" t="inlineStr">
        <is>
          <t>Gizi Baik</t>
        </is>
      </c>
      <c r="I154" s="97" t="inlineStr">
        <is>
          <t>Ya</t>
        </is>
      </c>
      <c r="J154" s="97" t="inlineStr">
        <is>
          <t>Tidak</t>
        </is>
      </c>
      <c r="K154" s="107" t="n"/>
    </row>
    <row r="155" ht="15.75" customHeight="1" s="95">
      <c r="A155" s="97" t="inlineStr">
        <is>
          <t>anonymus0154</t>
        </is>
      </c>
      <c r="B155" s="97" t="inlineStr">
        <is>
          <t>L</t>
        </is>
      </c>
      <c r="C155" s="97" t="inlineStr">
        <is>
          <t>35-69 Bulan</t>
        </is>
      </c>
      <c r="D155" s="97" t="inlineStr">
        <is>
          <t>16.5</t>
        </is>
      </c>
      <c r="E155" s="97" t="n">
        <v>104</v>
      </c>
      <c r="F155" s="97" t="inlineStr">
        <is>
          <t>Normal</t>
        </is>
      </c>
      <c r="G155" s="97" t="inlineStr">
        <is>
          <t>Normal</t>
        </is>
      </c>
      <c r="H155" s="106" t="inlineStr">
        <is>
          <t>Gizi Baik</t>
        </is>
      </c>
      <c r="I155" s="97" t="inlineStr">
        <is>
          <t>Ya</t>
        </is>
      </c>
      <c r="J155" s="97" t="inlineStr">
        <is>
          <t>Tidak</t>
        </is>
      </c>
      <c r="K155" s="107" t="n"/>
    </row>
    <row r="156" ht="15.75" customHeight="1" s="95">
      <c r="A156" s="97" t="inlineStr">
        <is>
          <t>anonymus0155</t>
        </is>
      </c>
      <c r="B156" s="97" t="inlineStr">
        <is>
          <t>P</t>
        </is>
      </c>
      <c r="C156" s="97" t="inlineStr">
        <is>
          <t>1-34 Bulan</t>
        </is>
      </c>
      <c r="D156" s="97" t="inlineStr">
        <is>
          <t>10.5</t>
        </is>
      </c>
      <c r="E156" s="97" t="n">
        <v>89</v>
      </c>
      <c r="F156" s="97" t="inlineStr">
        <is>
          <t>Kurang</t>
        </is>
      </c>
      <c r="G156" s="97" t="inlineStr">
        <is>
          <t>Pendek</t>
        </is>
      </c>
      <c r="H156" s="106" t="inlineStr">
        <is>
          <t>Gizi Baik</t>
        </is>
      </c>
      <c r="I156" s="97" t="inlineStr">
        <is>
          <t>Ya</t>
        </is>
      </c>
      <c r="J156" s="97" t="inlineStr">
        <is>
          <t>Potensi Stunting</t>
        </is>
      </c>
      <c r="K156" s="107" t="n"/>
    </row>
    <row r="157" ht="15.75" customHeight="1" s="95">
      <c r="A157" s="97" t="inlineStr">
        <is>
          <t>anonymus0156</t>
        </is>
      </c>
      <c r="B157" s="97" t="inlineStr">
        <is>
          <t>P</t>
        </is>
      </c>
      <c r="C157" s="97" t="inlineStr">
        <is>
          <t>35-69 Bulan</t>
        </is>
      </c>
      <c r="D157" s="97" t="inlineStr">
        <is>
          <t>11.5</t>
        </is>
      </c>
      <c r="E157" s="97" t="n">
        <v>97</v>
      </c>
      <c r="F157" s="97" t="inlineStr">
        <is>
          <t>Kurang</t>
        </is>
      </c>
      <c r="G157" s="97" t="inlineStr">
        <is>
          <t>Normal</t>
        </is>
      </c>
      <c r="H157" s="106" t="inlineStr">
        <is>
          <t>Gizi Kurang</t>
        </is>
      </c>
      <c r="I157" s="97" t="inlineStr">
        <is>
          <t>Ya</t>
        </is>
      </c>
      <c r="J157" s="97" t="inlineStr">
        <is>
          <t>Tidak</t>
        </is>
      </c>
      <c r="K157" s="107" t="n"/>
    </row>
    <row r="158" ht="15.75" customHeight="1" s="95">
      <c r="A158" s="97" t="inlineStr">
        <is>
          <t>anonymus0157</t>
        </is>
      </c>
      <c r="B158" s="97" t="inlineStr">
        <is>
          <t>L</t>
        </is>
      </c>
      <c r="C158" s="97" t="inlineStr">
        <is>
          <t>35-69 Bulan</t>
        </is>
      </c>
      <c r="D158" s="97" t="inlineStr">
        <is>
          <t>13.1</t>
        </is>
      </c>
      <c r="E158" s="97" t="n">
        <v>91</v>
      </c>
      <c r="F158" s="97" t="inlineStr">
        <is>
          <t>Normal</t>
        </is>
      </c>
      <c r="G158" s="97" t="inlineStr">
        <is>
          <t>Normal</t>
        </is>
      </c>
      <c r="H158" s="106" t="inlineStr">
        <is>
          <t>Gizi Baik</t>
        </is>
      </c>
      <c r="I158" s="97" t="inlineStr">
        <is>
          <t>Ya</t>
        </is>
      </c>
      <c r="J158" s="97" t="inlineStr">
        <is>
          <t>Tidak</t>
        </is>
      </c>
      <c r="K158" s="107" t="n"/>
    </row>
    <row r="159" ht="15.75" customHeight="1" s="95">
      <c r="A159" s="97" t="inlineStr">
        <is>
          <t>anonymus0158</t>
        </is>
      </c>
      <c r="B159" s="97" t="inlineStr">
        <is>
          <t>L</t>
        </is>
      </c>
      <c r="C159" s="97" t="inlineStr">
        <is>
          <t>1-34 Bulan</t>
        </is>
      </c>
      <c r="D159" s="97" t="n">
        <v>5.8</v>
      </c>
      <c r="E159" s="97" t="n">
        <v>65</v>
      </c>
      <c r="F159" s="97" t="inlineStr">
        <is>
          <t>Normal</t>
        </is>
      </c>
      <c r="G159" s="97" t="inlineStr">
        <is>
          <t>Normal</t>
        </is>
      </c>
      <c r="H159" s="106" t="inlineStr">
        <is>
          <t>Gizi Kurang</t>
        </is>
      </c>
      <c r="I159" s="97" t="inlineStr">
        <is>
          <t>Ya</t>
        </is>
      </c>
      <c r="J159" s="97" t="inlineStr">
        <is>
          <t>Tidak</t>
        </is>
      </c>
      <c r="K159" s="107" t="n"/>
    </row>
    <row r="160" ht="15.75" customHeight="1" s="95">
      <c r="A160" s="97" t="inlineStr">
        <is>
          <t>anonymus0159</t>
        </is>
      </c>
      <c r="B160" s="97" t="inlineStr">
        <is>
          <t>L</t>
        </is>
      </c>
      <c r="C160" s="97" t="inlineStr">
        <is>
          <t>35-69 Bulan</t>
        </is>
      </c>
      <c r="D160" s="97" t="n">
        <v>10.5</v>
      </c>
      <c r="E160" s="97" t="n">
        <v>86.8</v>
      </c>
      <c r="F160" s="97" t="inlineStr">
        <is>
          <t>Sangat Kurang</t>
        </is>
      </c>
      <c r="G160" s="97" t="inlineStr">
        <is>
          <t>Sangat Pendek</t>
        </is>
      </c>
      <c r="H160" s="106" t="inlineStr">
        <is>
          <t>Gizi Baik</t>
        </is>
      </c>
      <c r="I160" s="97" t="inlineStr">
        <is>
          <t>Ya</t>
        </is>
      </c>
      <c r="J160" s="97" t="inlineStr">
        <is>
          <t>Stunting</t>
        </is>
      </c>
      <c r="K160" s="107" t="n"/>
    </row>
    <row r="161" ht="15.75" customHeight="1" s="95">
      <c r="A161" s="97" t="inlineStr">
        <is>
          <t>anonymus0160</t>
        </is>
      </c>
      <c r="B161" s="97" t="inlineStr">
        <is>
          <t>L</t>
        </is>
      </c>
      <c r="C161" s="97" t="inlineStr">
        <is>
          <t>35-69 Bulan</t>
        </is>
      </c>
      <c r="D161" s="97" t="n">
        <v>12</v>
      </c>
      <c r="E161" s="97" t="n">
        <v>97</v>
      </c>
      <c r="F161" s="97" t="inlineStr">
        <is>
          <t>Kurang</t>
        </is>
      </c>
      <c r="G161" s="97" t="inlineStr">
        <is>
          <t>Normal</t>
        </is>
      </c>
      <c r="H161" s="106" t="inlineStr">
        <is>
          <t>Gizi Kurang</t>
        </is>
      </c>
      <c r="I161" s="97" t="inlineStr">
        <is>
          <t>Ya</t>
        </is>
      </c>
      <c r="J161" s="97" t="inlineStr">
        <is>
          <t>Tidak</t>
        </is>
      </c>
      <c r="K161" s="107" t="n"/>
    </row>
    <row r="162" ht="15.75" customHeight="1" s="95">
      <c r="A162" s="97" t="inlineStr">
        <is>
          <t>anonymus0161</t>
        </is>
      </c>
      <c r="B162" s="97" t="inlineStr">
        <is>
          <t>L</t>
        </is>
      </c>
      <c r="C162" s="97" t="inlineStr">
        <is>
          <t>1-34 Bulan</t>
        </is>
      </c>
      <c r="D162" s="97" t="n">
        <v>9.4</v>
      </c>
      <c r="E162" s="97" t="n">
        <v>75</v>
      </c>
      <c r="F162" s="97" t="inlineStr">
        <is>
          <t>Normal</t>
        </is>
      </c>
      <c r="G162" s="97" t="inlineStr">
        <is>
          <t>Pendek</t>
        </is>
      </c>
      <c r="H162" s="106" t="inlineStr">
        <is>
          <t>Gizi Baik</t>
        </is>
      </c>
      <c r="I162" s="97" t="inlineStr">
        <is>
          <t>Ya</t>
        </is>
      </c>
      <c r="J162" s="97" t="inlineStr">
        <is>
          <t>Potensi Stunting</t>
        </is>
      </c>
      <c r="K162" s="107" t="n"/>
    </row>
    <row r="163" ht="15.75" customHeight="1" s="95">
      <c r="A163" s="97" t="inlineStr">
        <is>
          <t>anonymus0162</t>
        </is>
      </c>
      <c r="B163" s="97" t="inlineStr">
        <is>
          <t>P</t>
        </is>
      </c>
      <c r="C163" s="97" t="inlineStr">
        <is>
          <t>35-69 Bulan</t>
        </is>
      </c>
      <c r="D163" s="97" t="inlineStr">
        <is>
          <t>12.2</t>
        </is>
      </c>
      <c r="E163" s="97" t="n">
        <v>99</v>
      </c>
      <c r="F163" s="97" t="inlineStr">
        <is>
          <t>Kurang</t>
        </is>
      </c>
      <c r="G163" s="97" t="inlineStr">
        <is>
          <t>Normal</t>
        </is>
      </c>
      <c r="H163" s="106" t="inlineStr">
        <is>
          <t>Gizi Kurang</t>
        </is>
      </c>
      <c r="I163" s="97" t="inlineStr">
        <is>
          <t>Ya</t>
        </is>
      </c>
      <c r="J163" s="97" t="inlineStr">
        <is>
          <t>Tidak</t>
        </is>
      </c>
      <c r="K163" s="107" t="n"/>
    </row>
    <row r="164" ht="15.75" customHeight="1" s="95">
      <c r="A164" s="97" t="inlineStr">
        <is>
          <t>anonymus0163</t>
        </is>
      </c>
      <c r="B164" s="97" t="inlineStr">
        <is>
          <t>L</t>
        </is>
      </c>
      <c r="C164" s="97" t="inlineStr">
        <is>
          <t>1-34 Bulan</t>
        </is>
      </c>
      <c r="D164" s="97" t="inlineStr">
        <is>
          <t>8.9</t>
        </is>
      </c>
      <c r="E164" s="97" t="n">
        <v>76</v>
      </c>
      <c r="F164" s="97" t="inlineStr">
        <is>
          <t>Normal</t>
        </is>
      </c>
      <c r="G164" s="97" t="inlineStr">
        <is>
          <t>Normal</t>
        </is>
      </c>
      <c r="H164" s="106" t="inlineStr">
        <is>
          <t>Gizi Baik</t>
        </is>
      </c>
      <c r="I164" s="97" t="inlineStr">
        <is>
          <t>Ya</t>
        </is>
      </c>
      <c r="J164" s="97" t="inlineStr">
        <is>
          <t>Tidak</t>
        </is>
      </c>
      <c r="K164" s="107" t="n"/>
    </row>
    <row r="165" ht="15.75" customHeight="1" s="95">
      <c r="A165" s="97" t="inlineStr">
        <is>
          <t>anonymus0164</t>
        </is>
      </c>
      <c r="B165" s="97" t="inlineStr">
        <is>
          <t>L</t>
        </is>
      </c>
      <c r="C165" s="97" t="inlineStr">
        <is>
          <t>1-34 Bulan</t>
        </is>
      </c>
      <c r="D165" s="97" t="n">
        <v>9</v>
      </c>
      <c r="E165" s="97" t="n">
        <v>85</v>
      </c>
      <c r="F165" s="97" t="inlineStr">
        <is>
          <t>Sangat Kurang</t>
        </is>
      </c>
      <c r="G165" s="97" t="inlineStr">
        <is>
          <t>Pendek</t>
        </is>
      </c>
      <c r="H165" s="106" t="inlineStr">
        <is>
          <t>Gizi Buruk</t>
        </is>
      </c>
      <c r="I165" s="97" t="inlineStr">
        <is>
          <t>Ya</t>
        </is>
      </c>
      <c r="J165" s="97" t="inlineStr">
        <is>
          <t>Stunting</t>
        </is>
      </c>
      <c r="K165" s="107" t="n"/>
    </row>
    <row r="166" ht="15.75" customHeight="1" s="95">
      <c r="A166" s="97" t="inlineStr">
        <is>
          <t>anonymus0165</t>
        </is>
      </c>
      <c r="B166" s="97" t="inlineStr">
        <is>
          <t>P</t>
        </is>
      </c>
      <c r="C166" s="97" t="inlineStr">
        <is>
          <t>35-69 Bulan</t>
        </is>
      </c>
      <c r="D166" s="97" t="n">
        <v>19</v>
      </c>
      <c r="E166" s="97" t="n">
        <v>116</v>
      </c>
      <c r="F166" s="97" t="inlineStr">
        <is>
          <t>Risiko Lebih</t>
        </is>
      </c>
      <c r="G166" s="97" t="inlineStr">
        <is>
          <t>Sangat Pendek</t>
        </is>
      </c>
      <c r="H166" s="106" t="inlineStr">
        <is>
          <t>Gizi Lebih</t>
        </is>
      </c>
      <c r="I166" s="97" t="inlineStr">
        <is>
          <t>Tidak</t>
        </is>
      </c>
      <c r="J166" s="97" t="inlineStr">
        <is>
          <t>Stunting</t>
        </is>
      </c>
      <c r="K166" s="107" t="n"/>
    </row>
    <row r="167" ht="15.75" customHeight="1" s="95">
      <c r="A167" s="97" t="inlineStr">
        <is>
          <t>anonymus0166</t>
        </is>
      </c>
      <c r="B167" s="97" t="inlineStr">
        <is>
          <t>L</t>
        </is>
      </c>
      <c r="C167" s="97" t="inlineStr">
        <is>
          <t>1-34 Bulan</t>
        </is>
      </c>
      <c r="D167" s="97" t="n">
        <v>6.8</v>
      </c>
      <c r="E167" s="97" t="n">
        <v>91</v>
      </c>
      <c r="F167" s="97" t="inlineStr">
        <is>
          <t>Kurang</t>
        </is>
      </c>
      <c r="G167" s="97" t="inlineStr">
        <is>
          <t>Normal</t>
        </is>
      </c>
      <c r="H167" s="106" t="inlineStr">
        <is>
          <t>Gizi Kurang</t>
        </is>
      </c>
      <c r="I167" s="97" t="inlineStr">
        <is>
          <t>Ya</t>
        </is>
      </c>
      <c r="J167" s="97" t="inlineStr">
        <is>
          <t>Tidak</t>
        </is>
      </c>
      <c r="K167" s="107" t="n"/>
    </row>
    <row r="168" ht="15.75" customHeight="1" s="95">
      <c r="A168" s="97" t="inlineStr">
        <is>
          <t>anonymus0167</t>
        </is>
      </c>
      <c r="B168" s="97" t="inlineStr">
        <is>
          <t>L</t>
        </is>
      </c>
      <c r="C168" s="97" t="inlineStr">
        <is>
          <t>1-34 Bulan</t>
        </is>
      </c>
      <c r="D168" s="97" t="n">
        <v>9.4</v>
      </c>
      <c r="E168" s="97" t="n">
        <v>81</v>
      </c>
      <c r="F168" s="97" t="inlineStr">
        <is>
          <t>Normal</t>
        </is>
      </c>
      <c r="G168" s="97" t="inlineStr">
        <is>
          <t>Normal</t>
        </is>
      </c>
      <c r="H168" s="106" t="inlineStr">
        <is>
          <t>Gizi Baik</t>
        </is>
      </c>
      <c r="I168" s="97" t="inlineStr">
        <is>
          <t>Ya</t>
        </is>
      </c>
      <c r="J168" s="97" t="inlineStr">
        <is>
          <t>Tidak</t>
        </is>
      </c>
      <c r="K168" s="107" t="n"/>
    </row>
    <row r="169" ht="15.75" customHeight="1" s="95">
      <c r="A169" s="97" t="inlineStr">
        <is>
          <t>anonymus0168</t>
        </is>
      </c>
      <c r="B169" s="97" t="inlineStr">
        <is>
          <t>P</t>
        </is>
      </c>
      <c r="C169" s="97" t="inlineStr">
        <is>
          <t>1-34 Bulan</t>
        </is>
      </c>
      <c r="D169" s="97" t="n">
        <v>10</v>
      </c>
      <c r="E169" s="97" t="n">
        <v>89</v>
      </c>
      <c r="F169" s="97" t="inlineStr">
        <is>
          <t>Normal</t>
        </is>
      </c>
      <c r="G169" s="97" t="inlineStr">
        <is>
          <t>Normal</t>
        </is>
      </c>
      <c r="H169" s="106" t="inlineStr">
        <is>
          <t>Gizi Baik</t>
        </is>
      </c>
      <c r="I169" s="97" t="inlineStr">
        <is>
          <t>Ya</t>
        </is>
      </c>
      <c r="J169" s="97" t="inlineStr">
        <is>
          <t>Tidak</t>
        </is>
      </c>
      <c r="K169" s="107" t="n"/>
    </row>
    <row r="170" ht="15.75" customHeight="1" s="95">
      <c r="A170" s="97" t="inlineStr">
        <is>
          <t>anonymus0169</t>
        </is>
      </c>
      <c r="B170" s="97" t="inlineStr">
        <is>
          <t>L</t>
        </is>
      </c>
      <c r="C170" s="97" t="inlineStr">
        <is>
          <t>35-69 Bulan</t>
        </is>
      </c>
      <c r="D170" s="97" t="n">
        <v>11.5</v>
      </c>
      <c r="E170" s="97" t="n">
        <v>85</v>
      </c>
      <c r="F170" s="97" t="inlineStr">
        <is>
          <t>Kurang</t>
        </is>
      </c>
      <c r="G170" s="97" t="inlineStr">
        <is>
          <t>Sangat Pendek</t>
        </is>
      </c>
      <c r="H170" s="106" t="inlineStr">
        <is>
          <t>Gizi Baik</t>
        </is>
      </c>
      <c r="I170" s="97" t="inlineStr">
        <is>
          <t>Ya</t>
        </is>
      </c>
      <c r="J170" s="97" t="inlineStr">
        <is>
          <t>Stunting</t>
        </is>
      </c>
      <c r="K170" s="107" t="n"/>
    </row>
    <row r="171" ht="15.75" customHeight="1" s="95">
      <c r="A171" s="97" t="inlineStr">
        <is>
          <t>anonymus0170</t>
        </is>
      </c>
      <c r="B171" s="97" t="inlineStr">
        <is>
          <t>P</t>
        </is>
      </c>
      <c r="C171" s="97" t="inlineStr">
        <is>
          <t>35-69 Bulan</t>
        </is>
      </c>
      <c r="D171" s="97" t="n">
        <v>17</v>
      </c>
      <c r="E171" s="97" t="n">
        <v>120</v>
      </c>
      <c r="F171" s="97" t="inlineStr">
        <is>
          <t>Normal</t>
        </is>
      </c>
      <c r="G171" s="97" t="inlineStr">
        <is>
          <t>Normal</t>
        </is>
      </c>
      <c r="H171" s="106" t="inlineStr">
        <is>
          <t>Gizi Baik</t>
        </is>
      </c>
      <c r="I171" s="97" t="inlineStr">
        <is>
          <t>Ya</t>
        </is>
      </c>
      <c r="J171" s="97" t="inlineStr">
        <is>
          <t>Tidak</t>
        </is>
      </c>
      <c r="K171" s="107" t="n"/>
    </row>
    <row r="172" ht="15.75" customHeight="1" s="95">
      <c r="A172" s="97" t="inlineStr">
        <is>
          <t>anonymus0171</t>
        </is>
      </c>
      <c r="B172" s="97" t="inlineStr">
        <is>
          <t>P</t>
        </is>
      </c>
      <c r="C172" s="97" t="inlineStr">
        <is>
          <t>1-34 Bulan</t>
        </is>
      </c>
      <c r="D172" s="97" t="n">
        <v>8.9</v>
      </c>
      <c r="E172" s="97" t="n">
        <v>86</v>
      </c>
      <c r="F172" s="97" t="inlineStr">
        <is>
          <t>Kurang</t>
        </is>
      </c>
      <c r="G172" s="97" t="inlineStr">
        <is>
          <t>Normal</t>
        </is>
      </c>
      <c r="H172" s="106" t="inlineStr">
        <is>
          <t>Gizi Kurang</t>
        </is>
      </c>
      <c r="I172" s="97" t="inlineStr">
        <is>
          <t>Ya</t>
        </is>
      </c>
      <c r="J172" s="97" t="inlineStr">
        <is>
          <t>Tidak</t>
        </is>
      </c>
      <c r="K172" s="107" t="n"/>
    </row>
    <row r="173" ht="15.75" customHeight="1" s="95">
      <c r="A173" s="97" t="inlineStr">
        <is>
          <t>anonymus0172</t>
        </is>
      </c>
      <c r="B173" s="97" t="inlineStr">
        <is>
          <t>L</t>
        </is>
      </c>
      <c r="C173" s="97" t="inlineStr">
        <is>
          <t>35-69 Bulan</t>
        </is>
      </c>
      <c r="D173" s="97" t="inlineStr">
        <is>
          <t>13.5</t>
        </is>
      </c>
      <c r="E173" s="97" t="n">
        <v>99</v>
      </c>
      <c r="F173" s="97" t="inlineStr">
        <is>
          <t>Normal</t>
        </is>
      </c>
      <c r="G173" s="97" t="inlineStr">
        <is>
          <t>Normal</t>
        </is>
      </c>
      <c r="H173" s="106" t="inlineStr">
        <is>
          <t>Gizi Baik</t>
        </is>
      </c>
      <c r="I173" s="97" t="inlineStr">
        <is>
          <t>Ya</t>
        </is>
      </c>
      <c r="J173" s="97" t="inlineStr">
        <is>
          <t>Tidak</t>
        </is>
      </c>
      <c r="K173" s="107" t="n"/>
    </row>
    <row r="174" ht="15.75" customHeight="1" s="95">
      <c r="A174" s="97" t="inlineStr">
        <is>
          <t>anonymus0173</t>
        </is>
      </c>
      <c r="B174" s="97" t="inlineStr">
        <is>
          <t>L</t>
        </is>
      </c>
      <c r="C174" s="97" t="inlineStr">
        <is>
          <t>35-69 Bulan</t>
        </is>
      </c>
      <c r="D174" s="97" t="n">
        <v>14.1</v>
      </c>
      <c r="E174" s="97" t="n">
        <v>97</v>
      </c>
      <c r="F174" s="97" t="inlineStr">
        <is>
          <t>Normal</t>
        </is>
      </c>
      <c r="G174" s="97" t="inlineStr">
        <is>
          <t>Normal</t>
        </is>
      </c>
      <c r="H174" s="106" t="inlineStr">
        <is>
          <t>Gizi Baik</t>
        </is>
      </c>
      <c r="I174" s="97" t="inlineStr">
        <is>
          <t>Ya</t>
        </is>
      </c>
      <c r="J174" s="97" t="inlineStr">
        <is>
          <t>Tidak</t>
        </is>
      </c>
      <c r="K174" s="107" t="n"/>
    </row>
    <row r="175" ht="15.75" customHeight="1" s="95">
      <c r="A175" s="97" t="inlineStr">
        <is>
          <t>anonymus0174</t>
        </is>
      </c>
      <c r="B175" s="97" t="inlineStr">
        <is>
          <t>P</t>
        </is>
      </c>
      <c r="C175" s="97" t="inlineStr">
        <is>
          <t>35-69 Bulan</t>
        </is>
      </c>
      <c r="D175" s="97" t="n">
        <v>10.6</v>
      </c>
      <c r="E175" s="97" t="n">
        <v>94</v>
      </c>
      <c r="F175" s="97" t="inlineStr">
        <is>
          <t>Kurang</t>
        </is>
      </c>
      <c r="G175" s="97" t="inlineStr">
        <is>
          <t>Normal</t>
        </is>
      </c>
      <c r="H175" s="106" t="inlineStr">
        <is>
          <t>Gizi Kurang</t>
        </is>
      </c>
      <c r="I175" s="97" t="inlineStr">
        <is>
          <t>Ya</t>
        </is>
      </c>
      <c r="J175" s="97" t="inlineStr">
        <is>
          <t>Tidak</t>
        </is>
      </c>
      <c r="K175" s="107" t="n"/>
    </row>
    <row r="176" ht="15.75" customHeight="1" s="95">
      <c r="A176" s="97" t="inlineStr">
        <is>
          <t>anonymus0175</t>
        </is>
      </c>
      <c r="B176" s="97" t="inlineStr">
        <is>
          <t>L</t>
        </is>
      </c>
      <c r="C176" s="97" t="inlineStr">
        <is>
          <t>1-34 Bulan</t>
        </is>
      </c>
      <c r="D176" s="97" t="n">
        <v>9.800000000000001</v>
      </c>
      <c r="E176" s="97" t="n">
        <v>84.5</v>
      </c>
      <c r="F176" s="97" t="inlineStr">
        <is>
          <t>Kurang</t>
        </is>
      </c>
      <c r="G176" s="97" t="inlineStr">
        <is>
          <t>Pendek</t>
        </is>
      </c>
      <c r="H176" s="106" t="inlineStr">
        <is>
          <t>Gizi Kurang</t>
        </is>
      </c>
      <c r="I176" s="97" t="inlineStr">
        <is>
          <t>Ya</t>
        </is>
      </c>
      <c r="J176" s="97" t="inlineStr">
        <is>
          <t>Potensi Stunting</t>
        </is>
      </c>
      <c r="K176" s="107" t="n"/>
    </row>
    <row r="177" ht="15.75" customHeight="1" s="95">
      <c r="A177" s="97" t="inlineStr">
        <is>
          <t>anonymus0176</t>
        </is>
      </c>
      <c r="B177" s="97" t="inlineStr">
        <is>
          <t>L</t>
        </is>
      </c>
      <c r="C177" s="97" t="inlineStr">
        <is>
          <t>1-34 Bulan</t>
        </is>
      </c>
      <c r="D177" s="97" t="inlineStr">
        <is>
          <t>10.2</t>
        </is>
      </c>
      <c r="E177" s="97" t="n">
        <v>81</v>
      </c>
      <c r="F177" s="97" t="inlineStr">
        <is>
          <t>Normal</t>
        </is>
      </c>
      <c r="G177" s="97" t="inlineStr">
        <is>
          <t>Normal</t>
        </is>
      </c>
      <c r="H177" s="106" t="inlineStr">
        <is>
          <t>Gizi Baik</t>
        </is>
      </c>
      <c r="I177" s="97" t="inlineStr">
        <is>
          <t>Ya</t>
        </is>
      </c>
      <c r="J177" s="97" t="inlineStr">
        <is>
          <t>Tidak</t>
        </is>
      </c>
      <c r="K177" s="107" t="n"/>
    </row>
    <row r="178" ht="15.75" customHeight="1" s="95">
      <c r="A178" s="97" t="inlineStr">
        <is>
          <t>anonymus0177</t>
        </is>
      </c>
      <c r="B178" s="97" t="inlineStr">
        <is>
          <t>P</t>
        </is>
      </c>
      <c r="C178" s="97" t="inlineStr">
        <is>
          <t>35-69 Bulan</t>
        </is>
      </c>
      <c r="D178" s="97" t="n">
        <v>10.2</v>
      </c>
      <c r="E178" s="97" t="n">
        <v>81</v>
      </c>
      <c r="F178" s="97" t="inlineStr">
        <is>
          <t>Normal</t>
        </is>
      </c>
      <c r="G178" s="97" t="inlineStr">
        <is>
          <t>Pendek</t>
        </is>
      </c>
      <c r="H178" s="106" t="inlineStr">
        <is>
          <t>Gizi Baik</t>
        </is>
      </c>
      <c r="I178" s="97" t="inlineStr">
        <is>
          <t>Ya</t>
        </is>
      </c>
      <c r="J178" s="97" t="inlineStr">
        <is>
          <t>Potensi Stunting</t>
        </is>
      </c>
      <c r="K178" s="107" t="n"/>
    </row>
    <row r="179" ht="15.75" customHeight="1" s="95">
      <c r="A179" s="97" t="inlineStr">
        <is>
          <t>anonymus0178</t>
        </is>
      </c>
      <c r="B179" s="97" t="inlineStr">
        <is>
          <t>P</t>
        </is>
      </c>
      <c r="C179" s="97" t="inlineStr">
        <is>
          <t>35-69 Bulan</t>
        </is>
      </c>
      <c r="D179" s="97" t="n">
        <v>10.9</v>
      </c>
      <c r="E179" s="97" t="n">
        <v>85</v>
      </c>
      <c r="F179" s="97" t="inlineStr">
        <is>
          <t>Normal</t>
        </is>
      </c>
      <c r="G179" s="97" t="inlineStr">
        <is>
          <t>Pendek</t>
        </is>
      </c>
      <c r="H179" s="106" t="inlineStr">
        <is>
          <t>Gizi Baik</t>
        </is>
      </c>
      <c r="I179" s="97" t="inlineStr">
        <is>
          <t>Ya</t>
        </is>
      </c>
      <c r="J179" s="97" t="inlineStr">
        <is>
          <t>Potensi Stunting</t>
        </is>
      </c>
      <c r="K179" s="107" t="n"/>
    </row>
    <row r="180" ht="15.75" customHeight="1" s="95">
      <c r="A180" s="97" t="inlineStr">
        <is>
          <t>anonymus0179</t>
        </is>
      </c>
      <c r="B180" s="97" t="inlineStr">
        <is>
          <t>L</t>
        </is>
      </c>
      <c r="C180" s="97" t="inlineStr">
        <is>
          <t>35-69 Bulan</t>
        </is>
      </c>
      <c r="D180" s="97" t="inlineStr">
        <is>
          <t>17.5</t>
        </is>
      </c>
      <c r="E180" s="97" t="n">
        <v>105</v>
      </c>
      <c r="F180" s="97" t="inlineStr">
        <is>
          <t>Normal</t>
        </is>
      </c>
      <c r="G180" s="97" t="inlineStr">
        <is>
          <t>Normal</t>
        </is>
      </c>
      <c r="H180" s="106" t="inlineStr">
        <is>
          <t>Gizi Baik</t>
        </is>
      </c>
      <c r="I180" s="97" t="inlineStr">
        <is>
          <t>Ya</t>
        </is>
      </c>
      <c r="J180" s="97" t="inlineStr">
        <is>
          <t>Tidak</t>
        </is>
      </c>
      <c r="K180" s="107" t="n"/>
    </row>
    <row r="181" ht="15.75" customHeight="1" s="95">
      <c r="A181" s="97" t="inlineStr">
        <is>
          <t>anonymus0180</t>
        </is>
      </c>
      <c r="B181" s="97" t="inlineStr">
        <is>
          <t>P</t>
        </is>
      </c>
      <c r="C181" s="97" t="inlineStr">
        <is>
          <t>35-69 Bulan</t>
        </is>
      </c>
      <c r="D181" s="97" t="inlineStr">
        <is>
          <t>18.2</t>
        </is>
      </c>
      <c r="E181" s="97" t="n">
        <v>106</v>
      </c>
      <c r="F181" s="97" t="inlineStr">
        <is>
          <t>Normal</t>
        </is>
      </c>
      <c r="G181" s="97" t="inlineStr">
        <is>
          <t>Normal</t>
        </is>
      </c>
      <c r="H181" s="106" t="inlineStr">
        <is>
          <t>Gizi Baik</t>
        </is>
      </c>
      <c r="I181" s="97" t="inlineStr">
        <is>
          <t>Ya</t>
        </is>
      </c>
      <c r="J181" s="97" t="inlineStr">
        <is>
          <t>Tidak</t>
        </is>
      </c>
      <c r="K181" s="107" t="n"/>
    </row>
    <row r="182" ht="15.75" customHeight="1" s="95">
      <c r="A182" s="97" t="inlineStr">
        <is>
          <t>anonymus0181</t>
        </is>
      </c>
      <c r="B182" s="97" t="inlineStr">
        <is>
          <t>L</t>
        </is>
      </c>
      <c r="C182" s="97" t="inlineStr">
        <is>
          <t>35-69 Bulan</t>
        </is>
      </c>
      <c r="D182" s="97" t="n">
        <v>16.2</v>
      </c>
      <c r="E182" s="97" t="n">
        <v>104</v>
      </c>
      <c r="F182" s="97" t="inlineStr">
        <is>
          <t>Normal</t>
        </is>
      </c>
      <c r="G182" s="97" t="inlineStr">
        <is>
          <t>Normal</t>
        </is>
      </c>
      <c r="H182" s="106" t="inlineStr">
        <is>
          <t>Gizi Baik</t>
        </is>
      </c>
      <c r="I182" s="97" t="inlineStr">
        <is>
          <t>Ya</t>
        </is>
      </c>
      <c r="J182" s="97" t="inlineStr">
        <is>
          <t>Tidak</t>
        </is>
      </c>
      <c r="K182" s="107" t="n"/>
    </row>
    <row r="183" ht="15.75" customHeight="1" s="95">
      <c r="A183" s="97" t="inlineStr">
        <is>
          <t>anonymus0182</t>
        </is>
      </c>
      <c r="B183" s="97" t="inlineStr">
        <is>
          <t>L</t>
        </is>
      </c>
      <c r="C183" s="97" t="inlineStr">
        <is>
          <t>1-34 Bulan</t>
        </is>
      </c>
      <c r="D183" s="97" t="inlineStr">
        <is>
          <t>6.9</t>
        </is>
      </c>
      <c r="E183" s="97" t="n">
        <v>62</v>
      </c>
      <c r="F183" s="97" t="inlineStr">
        <is>
          <t>Normal</t>
        </is>
      </c>
      <c r="G183" s="97" t="inlineStr">
        <is>
          <t>Normal</t>
        </is>
      </c>
      <c r="H183" s="106" t="inlineStr">
        <is>
          <t>Gizi Baik</t>
        </is>
      </c>
      <c r="I183" s="97" t="inlineStr">
        <is>
          <t>Ya</t>
        </is>
      </c>
      <c r="J183" s="97" t="inlineStr">
        <is>
          <t>Tidak</t>
        </is>
      </c>
      <c r="K183" s="107" t="n"/>
    </row>
    <row r="184" ht="15.75" customHeight="1" s="95">
      <c r="A184" s="97" t="inlineStr">
        <is>
          <t>anonymus0183</t>
        </is>
      </c>
      <c r="B184" s="97" t="inlineStr">
        <is>
          <t>L</t>
        </is>
      </c>
      <c r="C184" s="97" t="inlineStr">
        <is>
          <t>1-34 Bulan</t>
        </is>
      </c>
      <c r="D184" s="97" t="inlineStr">
        <is>
          <t>12.7</t>
        </is>
      </c>
      <c r="E184" s="97" t="n">
        <v>92</v>
      </c>
      <c r="F184" s="97" t="inlineStr">
        <is>
          <t>Normal</t>
        </is>
      </c>
      <c r="G184" s="97" t="inlineStr">
        <is>
          <t>Normal</t>
        </is>
      </c>
      <c r="H184" s="106" t="inlineStr">
        <is>
          <t>Gizi Baik</t>
        </is>
      </c>
      <c r="I184" s="97" t="inlineStr">
        <is>
          <t>Ya</t>
        </is>
      </c>
      <c r="J184" s="97" t="inlineStr">
        <is>
          <t>Tidak</t>
        </is>
      </c>
      <c r="K184" s="107" t="n"/>
    </row>
    <row r="185" ht="15.75" customHeight="1" s="95">
      <c r="A185" s="97" t="inlineStr">
        <is>
          <t>anonymus0184</t>
        </is>
      </c>
      <c r="B185" s="97" t="inlineStr">
        <is>
          <t>L</t>
        </is>
      </c>
      <c r="C185" s="97" t="inlineStr">
        <is>
          <t>35-69 Bulan</t>
        </is>
      </c>
      <c r="D185" s="97" t="n">
        <v>11.3</v>
      </c>
      <c r="E185" s="97" t="n">
        <v>88</v>
      </c>
      <c r="F185" s="97" t="inlineStr">
        <is>
          <t>Normal</t>
        </is>
      </c>
      <c r="G185" s="97" t="inlineStr">
        <is>
          <t>Pendek</t>
        </is>
      </c>
      <c r="H185" s="106" t="inlineStr">
        <is>
          <t>Gizi Baik</t>
        </is>
      </c>
      <c r="I185" s="97" t="inlineStr">
        <is>
          <t>Ya</t>
        </is>
      </c>
      <c r="J185" s="97" t="inlineStr">
        <is>
          <t>Potensi Stunting</t>
        </is>
      </c>
      <c r="K185" s="107" t="n"/>
    </row>
    <row r="186" ht="15.75" customHeight="1" s="95">
      <c r="A186" s="97" t="inlineStr">
        <is>
          <t>anonymus0185</t>
        </is>
      </c>
      <c r="B186" s="97" t="inlineStr">
        <is>
          <t>P</t>
        </is>
      </c>
      <c r="C186" s="97" t="inlineStr">
        <is>
          <t>35-69 Bulan</t>
        </is>
      </c>
      <c r="D186" s="97" t="n">
        <v>7.7</v>
      </c>
      <c r="E186" s="97" t="n">
        <v>70</v>
      </c>
      <c r="F186" s="97" t="inlineStr">
        <is>
          <t>Kurang</t>
        </is>
      </c>
      <c r="G186" s="97" t="inlineStr">
        <is>
          <t>Sangat Pendek</t>
        </is>
      </c>
      <c r="H186" s="106" t="inlineStr">
        <is>
          <t>Gizi Baik</t>
        </is>
      </c>
      <c r="I186" s="97" t="inlineStr">
        <is>
          <t>Ya</t>
        </is>
      </c>
      <c r="J186" s="97" t="inlineStr">
        <is>
          <t>Stunting</t>
        </is>
      </c>
      <c r="K186" s="107" t="n"/>
    </row>
    <row r="187" ht="15.75" customHeight="1" s="95">
      <c r="A187" s="97" t="inlineStr">
        <is>
          <t>anonymus0186</t>
        </is>
      </c>
      <c r="B187" s="97" t="inlineStr">
        <is>
          <t>L</t>
        </is>
      </c>
      <c r="C187" s="97" t="inlineStr">
        <is>
          <t>35-69 Bulan</t>
        </is>
      </c>
      <c r="D187" s="97" t="n">
        <v>14.9</v>
      </c>
      <c r="E187" s="97" t="n">
        <v>103</v>
      </c>
      <c r="F187" s="97" t="inlineStr">
        <is>
          <t>Normal</t>
        </is>
      </c>
      <c r="G187" s="97" t="inlineStr">
        <is>
          <t>Normal</t>
        </is>
      </c>
      <c r="H187" s="106" t="inlineStr">
        <is>
          <t>Gizi Baik</t>
        </is>
      </c>
      <c r="I187" s="97" t="inlineStr">
        <is>
          <t>Ya</t>
        </is>
      </c>
      <c r="J187" s="97" t="inlineStr">
        <is>
          <t>Tidak</t>
        </is>
      </c>
      <c r="K187" s="107" t="n"/>
    </row>
    <row r="188" ht="15.75" customHeight="1" s="95">
      <c r="A188" s="97" t="inlineStr">
        <is>
          <t>anonymus0187</t>
        </is>
      </c>
      <c r="B188" s="97" t="inlineStr">
        <is>
          <t>P</t>
        </is>
      </c>
      <c r="C188" s="97" t="inlineStr">
        <is>
          <t>35-69 Bulan</t>
        </is>
      </c>
      <c r="D188" s="97" t="n">
        <v>10.5</v>
      </c>
      <c r="E188" s="97" t="n">
        <v>93</v>
      </c>
      <c r="F188" s="97" t="inlineStr">
        <is>
          <t>Normal</t>
        </is>
      </c>
      <c r="G188" s="97" t="inlineStr">
        <is>
          <t>Normal</t>
        </is>
      </c>
      <c r="H188" s="106" t="inlineStr">
        <is>
          <t>Gizi Baik</t>
        </is>
      </c>
      <c r="I188" s="97" t="inlineStr">
        <is>
          <t>Ya</t>
        </is>
      </c>
      <c r="J188" s="97" t="inlineStr">
        <is>
          <t>Tidak</t>
        </is>
      </c>
      <c r="K188" s="107" t="n"/>
    </row>
    <row r="189" ht="15.75" customHeight="1" s="95">
      <c r="A189" s="97" t="inlineStr">
        <is>
          <t>anonymus0188</t>
        </is>
      </c>
      <c r="B189" s="97" t="inlineStr">
        <is>
          <t>L</t>
        </is>
      </c>
      <c r="C189" s="97" t="inlineStr">
        <is>
          <t>35-69 Bulan</t>
        </is>
      </c>
      <c r="D189" s="97" t="n">
        <v>10.4</v>
      </c>
      <c r="E189" s="97" t="n">
        <v>83</v>
      </c>
      <c r="F189" s="97" t="inlineStr">
        <is>
          <t>Kurang</t>
        </is>
      </c>
      <c r="G189" s="97" t="inlineStr">
        <is>
          <t>Pendek</t>
        </is>
      </c>
      <c r="H189" s="106" t="inlineStr">
        <is>
          <t>Gizi Baik</t>
        </is>
      </c>
      <c r="I189" s="97" t="inlineStr">
        <is>
          <t>Ya</t>
        </is>
      </c>
      <c r="J189" s="97" t="inlineStr">
        <is>
          <t>Potensi Stunting</t>
        </is>
      </c>
      <c r="K189" s="107" t="n"/>
    </row>
    <row r="190" ht="15.75" customHeight="1" s="95">
      <c r="A190" s="97" t="inlineStr">
        <is>
          <t>anonymus0189</t>
        </is>
      </c>
      <c r="B190" s="97" t="inlineStr">
        <is>
          <t>L</t>
        </is>
      </c>
      <c r="C190" s="97" t="inlineStr">
        <is>
          <t>35-69 Bulan</t>
        </is>
      </c>
      <c r="D190" s="97" t="n">
        <v>10.9</v>
      </c>
      <c r="E190" s="97" t="n">
        <v>104</v>
      </c>
      <c r="F190" s="97" t="inlineStr">
        <is>
          <t>Normal</t>
        </is>
      </c>
      <c r="G190" s="97" t="inlineStr">
        <is>
          <t>Normal</t>
        </is>
      </c>
      <c r="H190" s="106" t="inlineStr">
        <is>
          <t>Gizi Baik</t>
        </is>
      </c>
      <c r="I190" s="97" t="inlineStr">
        <is>
          <t>Ya</t>
        </is>
      </c>
      <c r="J190" s="97" t="inlineStr">
        <is>
          <t>Tidak</t>
        </is>
      </c>
      <c r="K190" s="107" t="n"/>
    </row>
    <row r="191" ht="15.75" customHeight="1" s="95">
      <c r="A191" s="97" t="inlineStr">
        <is>
          <t>anonymus0190</t>
        </is>
      </c>
      <c r="B191" s="97" t="inlineStr">
        <is>
          <t>L</t>
        </is>
      </c>
      <c r="C191" s="97" t="inlineStr">
        <is>
          <t>35-69 Bulan</t>
        </is>
      </c>
      <c r="D191" s="97" t="n">
        <v>11.2</v>
      </c>
      <c r="E191" s="97" t="n">
        <v>85</v>
      </c>
      <c r="F191" s="97" t="inlineStr">
        <is>
          <t>Normal</t>
        </is>
      </c>
      <c r="G191" s="97" t="inlineStr">
        <is>
          <t>Pendek</t>
        </is>
      </c>
      <c r="H191" s="106" t="inlineStr">
        <is>
          <t>Gizi Baik</t>
        </is>
      </c>
      <c r="I191" s="97" t="inlineStr">
        <is>
          <t>Ya</t>
        </is>
      </c>
      <c r="J191" s="97" t="inlineStr">
        <is>
          <t>Potensi Stunting</t>
        </is>
      </c>
      <c r="K191" s="107" t="n"/>
    </row>
    <row r="192" ht="15.75" customHeight="1" s="95">
      <c r="A192" s="97" t="inlineStr">
        <is>
          <t>anonymus0191</t>
        </is>
      </c>
      <c r="B192" s="97" t="inlineStr">
        <is>
          <t>L</t>
        </is>
      </c>
      <c r="C192" s="97" t="inlineStr">
        <is>
          <t>35-69 Bulan</t>
        </is>
      </c>
      <c r="D192" s="97" t="n">
        <v>12.6</v>
      </c>
      <c r="E192" s="97" t="n">
        <v>85</v>
      </c>
      <c r="F192" s="97" t="inlineStr">
        <is>
          <t>Normal</t>
        </is>
      </c>
      <c r="G192" s="97" t="inlineStr">
        <is>
          <t>Pendek</t>
        </is>
      </c>
      <c r="H192" s="106" t="inlineStr">
        <is>
          <t>Gizi Baik</t>
        </is>
      </c>
      <c r="I192" s="97" t="inlineStr">
        <is>
          <t>Ya</t>
        </is>
      </c>
      <c r="J192" s="97" t="inlineStr">
        <is>
          <t>Potensi Stunting</t>
        </is>
      </c>
      <c r="K192" s="107" t="n"/>
    </row>
    <row r="193" ht="15.75" customHeight="1" s="95">
      <c r="A193" s="97" t="inlineStr">
        <is>
          <t>anonymus0192</t>
        </is>
      </c>
      <c r="B193" s="97" t="inlineStr">
        <is>
          <t>P</t>
        </is>
      </c>
      <c r="C193" s="97" t="inlineStr">
        <is>
          <t>1-34 Bulan</t>
        </is>
      </c>
      <c r="D193" s="97" t="n">
        <v>8.800000000000001</v>
      </c>
      <c r="E193" s="97" t="n">
        <v>76</v>
      </c>
      <c r="F193" s="97" t="inlineStr">
        <is>
          <t>Kurang</t>
        </is>
      </c>
      <c r="G193" s="97" t="inlineStr">
        <is>
          <t>Normal</t>
        </is>
      </c>
      <c r="H193" s="106" t="inlineStr">
        <is>
          <t>Gizi Kurang</t>
        </is>
      </c>
      <c r="I193" s="97" t="inlineStr">
        <is>
          <t>Ya</t>
        </is>
      </c>
      <c r="J193" s="97" t="inlineStr">
        <is>
          <t>Tidak</t>
        </is>
      </c>
      <c r="K193" s="107" t="n"/>
    </row>
    <row r="194" ht="15.75" customHeight="1" s="95">
      <c r="A194" s="97" t="inlineStr">
        <is>
          <t>anonymus0193</t>
        </is>
      </c>
      <c r="B194" s="97" t="inlineStr">
        <is>
          <t>L</t>
        </is>
      </c>
      <c r="C194" s="97" t="inlineStr">
        <is>
          <t>35-69 Bulan</t>
        </is>
      </c>
      <c r="D194" s="97" t="inlineStr">
        <is>
          <t>15.9</t>
        </is>
      </c>
      <c r="E194" s="97" t="n">
        <v>100</v>
      </c>
      <c r="F194" s="97" t="inlineStr">
        <is>
          <t>Normal</t>
        </is>
      </c>
      <c r="G194" s="97" t="inlineStr">
        <is>
          <t>Normal</t>
        </is>
      </c>
      <c r="H194" s="106" t="inlineStr">
        <is>
          <t>Gizi Baik</t>
        </is>
      </c>
      <c r="I194" s="97" t="inlineStr">
        <is>
          <t>Ya</t>
        </is>
      </c>
      <c r="J194" s="97" t="inlineStr">
        <is>
          <t>Tidak</t>
        </is>
      </c>
      <c r="K194" s="107" t="n"/>
    </row>
    <row r="195" ht="15.75" customHeight="1" s="95">
      <c r="A195" s="97" t="inlineStr">
        <is>
          <t>anonymus0194</t>
        </is>
      </c>
      <c r="B195" s="97" t="inlineStr">
        <is>
          <t>L</t>
        </is>
      </c>
      <c r="C195" s="97" t="inlineStr">
        <is>
          <t>1-34 Bulan</t>
        </is>
      </c>
      <c r="D195" s="97" t="inlineStr">
        <is>
          <t>10.8</t>
        </is>
      </c>
      <c r="E195" s="97" t="n">
        <v>79</v>
      </c>
      <c r="F195" s="97" t="inlineStr">
        <is>
          <t>Normal</t>
        </is>
      </c>
      <c r="G195" s="97" t="inlineStr">
        <is>
          <t>Pendek</t>
        </is>
      </c>
      <c r="H195" s="106" t="inlineStr">
        <is>
          <t>Gizi Baik</t>
        </is>
      </c>
      <c r="I195" s="97" t="inlineStr">
        <is>
          <t>Ya</t>
        </is>
      </c>
      <c r="J195" s="97" t="inlineStr">
        <is>
          <t>Potensi Stunting</t>
        </is>
      </c>
      <c r="K195" s="107" t="n"/>
    </row>
    <row r="196" ht="15.75" customHeight="1" s="95">
      <c r="A196" s="97" t="inlineStr">
        <is>
          <t>anonymus0195</t>
        </is>
      </c>
      <c r="B196" s="97" t="inlineStr">
        <is>
          <t>P</t>
        </is>
      </c>
      <c r="C196" s="97" t="inlineStr">
        <is>
          <t>35-69 Bulan</t>
        </is>
      </c>
      <c r="D196" s="97" t="n">
        <v>10.1</v>
      </c>
      <c r="E196" s="97" t="n">
        <v>93</v>
      </c>
      <c r="F196" s="97" t="inlineStr">
        <is>
          <t>Normal</t>
        </is>
      </c>
      <c r="G196" s="97" t="inlineStr">
        <is>
          <t>Normal</t>
        </is>
      </c>
      <c r="H196" s="106" t="inlineStr">
        <is>
          <t>Gizi Baik</t>
        </is>
      </c>
      <c r="I196" s="97" t="inlineStr">
        <is>
          <t>Ya</t>
        </is>
      </c>
      <c r="J196" s="97" t="inlineStr">
        <is>
          <t>Tidak</t>
        </is>
      </c>
      <c r="K196" s="107" t="n"/>
    </row>
    <row r="197" ht="15.75" customHeight="1" s="95">
      <c r="A197" s="97" t="inlineStr">
        <is>
          <t>anonymus0196</t>
        </is>
      </c>
      <c r="B197" s="97" t="inlineStr">
        <is>
          <t>L</t>
        </is>
      </c>
      <c r="C197" s="97" t="inlineStr">
        <is>
          <t>35-69 Bulan</t>
        </is>
      </c>
      <c r="D197" s="97" t="n">
        <v>8.640000000000001</v>
      </c>
      <c r="E197" s="97" t="n">
        <v>78</v>
      </c>
      <c r="F197" s="97" t="inlineStr">
        <is>
          <t>Kurang</t>
        </is>
      </c>
      <c r="G197" s="97" t="inlineStr">
        <is>
          <t>Pendek</t>
        </is>
      </c>
      <c r="H197" s="106" t="inlineStr">
        <is>
          <t>Gizi Kurang</t>
        </is>
      </c>
      <c r="I197" s="97" t="inlineStr">
        <is>
          <t>Ya</t>
        </is>
      </c>
      <c r="J197" s="97" t="inlineStr">
        <is>
          <t>Potensi Stunting</t>
        </is>
      </c>
      <c r="K197" s="107" t="n"/>
    </row>
    <row r="198" ht="15.75" customHeight="1" s="95">
      <c r="A198" s="97" t="inlineStr">
        <is>
          <t>anonymus0197</t>
        </is>
      </c>
      <c r="B198" s="97" t="inlineStr">
        <is>
          <t>P</t>
        </is>
      </c>
      <c r="C198" s="97" t="inlineStr">
        <is>
          <t>35-69 Bulan</t>
        </is>
      </c>
      <c r="D198" s="97" t="n">
        <v>11.5</v>
      </c>
      <c r="E198" s="97" t="n">
        <v>92</v>
      </c>
      <c r="F198" s="97" t="inlineStr">
        <is>
          <t>Kurang</t>
        </is>
      </c>
      <c r="G198" s="97" t="inlineStr">
        <is>
          <t>Pendek</t>
        </is>
      </c>
      <c r="H198" s="106" t="inlineStr">
        <is>
          <t>Gizi Baik</t>
        </is>
      </c>
      <c r="I198" s="97" t="inlineStr">
        <is>
          <t>Ya</t>
        </is>
      </c>
      <c r="J198" s="97" t="inlineStr">
        <is>
          <t>Potensi Stunting</t>
        </is>
      </c>
      <c r="K198" s="107" t="n"/>
    </row>
    <row r="199" ht="15.75" customHeight="1" s="95">
      <c r="A199" s="97" t="inlineStr">
        <is>
          <t>anonymus0198</t>
        </is>
      </c>
      <c r="B199" s="97" t="inlineStr">
        <is>
          <t>P</t>
        </is>
      </c>
      <c r="C199" s="97" t="inlineStr">
        <is>
          <t>1-34 Bulan</t>
        </is>
      </c>
      <c r="D199" s="97" t="n">
        <v>11</v>
      </c>
      <c r="E199" s="97" t="n">
        <v>97</v>
      </c>
      <c r="F199" s="97" t="inlineStr">
        <is>
          <t>Normal</t>
        </is>
      </c>
      <c r="G199" s="97" t="inlineStr">
        <is>
          <t>Normal</t>
        </is>
      </c>
      <c r="H199" s="106" t="inlineStr">
        <is>
          <t>Gizi Baik</t>
        </is>
      </c>
      <c r="I199" s="97" t="inlineStr">
        <is>
          <t>Ya</t>
        </is>
      </c>
      <c r="J199" s="97" t="inlineStr">
        <is>
          <t>Tidak</t>
        </is>
      </c>
      <c r="K199" s="107" t="n"/>
    </row>
    <row r="200" ht="15.75" customHeight="1" s="95">
      <c r="A200" s="97" t="inlineStr">
        <is>
          <t>anonymus0199</t>
        </is>
      </c>
      <c r="B200" s="97" t="inlineStr">
        <is>
          <t>P</t>
        </is>
      </c>
      <c r="C200" s="97" t="inlineStr">
        <is>
          <t>35-69 Bulan</t>
        </is>
      </c>
      <c r="D200" s="97" t="n">
        <v>19.4</v>
      </c>
      <c r="E200" s="97" t="n">
        <v>105</v>
      </c>
      <c r="F200" s="97" t="inlineStr">
        <is>
          <t>Risiko Lebih</t>
        </is>
      </c>
      <c r="G200" s="97" t="inlineStr">
        <is>
          <t>Normal</t>
        </is>
      </c>
      <c r="H200" s="106" t="inlineStr">
        <is>
          <t>Gizi Lebih</t>
        </is>
      </c>
      <c r="I200" s="97" t="inlineStr">
        <is>
          <t>Ya</t>
        </is>
      </c>
      <c r="J200" s="97" t="inlineStr">
        <is>
          <t>Tidak</t>
        </is>
      </c>
      <c r="K200" s="107" t="n"/>
    </row>
    <row r="201" ht="15.75" customHeight="1" s="95">
      <c r="A201" s="97" t="inlineStr">
        <is>
          <t>anonymus0200</t>
        </is>
      </c>
      <c r="B201" s="97" t="inlineStr">
        <is>
          <t>L</t>
        </is>
      </c>
      <c r="C201" s="97" t="inlineStr">
        <is>
          <t>35-69 Bulan</t>
        </is>
      </c>
      <c r="D201" s="97" t="n">
        <v>18.6</v>
      </c>
      <c r="E201" s="97" t="n">
        <v>119</v>
      </c>
      <c r="F201" s="97" t="inlineStr">
        <is>
          <t>Risiko Lebih</t>
        </is>
      </c>
      <c r="G201" s="97" t="inlineStr">
        <is>
          <t>Normal</t>
        </is>
      </c>
      <c r="H201" s="106" t="inlineStr">
        <is>
          <t>Gizi Lebih</t>
        </is>
      </c>
      <c r="I201" s="97" t="inlineStr">
        <is>
          <t>Ya</t>
        </is>
      </c>
      <c r="J201" s="97" t="inlineStr">
        <is>
          <t>Tidak</t>
        </is>
      </c>
      <c r="K201" s="107" t="n"/>
    </row>
    <row r="202" ht="15.75" customHeight="1" s="95">
      <c r="A202" s="97" t="inlineStr">
        <is>
          <t>anonymus0201</t>
        </is>
      </c>
      <c r="B202" s="97" t="inlineStr">
        <is>
          <t>L</t>
        </is>
      </c>
      <c r="C202" s="97" t="inlineStr">
        <is>
          <t>35-69 Bulan</t>
        </is>
      </c>
      <c r="D202" s="97" t="n">
        <v>17</v>
      </c>
      <c r="E202" s="97" t="n">
        <v>119</v>
      </c>
      <c r="F202" s="97" t="inlineStr">
        <is>
          <t>Normal</t>
        </is>
      </c>
      <c r="G202" s="97" t="inlineStr">
        <is>
          <t>Normal</t>
        </is>
      </c>
      <c r="H202" s="106" t="inlineStr">
        <is>
          <t>Gizi Baik</t>
        </is>
      </c>
      <c r="I202" s="97" t="inlineStr">
        <is>
          <t>Ya</t>
        </is>
      </c>
      <c r="J202" s="97" t="inlineStr">
        <is>
          <t>Tidak</t>
        </is>
      </c>
      <c r="K202" s="107" t="n"/>
    </row>
    <row r="203" ht="15.75" customHeight="1" s="95">
      <c r="A203" s="97" t="inlineStr">
        <is>
          <t>anonymus0202</t>
        </is>
      </c>
      <c r="B203" s="97" t="inlineStr">
        <is>
          <t>L</t>
        </is>
      </c>
      <c r="C203" s="97" t="inlineStr">
        <is>
          <t>1-34 Bulan</t>
        </is>
      </c>
      <c r="D203" s="97" t="n">
        <v>14.3</v>
      </c>
      <c r="E203" s="97" t="n">
        <v>82</v>
      </c>
      <c r="F203" s="97" t="inlineStr">
        <is>
          <t>Normal</t>
        </is>
      </c>
      <c r="G203" s="97" t="inlineStr">
        <is>
          <t>Normal</t>
        </is>
      </c>
      <c r="H203" s="106" t="inlineStr">
        <is>
          <t>Gizi Baik</t>
        </is>
      </c>
      <c r="I203" s="97" t="inlineStr">
        <is>
          <t>Ya</t>
        </is>
      </c>
      <c r="J203" s="97" t="inlineStr">
        <is>
          <t>Tidak</t>
        </is>
      </c>
      <c r="K203" s="107" t="n"/>
    </row>
    <row r="204" ht="15.75" customHeight="1" s="95">
      <c r="A204" s="97" t="inlineStr">
        <is>
          <t>anonymus0203</t>
        </is>
      </c>
      <c r="B204" s="97" t="inlineStr">
        <is>
          <t>L</t>
        </is>
      </c>
      <c r="C204" s="97" t="inlineStr">
        <is>
          <t>35-69 Bulan</t>
        </is>
      </c>
      <c r="D204" s="97" t="n">
        <v>10.5</v>
      </c>
      <c r="E204" s="97" t="n">
        <v>80</v>
      </c>
      <c r="F204" s="97" t="inlineStr">
        <is>
          <t>Normal</t>
        </is>
      </c>
      <c r="G204" s="97" t="inlineStr">
        <is>
          <t>Pendek</t>
        </is>
      </c>
      <c r="H204" s="106" t="inlineStr">
        <is>
          <t>Gizi Baik</t>
        </is>
      </c>
      <c r="I204" s="97" t="inlineStr">
        <is>
          <t>Ya</t>
        </is>
      </c>
      <c r="J204" s="97" t="inlineStr">
        <is>
          <t>Potensi Stunting</t>
        </is>
      </c>
      <c r="K204" s="107" t="n"/>
    </row>
    <row r="205" ht="15.75" customHeight="1" s="95">
      <c r="A205" s="97" t="inlineStr">
        <is>
          <t>anonymus0204</t>
        </is>
      </c>
      <c r="B205" s="97" t="inlineStr">
        <is>
          <t>L</t>
        </is>
      </c>
      <c r="C205" s="97" t="inlineStr">
        <is>
          <t>1-34 Bulan</t>
        </is>
      </c>
      <c r="D205" s="97" t="n">
        <v>12.5</v>
      </c>
      <c r="E205" s="97" t="n">
        <v>85</v>
      </c>
      <c r="F205" s="97" t="inlineStr">
        <is>
          <t>Normal</t>
        </is>
      </c>
      <c r="G205" s="97" t="inlineStr">
        <is>
          <t>Normal</t>
        </is>
      </c>
      <c r="H205" s="106" t="inlineStr">
        <is>
          <t>Gizi Baik</t>
        </is>
      </c>
      <c r="I205" s="97" t="inlineStr">
        <is>
          <t>Ya</t>
        </is>
      </c>
      <c r="J205" s="97" t="inlineStr">
        <is>
          <t>Tidak</t>
        </is>
      </c>
      <c r="K205" s="107" t="n"/>
    </row>
    <row r="206" ht="15.75" customHeight="1" s="95">
      <c r="A206" s="97" t="inlineStr">
        <is>
          <t>anonymus0205</t>
        </is>
      </c>
      <c r="B206" s="97" t="inlineStr">
        <is>
          <t>P</t>
        </is>
      </c>
      <c r="C206" s="97" t="inlineStr">
        <is>
          <t>1-34 Bulan</t>
        </is>
      </c>
      <c r="D206" s="97" t="n">
        <v>10</v>
      </c>
      <c r="E206" s="97" t="n">
        <v>89</v>
      </c>
      <c r="F206" s="97" t="inlineStr">
        <is>
          <t>Kurang</t>
        </is>
      </c>
      <c r="G206" s="97" t="inlineStr">
        <is>
          <t>Normal</t>
        </is>
      </c>
      <c r="H206" s="106" t="inlineStr">
        <is>
          <t>Gizi Kurang</t>
        </is>
      </c>
      <c r="I206" s="97" t="inlineStr">
        <is>
          <t>Ya</t>
        </is>
      </c>
      <c r="J206" s="97" t="inlineStr">
        <is>
          <t>Tidak</t>
        </is>
      </c>
      <c r="K206" s="107" t="n"/>
    </row>
    <row r="207" ht="15.75" customHeight="1" s="95">
      <c r="A207" s="97" t="inlineStr">
        <is>
          <t>anonymus0206</t>
        </is>
      </c>
      <c r="B207" s="97" t="inlineStr">
        <is>
          <t>P</t>
        </is>
      </c>
      <c r="C207" s="97" t="inlineStr">
        <is>
          <t>35-69 Bulan</t>
        </is>
      </c>
      <c r="D207" s="97" t="inlineStr">
        <is>
          <t>12.8</t>
        </is>
      </c>
      <c r="E207" s="97" t="n">
        <v>97</v>
      </c>
      <c r="F207" s="97" t="inlineStr">
        <is>
          <t>Normal</t>
        </is>
      </c>
      <c r="G207" s="97" t="inlineStr">
        <is>
          <t>Normal</t>
        </is>
      </c>
      <c r="H207" s="106" t="inlineStr">
        <is>
          <t>Gizi Baik</t>
        </is>
      </c>
      <c r="I207" s="97" t="inlineStr">
        <is>
          <t>Ya</t>
        </is>
      </c>
      <c r="J207" s="97" t="inlineStr">
        <is>
          <t>Tidak</t>
        </is>
      </c>
      <c r="K207" s="107" t="n"/>
    </row>
    <row r="208" ht="15.75" customHeight="1" s="95">
      <c r="A208" s="97" t="inlineStr">
        <is>
          <t>anonymus0207</t>
        </is>
      </c>
      <c r="B208" s="97" t="inlineStr">
        <is>
          <t>L</t>
        </is>
      </c>
      <c r="C208" s="97" t="inlineStr">
        <is>
          <t>1-34 Bulan</t>
        </is>
      </c>
      <c r="D208" s="97" t="inlineStr">
        <is>
          <t>13.1</t>
        </is>
      </c>
      <c r="E208" s="97" t="n">
        <v>90</v>
      </c>
      <c r="F208" s="97" t="inlineStr">
        <is>
          <t>Normal</t>
        </is>
      </c>
      <c r="G208" s="97" t="inlineStr">
        <is>
          <t>Normal</t>
        </is>
      </c>
      <c r="H208" s="106" t="inlineStr">
        <is>
          <t>Gizi Baik</t>
        </is>
      </c>
      <c r="I208" s="97" t="inlineStr">
        <is>
          <t>Ya</t>
        </is>
      </c>
      <c r="J208" s="97" t="inlineStr">
        <is>
          <t>Tidak</t>
        </is>
      </c>
      <c r="K208" s="107" t="n"/>
    </row>
    <row r="209" ht="15.75" customHeight="1" s="95">
      <c r="A209" s="97" t="inlineStr">
        <is>
          <t>anonymus0208</t>
        </is>
      </c>
      <c r="B209" s="97" t="inlineStr">
        <is>
          <t>L</t>
        </is>
      </c>
      <c r="C209" s="97" t="inlineStr">
        <is>
          <t>1-34 Bulan</t>
        </is>
      </c>
      <c r="D209" s="97" t="inlineStr">
        <is>
          <t>9.9</t>
        </is>
      </c>
      <c r="E209" s="97" t="n">
        <v>71</v>
      </c>
      <c r="F209" s="97" t="inlineStr">
        <is>
          <t>Normal</t>
        </is>
      </c>
      <c r="G209" s="97" t="inlineStr">
        <is>
          <t>Normal</t>
        </is>
      </c>
      <c r="H209" s="106" t="inlineStr">
        <is>
          <t>Risiko Gizi Lebih</t>
        </is>
      </c>
      <c r="I209" s="97" t="inlineStr">
        <is>
          <t>Ya</t>
        </is>
      </c>
      <c r="J209" s="97" t="inlineStr">
        <is>
          <t>Tidak</t>
        </is>
      </c>
      <c r="K209" s="107" t="n"/>
    </row>
    <row r="210" ht="15.75" customHeight="1" s="95">
      <c r="A210" s="97" t="inlineStr">
        <is>
          <t>anonymus0209</t>
        </is>
      </c>
      <c r="B210" s="97" t="inlineStr">
        <is>
          <t>L</t>
        </is>
      </c>
      <c r="C210" s="97" t="inlineStr">
        <is>
          <t>35-69 Bulan</t>
        </is>
      </c>
      <c r="D210" s="97" t="inlineStr">
        <is>
          <t>18.3</t>
        </is>
      </c>
      <c r="E210" s="97" t="n">
        <v>107</v>
      </c>
      <c r="F210" s="97" t="inlineStr">
        <is>
          <t>Normal</t>
        </is>
      </c>
      <c r="G210" s="97" t="inlineStr">
        <is>
          <t>Normal</t>
        </is>
      </c>
      <c r="H210" s="106" t="inlineStr">
        <is>
          <t>Gizi Baik</t>
        </is>
      </c>
      <c r="I210" s="97" t="inlineStr">
        <is>
          <t>Ya</t>
        </is>
      </c>
      <c r="J210" s="97" t="inlineStr">
        <is>
          <t>Tidak</t>
        </is>
      </c>
      <c r="K210" s="107" t="n"/>
    </row>
    <row r="211" ht="15.75" customHeight="1" s="95">
      <c r="A211" s="97" t="inlineStr">
        <is>
          <t>anonymus0210</t>
        </is>
      </c>
      <c r="B211" s="97" t="inlineStr">
        <is>
          <t>L</t>
        </is>
      </c>
      <c r="C211" s="97" t="inlineStr">
        <is>
          <t>1-34 Bulan</t>
        </is>
      </c>
      <c r="D211" s="97" t="inlineStr">
        <is>
          <t>14.6</t>
        </is>
      </c>
      <c r="E211" s="97" t="n">
        <v>84</v>
      </c>
      <c r="F211" s="97" t="inlineStr">
        <is>
          <t>Risiko Lebih</t>
        </is>
      </c>
      <c r="G211" s="97" t="inlineStr">
        <is>
          <t>Normal</t>
        </is>
      </c>
      <c r="H211" s="106" t="inlineStr">
        <is>
          <t>Gizi Buruk</t>
        </is>
      </c>
      <c r="I211" s="97" t="inlineStr">
        <is>
          <t>Ya</t>
        </is>
      </c>
      <c r="J211" s="97" t="inlineStr">
        <is>
          <t>Potensi Stunting</t>
        </is>
      </c>
      <c r="K211" s="107" t="n"/>
    </row>
    <row r="212" ht="15.75" customHeight="1" s="95">
      <c r="A212" s="97" t="inlineStr">
        <is>
          <t>anonymus0211</t>
        </is>
      </c>
      <c r="B212" s="97" t="inlineStr">
        <is>
          <t>P</t>
        </is>
      </c>
      <c r="C212" s="97" t="inlineStr">
        <is>
          <t>1-34 Bulan</t>
        </is>
      </c>
      <c r="D212" s="97" t="n">
        <v>12.6</v>
      </c>
      <c r="E212" s="97" t="n">
        <v>80</v>
      </c>
      <c r="F212" s="97" t="inlineStr">
        <is>
          <t>Normal</t>
        </is>
      </c>
      <c r="G212" s="97" t="inlineStr">
        <is>
          <t>Normal</t>
        </is>
      </c>
      <c r="H212" s="106" t="inlineStr">
        <is>
          <t>Gizi Baik</t>
        </is>
      </c>
      <c r="I212" s="97" t="inlineStr">
        <is>
          <t>Ya</t>
        </is>
      </c>
      <c r="J212" s="97" t="inlineStr">
        <is>
          <t>Tidak</t>
        </is>
      </c>
      <c r="K212" s="107" t="n"/>
    </row>
    <row r="213" ht="15.75" customHeight="1" s="95">
      <c r="A213" s="97" t="inlineStr">
        <is>
          <t>anonymus0212</t>
        </is>
      </c>
      <c r="B213" s="97" t="inlineStr">
        <is>
          <t>L</t>
        </is>
      </c>
      <c r="C213" s="97" t="inlineStr">
        <is>
          <t>1-34 Bulan</t>
        </is>
      </c>
      <c r="D213" s="97" t="n">
        <v>6.8</v>
      </c>
      <c r="E213" s="97" t="n">
        <v>91</v>
      </c>
      <c r="F213" s="97" t="inlineStr">
        <is>
          <t>Kurang</t>
        </is>
      </c>
      <c r="G213" s="97" t="inlineStr">
        <is>
          <t>Normal</t>
        </is>
      </c>
      <c r="H213" s="106" t="inlineStr">
        <is>
          <t>Gizi Kurang</t>
        </is>
      </c>
      <c r="I213" s="97" t="inlineStr">
        <is>
          <t>Ya</t>
        </is>
      </c>
      <c r="J213" s="97" t="inlineStr">
        <is>
          <t>Tidak</t>
        </is>
      </c>
      <c r="K213" s="107" t="n"/>
    </row>
    <row r="214" ht="15.75" customHeight="1" s="95">
      <c r="A214" s="97" t="inlineStr">
        <is>
          <t>anonymus0213</t>
        </is>
      </c>
      <c r="B214" s="97" t="inlineStr">
        <is>
          <t>P</t>
        </is>
      </c>
      <c r="C214" s="97" t="inlineStr">
        <is>
          <t>35-69 Bulan</t>
        </is>
      </c>
      <c r="D214" s="97" t="n">
        <v>10.3</v>
      </c>
      <c r="E214" s="97" t="n">
        <v>120</v>
      </c>
      <c r="F214" s="97" t="inlineStr">
        <is>
          <t>Normal</t>
        </is>
      </c>
      <c r="G214" s="97" t="inlineStr">
        <is>
          <t>Normal</t>
        </is>
      </c>
      <c r="H214" s="106" t="inlineStr">
        <is>
          <t>Gizi Baik</t>
        </is>
      </c>
      <c r="I214" s="97" t="inlineStr">
        <is>
          <t>Ya</t>
        </is>
      </c>
      <c r="J214" s="97" t="inlineStr">
        <is>
          <t>Tidak</t>
        </is>
      </c>
      <c r="K214" s="107" t="n"/>
    </row>
    <row r="215" ht="15.75" customHeight="1" s="95">
      <c r="A215" s="97" t="inlineStr">
        <is>
          <t>anonymus0214</t>
        </is>
      </c>
      <c r="B215" s="97" t="inlineStr">
        <is>
          <t>P</t>
        </is>
      </c>
      <c r="C215" s="97" t="inlineStr">
        <is>
          <t>35-69 Bulan</t>
        </is>
      </c>
      <c r="D215" s="97" t="n">
        <v>8.6</v>
      </c>
      <c r="E215" s="97" t="n">
        <v>78</v>
      </c>
      <c r="F215" s="97" t="inlineStr">
        <is>
          <t>Kurang</t>
        </is>
      </c>
      <c r="G215" s="97" t="inlineStr">
        <is>
          <t>Pendek</t>
        </is>
      </c>
      <c r="H215" s="106" t="inlineStr">
        <is>
          <t>Gizi Baik</t>
        </is>
      </c>
      <c r="I215" s="97" t="inlineStr">
        <is>
          <t>Ya</t>
        </is>
      </c>
      <c r="J215" s="97" t="inlineStr">
        <is>
          <t>Potensi Stunting</t>
        </is>
      </c>
      <c r="K215" s="107" t="n"/>
    </row>
    <row r="216" ht="15.75" customHeight="1" s="95">
      <c r="A216" s="97" t="inlineStr">
        <is>
          <t>anonymus0215</t>
        </is>
      </c>
      <c r="B216" s="97" t="inlineStr">
        <is>
          <t>L</t>
        </is>
      </c>
      <c r="C216" s="97" t="inlineStr">
        <is>
          <t>35-69 Bulan</t>
        </is>
      </c>
      <c r="D216" s="97" t="n">
        <v>17.9</v>
      </c>
      <c r="E216" s="97" t="n">
        <v>91</v>
      </c>
      <c r="F216" s="97" t="inlineStr">
        <is>
          <t>Risiko Lebih</t>
        </is>
      </c>
      <c r="G216" s="97" t="inlineStr">
        <is>
          <t>Normal</t>
        </is>
      </c>
      <c r="H216" s="106" t="inlineStr">
        <is>
          <t>Gizi Lebih</t>
        </is>
      </c>
      <c r="I216" s="97" t="inlineStr">
        <is>
          <t>Ya</t>
        </is>
      </c>
      <c r="J216" s="97" t="inlineStr">
        <is>
          <t>Tidak</t>
        </is>
      </c>
      <c r="K216" s="107" t="n"/>
    </row>
    <row r="217" ht="15.75" customHeight="1" s="95">
      <c r="A217" s="97" t="inlineStr">
        <is>
          <t>anonymus0216</t>
        </is>
      </c>
      <c r="B217" s="97" t="inlineStr">
        <is>
          <t>L</t>
        </is>
      </c>
      <c r="C217" s="97" t="inlineStr">
        <is>
          <t>35-69 Bulan</t>
        </is>
      </c>
      <c r="D217" s="97" t="inlineStr">
        <is>
          <t>17.1</t>
        </is>
      </c>
      <c r="E217" s="97" t="n">
        <v>104</v>
      </c>
      <c r="F217" s="97" t="inlineStr">
        <is>
          <t>Normal</t>
        </is>
      </c>
      <c r="G217" s="97" t="inlineStr">
        <is>
          <t>Normal</t>
        </is>
      </c>
      <c r="H217" s="106" t="inlineStr">
        <is>
          <t>Gizi Baik</t>
        </is>
      </c>
      <c r="I217" s="97" t="inlineStr">
        <is>
          <t>Ya</t>
        </is>
      </c>
      <c r="J217" s="97" t="inlineStr">
        <is>
          <t>Tidak</t>
        </is>
      </c>
      <c r="K217" s="107" t="n"/>
    </row>
    <row r="218" ht="15.75" customHeight="1" s="95">
      <c r="A218" s="97" t="inlineStr">
        <is>
          <t>anonymus0217</t>
        </is>
      </c>
      <c r="B218" s="97" t="inlineStr">
        <is>
          <t>L</t>
        </is>
      </c>
      <c r="C218" s="97" t="inlineStr">
        <is>
          <t>35-69 Bulan</t>
        </is>
      </c>
      <c r="D218" s="97" t="n">
        <v>16.9</v>
      </c>
      <c r="E218" s="97" t="n">
        <v>115</v>
      </c>
      <c r="F218" s="97" t="inlineStr">
        <is>
          <t>Normal</t>
        </is>
      </c>
      <c r="G218" s="97" t="inlineStr">
        <is>
          <t>Normal</t>
        </is>
      </c>
      <c r="H218" s="106" t="inlineStr">
        <is>
          <t>Gizi Baik</t>
        </is>
      </c>
      <c r="I218" s="97" t="inlineStr">
        <is>
          <t>Ya</t>
        </is>
      </c>
      <c r="J218" s="97" t="inlineStr">
        <is>
          <t>Tidak</t>
        </is>
      </c>
      <c r="K218" s="107" t="n"/>
    </row>
    <row r="219" ht="15.75" customHeight="1" s="95">
      <c r="A219" s="97" t="inlineStr">
        <is>
          <t>anonymus0218</t>
        </is>
      </c>
      <c r="B219" s="97" t="inlineStr">
        <is>
          <t>P</t>
        </is>
      </c>
      <c r="C219" s="97" t="inlineStr">
        <is>
          <t>35-69 Bulan</t>
        </is>
      </c>
      <c r="D219" s="97" t="n">
        <v>7.9</v>
      </c>
      <c r="E219" s="97" t="n">
        <v>76</v>
      </c>
      <c r="F219" s="97" t="inlineStr">
        <is>
          <t>Kurang</t>
        </is>
      </c>
      <c r="G219" s="97" t="inlineStr">
        <is>
          <t>Pendek</t>
        </is>
      </c>
      <c r="H219" s="106" t="inlineStr">
        <is>
          <t>Gizi Kurang</t>
        </is>
      </c>
      <c r="I219" s="97" t="inlineStr">
        <is>
          <t>Ya</t>
        </is>
      </c>
      <c r="J219" s="97" t="inlineStr">
        <is>
          <t>Potensi Stunting</t>
        </is>
      </c>
      <c r="K219" s="107" t="n"/>
    </row>
    <row r="220" ht="15.75" customHeight="1" s="95">
      <c r="A220" s="97" t="inlineStr">
        <is>
          <t>anonymus0219</t>
        </is>
      </c>
      <c r="B220" s="97" t="inlineStr">
        <is>
          <t>L</t>
        </is>
      </c>
      <c r="C220" s="97" t="inlineStr">
        <is>
          <t>1-34 Bulan</t>
        </is>
      </c>
      <c r="D220" s="97" t="n">
        <v>11.3</v>
      </c>
      <c r="E220" s="97" t="n">
        <v>80</v>
      </c>
      <c r="F220" s="97" t="inlineStr">
        <is>
          <t>Normal</t>
        </is>
      </c>
      <c r="G220" s="97" t="inlineStr">
        <is>
          <t>Normal</t>
        </is>
      </c>
      <c r="H220" s="106" t="inlineStr">
        <is>
          <t>Gizi Baik</t>
        </is>
      </c>
      <c r="I220" s="97" t="inlineStr">
        <is>
          <t>Ya</t>
        </is>
      </c>
      <c r="J220" s="97" t="inlineStr">
        <is>
          <t>Tidak</t>
        </is>
      </c>
      <c r="K220" s="107" t="n"/>
    </row>
    <row r="221" ht="15.75" customHeight="1" s="95">
      <c r="A221" s="97" t="inlineStr">
        <is>
          <t>anonymus0220</t>
        </is>
      </c>
      <c r="B221" s="97" t="inlineStr">
        <is>
          <t>L</t>
        </is>
      </c>
      <c r="C221" s="97" t="inlineStr">
        <is>
          <t>1-34 Bulan</t>
        </is>
      </c>
      <c r="D221" s="97" t="n">
        <v>8.4</v>
      </c>
      <c r="E221" s="97" t="n">
        <v>78.7</v>
      </c>
      <c r="F221" s="97" t="inlineStr">
        <is>
          <t>Kurang</t>
        </is>
      </c>
      <c r="G221" s="97" t="inlineStr">
        <is>
          <t>Normal</t>
        </is>
      </c>
      <c r="H221" s="106" t="inlineStr">
        <is>
          <t>Gizi Kurang</t>
        </is>
      </c>
      <c r="I221" s="97" t="inlineStr">
        <is>
          <t>Ya</t>
        </is>
      </c>
      <c r="J221" s="97" t="inlineStr">
        <is>
          <t>Tidak</t>
        </is>
      </c>
      <c r="K221" s="107" t="n"/>
    </row>
    <row r="222" ht="15.75" customHeight="1" s="95">
      <c r="A222" s="97" t="inlineStr">
        <is>
          <t>anonymus0221</t>
        </is>
      </c>
      <c r="B222" s="97" t="inlineStr">
        <is>
          <t>L</t>
        </is>
      </c>
      <c r="C222" s="97" t="inlineStr">
        <is>
          <t>1-34 Bulan</t>
        </is>
      </c>
      <c r="D222" s="97" t="n">
        <v>12.1</v>
      </c>
      <c r="E222" s="97" t="n">
        <v>77</v>
      </c>
      <c r="F222" s="97" t="inlineStr">
        <is>
          <t>Normal</t>
        </is>
      </c>
      <c r="G222" s="97" t="inlineStr">
        <is>
          <t>Normal</t>
        </is>
      </c>
      <c r="H222" s="106" t="inlineStr">
        <is>
          <t>Gizi Baik</t>
        </is>
      </c>
      <c r="I222" s="97" t="inlineStr">
        <is>
          <t>Ya</t>
        </is>
      </c>
      <c r="J222" s="97" t="inlineStr">
        <is>
          <t>Tidak</t>
        </is>
      </c>
      <c r="K222" s="107" t="n"/>
    </row>
    <row r="223" ht="15.75" customHeight="1" s="95">
      <c r="A223" s="97" t="inlineStr">
        <is>
          <t>anonymus0222</t>
        </is>
      </c>
      <c r="B223" s="97" t="inlineStr">
        <is>
          <t>L</t>
        </is>
      </c>
      <c r="C223" s="97" t="inlineStr">
        <is>
          <t>35-69 Bulan</t>
        </is>
      </c>
      <c r="D223" s="97" t="n">
        <v>12</v>
      </c>
      <c r="E223" s="97" t="n">
        <v>97</v>
      </c>
      <c r="F223" s="97" t="inlineStr">
        <is>
          <t>Normal</t>
        </is>
      </c>
      <c r="G223" s="97" t="inlineStr">
        <is>
          <t>Normal</t>
        </is>
      </c>
      <c r="H223" s="106" t="inlineStr">
        <is>
          <t>Gizi Kurang</t>
        </is>
      </c>
      <c r="I223" s="97" t="inlineStr">
        <is>
          <t>Ya</t>
        </is>
      </c>
      <c r="J223" s="97" t="inlineStr">
        <is>
          <t>Tidak</t>
        </is>
      </c>
      <c r="K223" s="107" t="n"/>
    </row>
    <row r="224" ht="15.75" customHeight="1" s="95">
      <c r="A224" s="97" t="inlineStr">
        <is>
          <t>anonymus0223</t>
        </is>
      </c>
      <c r="B224" s="97" t="inlineStr">
        <is>
          <t>L</t>
        </is>
      </c>
      <c r="C224" s="97" t="inlineStr">
        <is>
          <t>1-34 Bulan</t>
        </is>
      </c>
      <c r="D224" s="97" t="n">
        <v>9.1</v>
      </c>
      <c r="E224" s="97" t="n">
        <v>78</v>
      </c>
      <c r="F224" s="97" t="inlineStr">
        <is>
          <t>Normal</t>
        </is>
      </c>
      <c r="G224" s="97" t="inlineStr">
        <is>
          <t>Pendek</t>
        </is>
      </c>
      <c r="H224" s="106" t="inlineStr">
        <is>
          <t>Gizi Baik</t>
        </is>
      </c>
      <c r="I224" s="97" t="inlineStr">
        <is>
          <t>Ya</t>
        </is>
      </c>
      <c r="J224" s="97" t="inlineStr">
        <is>
          <t>Potensi Stunting</t>
        </is>
      </c>
      <c r="K224" s="107" t="n"/>
    </row>
    <row r="225" ht="15.75" customHeight="1" s="95">
      <c r="A225" s="97" t="inlineStr">
        <is>
          <t>anonymus0224</t>
        </is>
      </c>
      <c r="B225" s="97" t="inlineStr">
        <is>
          <t>L</t>
        </is>
      </c>
      <c r="C225" s="97" t="inlineStr">
        <is>
          <t>35-69 Bulan</t>
        </is>
      </c>
      <c r="D225" s="97" t="inlineStr">
        <is>
          <t>17.4</t>
        </is>
      </c>
      <c r="E225" s="97" t="n">
        <v>107</v>
      </c>
      <c r="F225" s="97" t="inlineStr">
        <is>
          <t>Normal</t>
        </is>
      </c>
      <c r="G225" s="97" t="inlineStr">
        <is>
          <t>Normal</t>
        </is>
      </c>
      <c r="H225" s="106" t="inlineStr">
        <is>
          <t>Gizi Baik</t>
        </is>
      </c>
      <c r="I225" s="97" t="inlineStr">
        <is>
          <t>Ya</t>
        </is>
      </c>
      <c r="J225" s="97" t="inlineStr">
        <is>
          <t>Tidak</t>
        </is>
      </c>
      <c r="K225" s="107" t="n"/>
    </row>
    <row r="226" ht="15.75" customHeight="1" s="95">
      <c r="A226" s="97" t="inlineStr">
        <is>
          <t>anonymus0225</t>
        </is>
      </c>
      <c r="B226" s="97" t="inlineStr">
        <is>
          <t>P</t>
        </is>
      </c>
      <c r="C226" s="97" t="inlineStr">
        <is>
          <t>35-69 Bulan</t>
        </is>
      </c>
      <c r="D226" s="97" t="n">
        <v>16.8</v>
      </c>
      <c r="E226" s="97" t="n">
        <v>106</v>
      </c>
      <c r="F226" s="97" t="inlineStr">
        <is>
          <t>Normal</t>
        </is>
      </c>
      <c r="G226" s="97" t="inlineStr">
        <is>
          <t>Normal</t>
        </is>
      </c>
      <c r="H226" s="106" t="inlineStr">
        <is>
          <t>Gizi Baik</t>
        </is>
      </c>
      <c r="I226" s="97" t="inlineStr">
        <is>
          <t>Ya</t>
        </is>
      </c>
      <c r="J226" s="97" t="inlineStr">
        <is>
          <t>Tidak</t>
        </is>
      </c>
      <c r="K226" s="107" t="n"/>
    </row>
    <row r="227" ht="15.75" customHeight="1" s="95">
      <c r="A227" s="97" t="inlineStr">
        <is>
          <t>anonymus0226</t>
        </is>
      </c>
      <c r="B227" s="97" t="inlineStr">
        <is>
          <t>L</t>
        </is>
      </c>
      <c r="C227" s="97" t="inlineStr">
        <is>
          <t>1-34 Bulan</t>
        </is>
      </c>
      <c r="D227" s="97" t="inlineStr">
        <is>
          <t>9.3</t>
        </is>
      </c>
      <c r="E227" s="97" t="n">
        <v>72</v>
      </c>
      <c r="F227" s="97" t="inlineStr">
        <is>
          <t>Normal</t>
        </is>
      </c>
      <c r="G227" s="97" t="inlineStr">
        <is>
          <t>Normal</t>
        </is>
      </c>
      <c r="H227" s="106" t="inlineStr">
        <is>
          <t>Gizi Baik</t>
        </is>
      </c>
      <c r="I227" s="97" t="inlineStr">
        <is>
          <t>Ya</t>
        </is>
      </c>
      <c r="J227" s="97" t="inlineStr">
        <is>
          <t>Tidak</t>
        </is>
      </c>
      <c r="K227" s="107" t="n"/>
    </row>
    <row r="228" ht="15.75" customHeight="1" s="95">
      <c r="A228" s="97" t="inlineStr">
        <is>
          <t>anonymus0227</t>
        </is>
      </c>
      <c r="B228" s="97" t="inlineStr">
        <is>
          <t>P</t>
        </is>
      </c>
      <c r="C228" s="97" t="inlineStr">
        <is>
          <t>35-69 Bulan</t>
        </is>
      </c>
      <c r="D228" s="97" t="n">
        <v>19.9</v>
      </c>
      <c r="E228" s="97" t="n">
        <v>115</v>
      </c>
      <c r="F228" s="97" t="inlineStr">
        <is>
          <t>Risiko Lebih</t>
        </is>
      </c>
      <c r="G228" s="97" t="inlineStr">
        <is>
          <t>Normal</t>
        </is>
      </c>
      <c r="H228" s="106" t="inlineStr">
        <is>
          <t>Gizi Lebih</t>
        </is>
      </c>
      <c r="I228" s="97" t="inlineStr">
        <is>
          <t>Ya</t>
        </is>
      </c>
      <c r="J228" s="97" t="inlineStr">
        <is>
          <t>Tidak</t>
        </is>
      </c>
      <c r="K228" s="107" t="n"/>
    </row>
    <row r="229" ht="15.75" customHeight="1" s="95">
      <c r="A229" s="97" t="inlineStr">
        <is>
          <t>anonymus0228</t>
        </is>
      </c>
      <c r="B229" s="97" t="inlineStr">
        <is>
          <t>L</t>
        </is>
      </c>
      <c r="C229" s="97" t="inlineStr">
        <is>
          <t>35-69 Bulan</t>
        </is>
      </c>
      <c r="D229" s="97" t="n">
        <v>12.1</v>
      </c>
      <c r="E229" s="97" t="n">
        <v>95</v>
      </c>
      <c r="F229" s="97" t="inlineStr">
        <is>
          <t>Kurang</t>
        </is>
      </c>
      <c r="G229" s="97" t="inlineStr">
        <is>
          <t>Pendek</t>
        </is>
      </c>
      <c r="H229" s="106" t="inlineStr">
        <is>
          <t>Gizi Baik</t>
        </is>
      </c>
      <c r="I229" s="97" t="inlineStr">
        <is>
          <t>Ya</t>
        </is>
      </c>
      <c r="J229" s="97" t="inlineStr">
        <is>
          <t>Potensi Stunting</t>
        </is>
      </c>
      <c r="K229" s="107" t="n"/>
    </row>
    <row r="230" ht="15.75" customHeight="1" s="95">
      <c r="A230" s="97" t="inlineStr">
        <is>
          <t>anonymus0229</t>
        </is>
      </c>
      <c r="B230" s="97" t="inlineStr">
        <is>
          <t>P</t>
        </is>
      </c>
      <c r="C230" s="97" t="inlineStr">
        <is>
          <t>35-69 Bulan</t>
        </is>
      </c>
      <c r="D230" s="97" t="n">
        <v>12.3</v>
      </c>
      <c r="E230" s="97" t="n">
        <v>112</v>
      </c>
      <c r="F230" s="97" t="inlineStr">
        <is>
          <t>Normal</t>
        </is>
      </c>
      <c r="G230" s="97" t="inlineStr">
        <is>
          <t>Normal</t>
        </is>
      </c>
      <c r="H230" s="106" t="inlineStr">
        <is>
          <t>Gizi Baik</t>
        </is>
      </c>
      <c r="I230" s="97" t="inlineStr">
        <is>
          <t>Ya</t>
        </is>
      </c>
      <c r="J230" s="97" t="inlineStr">
        <is>
          <t>Tidak</t>
        </is>
      </c>
      <c r="K230" s="107" t="n"/>
    </row>
    <row r="231" ht="15.75" customHeight="1" s="95">
      <c r="A231" s="97" t="inlineStr">
        <is>
          <t>anonymus0230</t>
        </is>
      </c>
      <c r="B231" s="97" t="inlineStr">
        <is>
          <t>P</t>
        </is>
      </c>
      <c r="C231" s="97" t="inlineStr">
        <is>
          <t>1-34 Bulan</t>
        </is>
      </c>
      <c r="D231" s="97" t="n">
        <v>6.5</v>
      </c>
      <c r="E231" s="97" t="n">
        <v>81</v>
      </c>
      <c r="F231" s="97" t="inlineStr">
        <is>
          <t>Kurang</t>
        </is>
      </c>
      <c r="G231" s="97" t="inlineStr">
        <is>
          <t>Normal</t>
        </is>
      </c>
      <c r="H231" s="106" t="inlineStr">
        <is>
          <t>Gizi Kurang</t>
        </is>
      </c>
      <c r="I231" s="97" t="inlineStr">
        <is>
          <t>Ya</t>
        </is>
      </c>
      <c r="J231" s="97" t="inlineStr">
        <is>
          <t>Potensi Stunting</t>
        </is>
      </c>
      <c r="K231" s="107" t="n"/>
    </row>
    <row r="232" ht="15.75" customHeight="1" s="95">
      <c r="A232" s="97" t="inlineStr">
        <is>
          <t>anonymus0231</t>
        </is>
      </c>
      <c r="B232" s="97" t="inlineStr">
        <is>
          <t>L</t>
        </is>
      </c>
      <c r="C232" s="97" t="inlineStr">
        <is>
          <t>1-34 Bulan</t>
        </is>
      </c>
      <c r="D232" s="97" t="inlineStr">
        <is>
          <t>11.6</t>
        </is>
      </c>
      <c r="E232" s="97" t="n">
        <v>89</v>
      </c>
      <c r="F232" s="97" t="inlineStr">
        <is>
          <t>Normal</t>
        </is>
      </c>
      <c r="G232" s="97" t="inlineStr">
        <is>
          <t>Normal</t>
        </is>
      </c>
      <c r="H232" s="106" t="inlineStr">
        <is>
          <t>Gizi Baik</t>
        </is>
      </c>
      <c r="I232" s="97" t="inlineStr">
        <is>
          <t>Ya</t>
        </is>
      </c>
      <c r="J232" s="97" t="inlineStr">
        <is>
          <t>Tidak</t>
        </is>
      </c>
      <c r="K232" s="107" t="n"/>
    </row>
    <row r="233" ht="15.75" customHeight="1" s="95">
      <c r="A233" s="97" t="inlineStr">
        <is>
          <t>anonymus0232</t>
        </is>
      </c>
      <c r="B233" s="97" t="inlineStr">
        <is>
          <t>P</t>
        </is>
      </c>
      <c r="C233" s="97" t="inlineStr">
        <is>
          <t>1-34 Bulan</t>
        </is>
      </c>
      <c r="D233" s="97" t="inlineStr">
        <is>
          <t>11.2</t>
        </is>
      </c>
      <c r="E233" s="97" t="n">
        <v>86</v>
      </c>
      <c r="F233" s="97" t="inlineStr">
        <is>
          <t>Normal</t>
        </is>
      </c>
      <c r="G233" s="97" t="inlineStr">
        <is>
          <t>Normal</t>
        </is>
      </c>
      <c r="H233" s="106" t="inlineStr">
        <is>
          <t>Gizi Baik</t>
        </is>
      </c>
      <c r="I233" s="97" t="inlineStr">
        <is>
          <t>Ya</t>
        </is>
      </c>
      <c r="J233" s="97" t="inlineStr">
        <is>
          <t>Tidak</t>
        </is>
      </c>
      <c r="K233" s="107" t="n"/>
    </row>
    <row r="234" ht="15.75" customHeight="1" s="95">
      <c r="A234" s="97" t="inlineStr">
        <is>
          <t>anonymus0233</t>
        </is>
      </c>
      <c r="B234" s="97" t="inlineStr">
        <is>
          <t>L</t>
        </is>
      </c>
      <c r="C234" s="97" t="inlineStr">
        <is>
          <t>35-69 Bulan</t>
        </is>
      </c>
      <c r="D234" s="97" t="n">
        <v>13</v>
      </c>
      <c r="E234" s="97" t="n">
        <v>103</v>
      </c>
      <c r="F234" s="97" t="inlineStr">
        <is>
          <t>Normal</t>
        </is>
      </c>
      <c r="G234" s="97" t="inlineStr">
        <is>
          <t>Normal</t>
        </is>
      </c>
      <c r="H234" s="106" t="inlineStr">
        <is>
          <t>Gizi Kurang</t>
        </is>
      </c>
      <c r="I234" s="97" t="inlineStr">
        <is>
          <t>Ya</t>
        </is>
      </c>
      <c r="J234" s="97" t="inlineStr">
        <is>
          <t>Tidak</t>
        </is>
      </c>
      <c r="K234" s="107" t="n"/>
    </row>
    <row r="235" ht="15.75" customHeight="1" s="95">
      <c r="A235" s="97" t="inlineStr">
        <is>
          <t>anonymus0234</t>
        </is>
      </c>
      <c r="B235" s="97" t="inlineStr">
        <is>
          <t>L</t>
        </is>
      </c>
      <c r="C235" s="97" t="inlineStr">
        <is>
          <t>35-69 Bulan</t>
        </is>
      </c>
      <c r="D235" s="97" t="n">
        <v>13.8</v>
      </c>
      <c r="E235" s="97" t="n">
        <v>104</v>
      </c>
      <c r="F235" s="97" t="inlineStr">
        <is>
          <t>Kurang</t>
        </is>
      </c>
      <c r="G235" s="97" t="inlineStr">
        <is>
          <t>Normal</t>
        </is>
      </c>
      <c r="H235" s="106" t="inlineStr">
        <is>
          <t>Gizi Kurang</t>
        </is>
      </c>
      <c r="I235" s="97" t="inlineStr">
        <is>
          <t>Ya</t>
        </is>
      </c>
      <c r="J235" s="97" t="inlineStr">
        <is>
          <t>Tidak</t>
        </is>
      </c>
      <c r="K235" s="107" t="n"/>
    </row>
    <row r="236" ht="15.75" customHeight="1" s="95">
      <c r="A236" s="97" t="inlineStr">
        <is>
          <t>anonymus0235</t>
        </is>
      </c>
      <c r="B236" s="97" t="inlineStr">
        <is>
          <t>P</t>
        </is>
      </c>
      <c r="C236" s="97" t="inlineStr">
        <is>
          <t>35-69 Bulan</t>
        </is>
      </c>
      <c r="D236" s="97" t="n">
        <v>14.3</v>
      </c>
      <c r="E236" s="97" t="n">
        <v>111</v>
      </c>
      <c r="F236" s="97" t="inlineStr">
        <is>
          <t>Normal</t>
        </is>
      </c>
      <c r="G236" s="97" t="inlineStr">
        <is>
          <t>Normal</t>
        </is>
      </c>
      <c r="H236" s="106" t="inlineStr">
        <is>
          <t>Gizi Baik</t>
        </is>
      </c>
      <c r="I236" s="97" t="inlineStr">
        <is>
          <t>Ya</t>
        </is>
      </c>
      <c r="J236" s="97" t="inlineStr">
        <is>
          <t>Tidak</t>
        </is>
      </c>
      <c r="K236" s="107" t="n"/>
    </row>
    <row r="237" ht="15.75" customHeight="1" s="95">
      <c r="A237" s="97" t="inlineStr">
        <is>
          <t>anonymus0236</t>
        </is>
      </c>
      <c r="B237" s="97" t="inlineStr">
        <is>
          <t>L</t>
        </is>
      </c>
      <c r="C237" s="97" t="inlineStr">
        <is>
          <t>35-69 Bulan</t>
        </is>
      </c>
      <c r="D237" s="97" t="n">
        <v>10.8</v>
      </c>
      <c r="E237" s="97" t="n">
        <v>88</v>
      </c>
      <c r="F237" s="97" t="inlineStr">
        <is>
          <t>Kurang</t>
        </is>
      </c>
      <c r="G237" s="97" t="inlineStr">
        <is>
          <t>Pendek</t>
        </is>
      </c>
      <c r="H237" s="106" t="inlineStr">
        <is>
          <t>Gizi Baik</t>
        </is>
      </c>
      <c r="I237" s="97" t="inlineStr">
        <is>
          <t>Ya</t>
        </is>
      </c>
      <c r="J237" s="97" t="inlineStr">
        <is>
          <t>Potensi Stunting</t>
        </is>
      </c>
      <c r="K237" s="107" t="n"/>
    </row>
    <row r="238" ht="15.75" customHeight="1" s="95">
      <c r="A238" s="97" t="inlineStr">
        <is>
          <t>anonymus0237</t>
        </is>
      </c>
      <c r="B238" s="97" t="inlineStr">
        <is>
          <t>L</t>
        </is>
      </c>
      <c r="C238" s="97" t="inlineStr">
        <is>
          <t>1-34 Bulan</t>
        </is>
      </c>
      <c r="D238" s="97" t="n">
        <v>10.8</v>
      </c>
      <c r="E238" s="97" t="n">
        <v>90</v>
      </c>
      <c r="F238" s="97" t="inlineStr">
        <is>
          <t>Normal</t>
        </is>
      </c>
      <c r="G238" s="97" t="inlineStr">
        <is>
          <t>Normal</t>
        </is>
      </c>
      <c r="H238" s="106" t="inlineStr">
        <is>
          <t>Gizi Kurang</t>
        </is>
      </c>
      <c r="I238" s="97" t="inlineStr">
        <is>
          <t>Ya</t>
        </is>
      </c>
      <c r="J238" s="97" t="inlineStr">
        <is>
          <t>Tidak</t>
        </is>
      </c>
      <c r="K238" s="107" t="n"/>
    </row>
    <row r="239" ht="15.75" customHeight="1" s="95">
      <c r="A239" s="97" t="inlineStr">
        <is>
          <t>anonymus0238</t>
        </is>
      </c>
      <c r="B239" s="97" t="inlineStr">
        <is>
          <t>L</t>
        </is>
      </c>
      <c r="C239" s="97" t="inlineStr">
        <is>
          <t>1-34 Bulan</t>
        </is>
      </c>
      <c r="D239" s="97" t="n">
        <v>12.7</v>
      </c>
      <c r="E239" s="97" t="n">
        <v>85</v>
      </c>
      <c r="F239" s="97" t="inlineStr">
        <is>
          <t>Normal</t>
        </is>
      </c>
      <c r="G239" s="97" t="inlineStr">
        <is>
          <t>Normal</t>
        </is>
      </c>
      <c r="H239" s="106" t="inlineStr">
        <is>
          <t>Gizi Baik</t>
        </is>
      </c>
      <c r="I239" s="97" t="inlineStr">
        <is>
          <t>Ya</t>
        </is>
      </c>
      <c r="J239" s="97" t="inlineStr">
        <is>
          <t>Tidak</t>
        </is>
      </c>
      <c r="K239" s="107" t="n"/>
    </row>
    <row r="240" ht="15.75" customHeight="1" s="95">
      <c r="A240" s="97" t="inlineStr">
        <is>
          <t>anonymus0239</t>
        </is>
      </c>
      <c r="B240" s="97" t="inlineStr">
        <is>
          <t>P</t>
        </is>
      </c>
      <c r="C240" s="97" t="inlineStr">
        <is>
          <t>35-69 Bulan</t>
        </is>
      </c>
      <c r="D240" s="97" t="n">
        <v>17</v>
      </c>
      <c r="E240" s="97" t="n">
        <v>101</v>
      </c>
      <c r="F240" s="97" t="inlineStr">
        <is>
          <t>Normal</t>
        </is>
      </c>
      <c r="G240" s="97" t="inlineStr">
        <is>
          <t>Normal</t>
        </is>
      </c>
      <c r="H240" s="106" t="inlineStr">
        <is>
          <t>Gizi Baik</t>
        </is>
      </c>
      <c r="I240" s="97" t="inlineStr">
        <is>
          <t>Ya</t>
        </is>
      </c>
      <c r="J240" s="97" t="inlineStr">
        <is>
          <t>Tidak</t>
        </is>
      </c>
      <c r="K240" s="107" t="n"/>
    </row>
    <row r="241" ht="15.75" customHeight="1" s="95">
      <c r="A241" s="97" t="inlineStr">
        <is>
          <t>anonymus0240</t>
        </is>
      </c>
      <c r="B241" s="97" t="inlineStr">
        <is>
          <t>P</t>
        </is>
      </c>
      <c r="C241" s="97" t="inlineStr">
        <is>
          <t>35-69 Bulan</t>
        </is>
      </c>
      <c r="D241" s="97" t="n">
        <v>11</v>
      </c>
      <c r="E241" s="97" t="n">
        <v>93.59999999999999</v>
      </c>
      <c r="F241" s="97" t="inlineStr">
        <is>
          <t>Kurang</t>
        </is>
      </c>
      <c r="G241" s="97" t="inlineStr">
        <is>
          <t>Normal</t>
        </is>
      </c>
      <c r="H241" s="106" t="inlineStr">
        <is>
          <t>Gizi Kurang</t>
        </is>
      </c>
      <c r="I241" s="97" t="inlineStr">
        <is>
          <t>Ya</t>
        </is>
      </c>
      <c r="J241" s="97" t="inlineStr">
        <is>
          <t>Tidak</t>
        </is>
      </c>
      <c r="K241" s="107" t="n"/>
    </row>
    <row r="242" ht="15.75" customHeight="1" s="95">
      <c r="A242" s="97" t="inlineStr">
        <is>
          <t>anonymus0241</t>
        </is>
      </c>
      <c r="B242" s="97" t="inlineStr">
        <is>
          <t>L</t>
        </is>
      </c>
      <c r="C242" s="97" t="inlineStr">
        <is>
          <t>35-69 Bulan</t>
        </is>
      </c>
      <c r="D242" s="97" t="n">
        <v>14.4</v>
      </c>
      <c r="E242" s="97" t="n">
        <v>96</v>
      </c>
      <c r="F242" s="97" t="inlineStr">
        <is>
          <t>Normal</t>
        </is>
      </c>
      <c r="G242" s="97" t="inlineStr">
        <is>
          <t>Normal</t>
        </is>
      </c>
      <c r="H242" s="106" t="inlineStr">
        <is>
          <t>Gizi Baik</t>
        </is>
      </c>
      <c r="I242" s="97" t="inlineStr">
        <is>
          <t>Ya</t>
        </is>
      </c>
      <c r="J242" s="97" t="inlineStr">
        <is>
          <t>Tidak</t>
        </is>
      </c>
      <c r="K242" s="107" t="n"/>
    </row>
    <row r="243" ht="15.75" customHeight="1" s="95">
      <c r="A243" s="97" t="inlineStr">
        <is>
          <t>anonymus0242</t>
        </is>
      </c>
      <c r="B243" s="97" t="inlineStr">
        <is>
          <t>L</t>
        </is>
      </c>
      <c r="C243" s="97" t="inlineStr">
        <is>
          <t>1-34 Bulan</t>
        </is>
      </c>
      <c r="D243" s="97" t="n">
        <v>6.3</v>
      </c>
      <c r="E243" s="97" t="n">
        <v>93</v>
      </c>
      <c r="F243" s="97" t="inlineStr">
        <is>
          <t>Kurang</t>
        </is>
      </c>
      <c r="G243" s="97" t="inlineStr">
        <is>
          <t>Normal</t>
        </is>
      </c>
      <c r="H243" s="106" t="inlineStr">
        <is>
          <t>Gizi Kurang</t>
        </is>
      </c>
      <c r="I243" s="97" t="inlineStr">
        <is>
          <t>Ya</t>
        </is>
      </c>
      <c r="J243" s="97" t="inlineStr">
        <is>
          <t>Tidak</t>
        </is>
      </c>
      <c r="K243" s="107" t="n"/>
    </row>
    <row r="244" ht="15.75" customHeight="1" s="95">
      <c r="A244" s="97" t="inlineStr">
        <is>
          <t>anonymus0243</t>
        </is>
      </c>
      <c r="B244" s="97" t="inlineStr">
        <is>
          <t>L</t>
        </is>
      </c>
      <c r="C244" s="97" t="inlineStr">
        <is>
          <t>1-34 Bulan</t>
        </is>
      </c>
      <c r="D244" s="97" t="n">
        <v>11</v>
      </c>
      <c r="E244" s="97" t="n">
        <v>88</v>
      </c>
      <c r="F244" s="97" t="inlineStr">
        <is>
          <t>Normal</t>
        </is>
      </c>
      <c r="G244" s="97" t="inlineStr">
        <is>
          <t>Normal</t>
        </is>
      </c>
      <c r="H244" s="106" t="inlineStr">
        <is>
          <t>Gizi Baik</t>
        </is>
      </c>
      <c r="I244" s="97" t="inlineStr">
        <is>
          <t>Ya</t>
        </is>
      </c>
      <c r="J244" s="97" t="inlineStr">
        <is>
          <t>Tidak</t>
        </is>
      </c>
      <c r="K244" s="107" t="n"/>
    </row>
    <row r="245" ht="15.75" customHeight="1" s="95">
      <c r="A245" s="97" t="inlineStr">
        <is>
          <t>anonymus0244</t>
        </is>
      </c>
      <c r="B245" s="97" t="inlineStr">
        <is>
          <t>P</t>
        </is>
      </c>
      <c r="C245" s="97" t="inlineStr">
        <is>
          <t>1-34 Bulan</t>
        </is>
      </c>
      <c r="D245" s="97" t="n">
        <v>11</v>
      </c>
      <c r="E245" s="97" t="n">
        <v>92</v>
      </c>
      <c r="F245" s="97" t="inlineStr">
        <is>
          <t>Normal</t>
        </is>
      </c>
      <c r="G245" s="97" t="inlineStr">
        <is>
          <t>Normal</t>
        </is>
      </c>
      <c r="H245" s="106" t="inlineStr">
        <is>
          <t>Gizi baik</t>
        </is>
      </c>
      <c r="I245" s="97" t="inlineStr">
        <is>
          <t>Ya</t>
        </is>
      </c>
      <c r="J245" s="97" t="inlineStr">
        <is>
          <t>Tidak</t>
        </is>
      </c>
      <c r="K245" s="107" t="n"/>
    </row>
    <row r="246" ht="15.75" customHeight="1" s="95">
      <c r="A246" s="97" t="inlineStr">
        <is>
          <t>anonymus0245</t>
        </is>
      </c>
      <c r="B246" s="97" t="inlineStr">
        <is>
          <t>P</t>
        </is>
      </c>
      <c r="C246" s="97" t="inlineStr">
        <is>
          <t>35-69 Bulan</t>
        </is>
      </c>
      <c r="D246" s="97" t="n">
        <v>14.5</v>
      </c>
      <c r="E246" s="97" t="n">
        <v>106</v>
      </c>
      <c r="F246" s="97" t="inlineStr">
        <is>
          <t>Normal</t>
        </is>
      </c>
      <c r="G246" s="97" t="inlineStr">
        <is>
          <t>Normal</t>
        </is>
      </c>
      <c r="H246" s="106" t="inlineStr">
        <is>
          <t>Gizi Baik</t>
        </is>
      </c>
      <c r="I246" s="97" t="inlineStr">
        <is>
          <t>Ya</t>
        </is>
      </c>
      <c r="J246" s="97" t="inlineStr">
        <is>
          <t>Tidak</t>
        </is>
      </c>
      <c r="K246" s="107" t="n"/>
    </row>
    <row r="247" ht="15.75" customHeight="1" s="95">
      <c r="A247" s="97" t="inlineStr">
        <is>
          <t>anonymus0246</t>
        </is>
      </c>
      <c r="B247" s="97" t="inlineStr">
        <is>
          <t>P</t>
        </is>
      </c>
      <c r="C247" s="97" t="inlineStr">
        <is>
          <t>35-69 Bulan</t>
        </is>
      </c>
      <c r="D247" s="97" t="inlineStr">
        <is>
          <t>16.6</t>
        </is>
      </c>
      <c r="E247" s="97" t="n">
        <v>103</v>
      </c>
      <c r="F247" s="97" t="inlineStr">
        <is>
          <t>Normal</t>
        </is>
      </c>
      <c r="G247" s="97" t="inlineStr">
        <is>
          <t>Normal</t>
        </is>
      </c>
      <c r="H247" s="106" t="inlineStr">
        <is>
          <t>Gizi Baik</t>
        </is>
      </c>
      <c r="I247" s="97" t="inlineStr">
        <is>
          <t>Ya</t>
        </is>
      </c>
      <c r="J247" s="97" t="inlineStr">
        <is>
          <t>Tidak</t>
        </is>
      </c>
      <c r="K247" s="107" t="n"/>
    </row>
    <row r="248" ht="15.75" customHeight="1" s="95">
      <c r="A248" s="97" t="inlineStr">
        <is>
          <t>anonymus0247</t>
        </is>
      </c>
      <c r="B248" s="97" t="inlineStr">
        <is>
          <t>P</t>
        </is>
      </c>
      <c r="C248" s="97" t="inlineStr">
        <is>
          <t>1-34 Bulan</t>
        </is>
      </c>
      <c r="D248" s="97" t="n">
        <v>9.699999999999999</v>
      </c>
      <c r="E248" s="97" t="n">
        <v>89</v>
      </c>
      <c r="F248" s="97" t="inlineStr">
        <is>
          <t>Normal</t>
        </is>
      </c>
      <c r="G248" s="97" t="inlineStr">
        <is>
          <t>Normal</t>
        </is>
      </c>
      <c r="H248" s="106" t="inlineStr">
        <is>
          <t>Gizi Baik</t>
        </is>
      </c>
      <c r="I248" s="97" t="inlineStr">
        <is>
          <t>Ya</t>
        </is>
      </c>
      <c r="J248" s="97" t="inlineStr">
        <is>
          <t>Tidak</t>
        </is>
      </c>
      <c r="K248" s="107" t="n"/>
    </row>
    <row r="249" ht="15.75" customHeight="1" s="95">
      <c r="A249" s="97" t="inlineStr">
        <is>
          <t>anonymus0248</t>
        </is>
      </c>
      <c r="B249" s="97" t="inlineStr">
        <is>
          <t>P</t>
        </is>
      </c>
      <c r="C249" s="97" t="inlineStr">
        <is>
          <t>35-69 Bulan</t>
        </is>
      </c>
      <c r="D249" s="97" t="inlineStr">
        <is>
          <t>17.6</t>
        </is>
      </c>
      <c r="E249" s="97" t="n">
        <v>104</v>
      </c>
      <c r="F249" s="97" t="inlineStr">
        <is>
          <t>Normal</t>
        </is>
      </c>
      <c r="G249" s="97" t="inlineStr">
        <is>
          <t>Normal</t>
        </is>
      </c>
      <c r="H249" s="106" t="inlineStr">
        <is>
          <t>Gizi Baik</t>
        </is>
      </c>
      <c r="I249" s="97" t="inlineStr">
        <is>
          <t>Ya</t>
        </is>
      </c>
      <c r="J249" s="97" t="inlineStr">
        <is>
          <t>Tidak</t>
        </is>
      </c>
      <c r="K249" s="107" t="n"/>
    </row>
    <row r="250" ht="15.75" customHeight="1" s="95">
      <c r="A250" s="97" t="inlineStr">
        <is>
          <t>anonymus0249</t>
        </is>
      </c>
      <c r="B250" s="97" t="inlineStr">
        <is>
          <t>P</t>
        </is>
      </c>
      <c r="C250" s="97" t="inlineStr">
        <is>
          <t>1-34 Bulan</t>
        </is>
      </c>
      <c r="D250" s="97" t="n">
        <v>9.1</v>
      </c>
      <c r="E250" s="97" t="n">
        <v>91</v>
      </c>
      <c r="F250" s="97" t="inlineStr">
        <is>
          <t>Normal</t>
        </is>
      </c>
      <c r="G250" s="97" t="inlineStr">
        <is>
          <t>Normal</t>
        </is>
      </c>
      <c r="H250" s="106" t="inlineStr">
        <is>
          <t>Gizi Baik</t>
        </is>
      </c>
      <c r="I250" s="97" t="inlineStr">
        <is>
          <t>Ya</t>
        </is>
      </c>
      <c r="J250" s="97" t="inlineStr">
        <is>
          <t>Tidak</t>
        </is>
      </c>
      <c r="K250" s="107" t="n"/>
    </row>
    <row r="251" ht="15.75" customHeight="1" s="95">
      <c r="A251" s="97" t="inlineStr">
        <is>
          <t>anonymus0250</t>
        </is>
      </c>
      <c r="B251" s="97" t="inlineStr">
        <is>
          <t>P</t>
        </is>
      </c>
      <c r="C251" s="97" t="inlineStr">
        <is>
          <t>35-69 Bulan</t>
        </is>
      </c>
      <c r="D251" s="97" t="n">
        <v>9.01</v>
      </c>
      <c r="E251" s="97" t="n">
        <v>77.5</v>
      </c>
      <c r="F251" s="97" t="inlineStr">
        <is>
          <t>Sangat Kurang</t>
        </is>
      </c>
      <c r="G251" s="97" t="inlineStr">
        <is>
          <t>Sangat Pendek</t>
        </is>
      </c>
      <c r="H251" s="106" t="inlineStr">
        <is>
          <t>Gizi Baik</t>
        </is>
      </c>
      <c r="I251" s="97" t="inlineStr">
        <is>
          <t>Ya</t>
        </is>
      </c>
      <c r="J251" s="97" t="inlineStr">
        <is>
          <t>Stunting</t>
        </is>
      </c>
      <c r="K251" s="107" t="n"/>
    </row>
    <row r="252" ht="15.75" customHeight="1" s="95">
      <c r="A252" s="97" t="inlineStr">
        <is>
          <t>anonymus0251</t>
        </is>
      </c>
      <c r="B252" s="97" t="inlineStr">
        <is>
          <t>L</t>
        </is>
      </c>
      <c r="C252" s="97" t="inlineStr">
        <is>
          <t>1-34 Bulan</t>
        </is>
      </c>
      <c r="D252" s="97" t="n">
        <v>14</v>
      </c>
      <c r="E252" s="97" t="n">
        <v>94</v>
      </c>
      <c r="F252" s="97" t="inlineStr">
        <is>
          <t>Normal</t>
        </is>
      </c>
      <c r="G252" s="97" t="inlineStr">
        <is>
          <t>Normal</t>
        </is>
      </c>
      <c r="H252" s="106" t="inlineStr">
        <is>
          <t>Gizi Baik</t>
        </is>
      </c>
      <c r="I252" s="97" t="inlineStr">
        <is>
          <t>Ya</t>
        </is>
      </c>
      <c r="J252" s="97" t="inlineStr">
        <is>
          <t>Tidak</t>
        </is>
      </c>
      <c r="K252" s="107" t="n"/>
    </row>
    <row r="253" ht="15.75" customHeight="1" s="95">
      <c r="A253" s="97" t="inlineStr">
        <is>
          <t>anonymus0252</t>
        </is>
      </c>
      <c r="B253" s="97" t="inlineStr">
        <is>
          <t>L</t>
        </is>
      </c>
      <c r="C253" s="97" t="inlineStr">
        <is>
          <t>35-69 Bulan</t>
        </is>
      </c>
      <c r="D253" s="97" t="inlineStr">
        <is>
          <t>11.8</t>
        </is>
      </c>
      <c r="E253" s="97" t="n">
        <v>93</v>
      </c>
      <c r="F253" s="97" t="inlineStr">
        <is>
          <t>Kurang</t>
        </is>
      </c>
      <c r="G253" s="97" t="inlineStr">
        <is>
          <t>Pendek</t>
        </is>
      </c>
      <c r="H253" s="106" t="inlineStr">
        <is>
          <t>Gizi Baik</t>
        </is>
      </c>
      <c r="I253" s="97" t="inlineStr">
        <is>
          <t>Ya</t>
        </is>
      </c>
      <c r="J253" s="97" t="inlineStr">
        <is>
          <t>Potensi Stunting</t>
        </is>
      </c>
      <c r="K253" s="107" t="n"/>
    </row>
    <row r="254" ht="15.75" customHeight="1" s="95">
      <c r="A254" s="97" t="inlineStr">
        <is>
          <t>anonymus0253</t>
        </is>
      </c>
      <c r="B254" s="97" t="inlineStr">
        <is>
          <t>L</t>
        </is>
      </c>
      <c r="C254" s="97" t="inlineStr">
        <is>
          <t>35-69 Bulan</t>
        </is>
      </c>
      <c r="D254" s="97" t="inlineStr">
        <is>
          <t>16.8</t>
        </is>
      </c>
      <c r="E254" s="97" t="n">
        <v>100</v>
      </c>
      <c r="F254" s="97" t="inlineStr">
        <is>
          <t>Normal</t>
        </is>
      </c>
      <c r="G254" s="97" t="inlineStr">
        <is>
          <t>Normal</t>
        </is>
      </c>
      <c r="H254" s="106" t="inlineStr">
        <is>
          <t>Risiko Gizi Lebih</t>
        </is>
      </c>
      <c r="I254" s="97" t="inlineStr">
        <is>
          <t>Ya</t>
        </is>
      </c>
      <c r="J254" s="97" t="inlineStr">
        <is>
          <t>Tidak</t>
        </is>
      </c>
      <c r="K254" s="107" t="n"/>
    </row>
    <row r="255" ht="15.75" customHeight="1" s="95">
      <c r="A255" s="97" t="inlineStr">
        <is>
          <t>anonymus0254</t>
        </is>
      </c>
      <c r="B255" s="97" t="inlineStr">
        <is>
          <t>L</t>
        </is>
      </c>
      <c r="C255" s="97" t="inlineStr">
        <is>
          <t>1-34 Bulan</t>
        </is>
      </c>
      <c r="D255" s="97" t="n">
        <v>14.4</v>
      </c>
      <c r="E255" s="97" t="n">
        <v>90</v>
      </c>
      <c r="F255" s="97" t="inlineStr">
        <is>
          <t>Normal</t>
        </is>
      </c>
      <c r="G255" s="97" t="inlineStr">
        <is>
          <t>Normal</t>
        </is>
      </c>
      <c r="H255" s="106" t="inlineStr">
        <is>
          <t>Gizi Baik</t>
        </is>
      </c>
      <c r="I255" s="97" t="inlineStr">
        <is>
          <t>Ya</t>
        </is>
      </c>
      <c r="J255" s="97" t="inlineStr">
        <is>
          <t>Tidak</t>
        </is>
      </c>
      <c r="K255" s="107" t="n"/>
    </row>
    <row r="256" ht="15.75" customHeight="1" s="95">
      <c r="A256" s="97" t="inlineStr">
        <is>
          <t>anonymus0255</t>
        </is>
      </c>
      <c r="B256" s="97" t="inlineStr">
        <is>
          <t>L</t>
        </is>
      </c>
      <c r="C256" s="97" t="inlineStr">
        <is>
          <t>1-34 Bulan</t>
        </is>
      </c>
      <c r="D256" s="97" t="inlineStr">
        <is>
          <t>12.1</t>
        </is>
      </c>
      <c r="E256" s="97" t="n">
        <v>89</v>
      </c>
      <c r="F256" s="97" t="inlineStr">
        <is>
          <t>Normal</t>
        </is>
      </c>
      <c r="G256" s="97" t="inlineStr">
        <is>
          <t>Normal</t>
        </is>
      </c>
      <c r="H256" s="106" t="inlineStr">
        <is>
          <t>Gizi Baik</t>
        </is>
      </c>
      <c r="I256" s="97" t="inlineStr">
        <is>
          <t>Ya</t>
        </is>
      </c>
      <c r="J256" s="97" t="inlineStr">
        <is>
          <t>Tidak</t>
        </is>
      </c>
      <c r="K256" s="107" t="n"/>
    </row>
    <row r="257" ht="15.75" customHeight="1" s="95">
      <c r="A257" s="97" t="inlineStr">
        <is>
          <t>anonymus0256</t>
        </is>
      </c>
      <c r="B257" s="97" t="inlineStr">
        <is>
          <t>P</t>
        </is>
      </c>
      <c r="C257" s="97" t="inlineStr">
        <is>
          <t>35-69 Bulan</t>
        </is>
      </c>
      <c r="D257" s="97" t="n">
        <v>10.2</v>
      </c>
      <c r="E257" s="97" t="n">
        <v>113</v>
      </c>
      <c r="F257" s="97" t="inlineStr">
        <is>
          <t>Normal</t>
        </is>
      </c>
      <c r="G257" s="97" t="inlineStr">
        <is>
          <t>Normal</t>
        </is>
      </c>
      <c r="H257" s="106" t="inlineStr">
        <is>
          <t>Gizi Baik</t>
        </is>
      </c>
      <c r="I257" s="97" t="inlineStr">
        <is>
          <t>Ya</t>
        </is>
      </c>
      <c r="J257" s="97" t="inlineStr">
        <is>
          <t>Tidak</t>
        </is>
      </c>
      <c r="K257" s="107" t="n"/>
    </row>
    <row r="258" ht="15.75" customHeight="1" s="95">
      <c r="A258" s="97" t="inlineStr">
        <is>
          <t>anonymus0257</t>
        </is>
      </c>
      <c r="B258" s="97" t="inlineStr">
        <is>
          <t>L</t>
        </is>
      </c>
      <c r="C258" s="97" t="inlineStr">
        <is>
          <t>35-69 Bulan</t>
        </is>
      </c>
      <c r="D258" s="97" t="n">
        <v>10.5</v>
      </c>
      <c r="E258" s="97" t="n">
        <v>90</v>
      </c>
      <c r="F258" s="97" t="inlineStr">
        <is>
          <t>Normal</t>
        </is>
      </c>
      <c r="G258" s="97" t="inlineStr">
        <is>
          <t>Normal</t>
        </is>
      </c>
      <c r="H258" s="106" t="inlineStr">
        <is>
          <t>Gizi Baik</t>
        </is>
      </c>
      <c r="I258" s="97" t="inlineStr">
        <is>
          <t>Ya</t>
        </is>
      </c>
      <c r="J258" s="97" t="inlineStr">
        <is>
          <t>Tidak</t>
        </is>
      </c>
      <c r="K258" s="107" t="n"/>
    </row>
    <row r="259" ht="15.75" customHeight="1" s="95">
      <c r="A259" s="97" t="inlineStr">
        <is>
          <t>anonymus0258</t>
        </is>
      </c>
      <c r="B259" s="97" t="inlineStr">
        <is>
          <t>P</t>
        </is>
      </c>
      <c r="C259" s="97" t="inlineStr">
        <is>
          <t>1-34 Bulan</t>
        </is>
      </c>
      <c r="D259" s="97" t="n">
        <v>12.7</v>
      </c>
      <c r="E259" s="97" t="n">
        <v>95</v>
      </c>
      <c r="F259" s="97" t="inlineStr">
        <is>
          <t>Normal</t>
        </is>
      </c>
      <c r="G259" s="97" t="inlineStr">
        <is>
          <t>Normal</t>
        </is>
      </c>
      <c r="H259" s="106" t="inlineStr">
        <is>
          <t>Gizi Baik</t>
        </is>
      </c>
      <c r="I259" s="97" t="inlineStr">
        <is>
          <t>Ya</t>
        </is>
      </c>
      <c r="J259" s="97" t="inlineStr">
        <is>
          <t>Tidak</t>
        </is>
      </c>
      <c r="K259" s="107" t="n"/>
    </row>
    <row r="260" ht="15.75" customHeight="1" s="95">
      <c r="A260" s="97" t="inlineStr">
        <is>
          <t>anonymus0259</t>
        </is>
      </c>
      <c r="B260" s="97" t="inlineStr">
        <is>
          <t>L</t>
        </is>
      </c>
      <c r="C260" s="97" t="inlineStr">
        <is>
          <t>35-69 Bulan</t>
        </is>
      </c>
      <c r="D260" s="97" t="inlineStr">
        <is>
          <t>15.9</t>
        </is>
      </c>
      <c r="E260" s="97" t="n">
        <v>102</v>
      </c>
      <c r="F260" s="97" t="inlineStr">
        <is>
          <t>Normal</t>
        </is>
      </c>
      <c r="G260" s="97" t="inlineStr">
        <is>
          <t>Normal</t>
        </is>
      </c>
      <c r="H260" s="106" t="inlineStr">
        <is>
          <t>Gizi Baik</t>
        </is>
      </c>
      <c r="I260" s="97" t="inlineStr">
        <is>
          <t>Ya</t>
        </is>
      </c>
      <c r="J260" s="97" t="inlineStr">
        <is>
          <t>Tidak</t>
        </is>
      </c>
      <c r="K260" s="107" t="n"/>
    </row>
    <row r="261" ht="15.75" customHeight="1" s="95">
      <c r="A261" s="97" t="inlineStr">
        <is>
          <t>anonymus0260</t>
        </is>
      </c>
      <c r="B261" s="97" t="inlineStr">
        <is>
          <t>L</t>
        </is>
      </c>
      <c r="C261" s="97" t="inlineStr">
        <is>
          <t>35-69 Bulan</t>
        </is>
      </c>
      <c r="D261" s="97" t="n">
        <v>13</v>
      </c>
      <c r="E261" s="97" t="n">
        <v>100</v>
      </c>
      <c r="F261" s="97" t="inlineStr">
        <is>
          <t>Normal</t>
        </is>
      </c>
      <c r="G261" s="97" t="inlineStr">
        <is>
          <t>Normal</t>
        </is>
      </c>
      <c r="H261" s="106" t="inlineStr">
        <is>
          <t>Gizi Kurang</t>
        </is>
      </c>
      <c r="I261" s="97" t="inlineStr">
        <is>
          <t>Ya</t>
        </is>
      </c>
      <c r="J261" s="97" t="inlineStr">
        <is>
          <t>Tidak</t>
        </is>
      </c>
      <c r="K261" s="107" t="n"/>
    </row>
    <row r="262" ht="15.75" customHeight="1" s="95">
      <c r="A262" s="97" t="inlineStr">
        <is>
          <t>anonymus0261</t>
        </is>
      </c>
      <c r="B262" s="97" t="inlineStr">
        <is>
          <t>P</t>
        </is>
      </c>
      <c r="C262" s="97" t="inlineStr">
        <is>
          <t>35-69 Bulan</t>
        </is>
      </c>
      <c r="D262" s="97" t="inlineStr">
        <is>
          <t>13.3</t>
        </is>
      </c>
      <c r="E262" s="97" t="n">
        <v>98</v>
      </c>
      <c r="F262" s="97" t="inlineStr">
        <is>
          <t>Normal</t>
        </is>
      </c>
      <c r="G262" s="97" t="inlineStr">
        <is>
          <t>Normal</t>
        </is>
      </c>
      <c r="H262" s="106" t="inlineStr">
        <is>
          <t>Gizi Baik</t>
        </is>
      </c>
      <c r="I262" s="97" t="inlineStr">
        <is>
          <t>Ya</t>
        </is>
      </c>
      <c r="J262" s="97" t="inlineStr">
        <is>
          <t>Tidak</t>
        </is>
      </c>
      <c r="K262" s="107" t="n"/>
    </row>
    <row r="263" ht="15.75" customHeight="1" s="95">
      <c r="A263" s="97" t="inlineStr">
        <is>
          <t>anonymus0262</t>
        </is>
      </c>
      <c r="B263" s="97" t="inlineStr">
        <is>
          <t>L</t>
        </is>
      </c>
      <c r="C263" s="97" t="inlineStr">
        <is>
          <t>1-34 Bulan</t>
        </is>
      </c>
      <c r="D263" s="97" t="n">
        <v>14</v>
      </c>
      <c r="E263" s="97" t="n">
        <v>73</v>
      </c>
      <c r="F263" s="97" t="inlineStr">
        <is>
          <t>Normal</t>
        </is>
      </c>
      <c r="G263" s="97" t="inlineStr">
        <is>
          <t>Normal</t>
        </is>
      </c>
      <c r="H263" s="106" t="inlineStr">
        <is>
          <t>Gizi Baik</t>
        </is>
      </c>
      <c r="I263" s="97" t="inlineStr">
        <is>
          <t>Ya</t>
        </is>
      </c>
      <c r="J263" s="97" t="inlineStr">
        <is>
          <t>Tidak</t>
        </is>
      </c>
      <c r="K263" s="107" t="n"/>
    </row>
    <row r="264" ht="15.75" customHeight="1" s="95">
      <c r="A264" s="97" t="inlineStr">
        <is>
          <t>anonymus0263</t>
        </is>
      </c>
      <c r="B264" s="97" t="inlineStr">
        <is>
          <t>L</t>
        </is>
      </c>
      <c r="C264" s="97" t="inlineStr">
        <is>
          <t>1-34 Bulan</t>
        </is>
      </c>
      <c r="D264" s="97" t="n">
        <v>7</v>
      </c>
      <c r="E264" s="97" t="n">
        <v>70</v>
      </c>
      <c r="F264" s="97" t="inlineStr">
        <is>
          <t>Normal</t>
        </is>
      </c>
      <c r="G264" s="97" t="inlineStr">
        <is>
          <t>Normal</t>
        </is>
      </c>
      <c r="H264" s="106" t="inlineStr">
        <is>
          <t>Gizi Kurang</t>
        </is>
      </c>
      <c r="I264" s="97" t="inlineStr">
        <is>
          <t>Ya</t>
        </is>
      </c>
      <c r="J264" s="97" t="inlineStr">
        <is>
          <t>Tidak</t>
        </is>
      </c>
      <c r="K264" s="107" t="n"/>
    </row>
    <row r="265" ht="15.75" customHeight="1" s="95">
      <c r="A265" s="97" t="inlineStr">
        <is>
          <t>anonymus0264</t>
        </is>
      </c>
      <c r="B265" s="97" t="inlineStr">
        <is>
          <t>L</t>
        </is>
      </c>
      <c r="C265" s="97" t="inlineStr">
        <is>
          <t>35-69 Bulan</t>
        </is>
      </c>
      <c r="D265" s="97" t="n">
        <v>12.7</v>
      </c>
      <c r="E265" s="97" t="n">
        <v>102</v>
      </c>
      <c r="F265" s="97" t="inlineStr">
        <is>
          <t>Normal</t>
        </is>
      </c>
      <c r="G265" s="97" t="inlineStr">
        <is>
          <t>Normal</t>
        </is>
      </c>
      <c r="H265" s="106" t="inlineStr">
        <is>
          <t>Gizi Baik</t>
        </is>
      </c>
      <c r="I265" s="97" t="inlineStr">
        <is>
          <t>Ya</t>
        </is>
      </c>
      <c r="J265" s="97" t="inlineStr">
        <is>
          <t>Tidak</t>
        </is>
      </c>
      <c r="K265" s="107" t="n"/>
    </row>
    <row r="266" ht="15.75" customHeight="1" s="95">
      <c r="A266" s="97" t="inlineStr">
        <is>
          <t>anonymus0265</t>
        </is>
      </c>
      <c r="B266" s="97" t="inlineStr">
        <is>
          <t>L</t>
        </is>
      </c>
      <c r="C266" s="97" t="inlineStr">
        <is>
          <t>35-69 Bulan</t>
        </is>
      </c>
      <c r="D266" s="97" t="inlineStr">
        <is>
          <t>10.6</t>
        </is>
      </c>
      <c r="E266" s="97" t="n">
        <v>93</v>
      </c>
      <c r="F266" s="97" t="inlineStr">
        <is>
          <t>Kurang</t>
        </is>
      </c>
      <c r="G266" s="97" t="inlineStr">
        <is>
          <t>Normal</t>
        </is>
      </c>
      <c r="H266" s="106" t="inlineStr">
        <is>
          <t>Gizi Buruk</t>
        </is>
      </c>
      <c r="I266" s="97" t="inlineStr">
        <is>
          <t>Ya</t>
        </is>
      </c>
      <c r="J266" s="97" t="inlineStr">
        <is>
          <t>Tidak</t>
        </is>
      </c>
      <c r="K266" s="107" t="n"/>
    </row>
    <row r="267" ht="15.75" customHeight="1" s="95">
      <c r="A267" s="97" t="inlineStr">
        <is>
          <t>anonymus0266</t>
        </is>
      </c>
      <c r="B267" s="97" t="inlineStr">
        <is>
          <t>L</t>
        </is>
      </c>
      <c r="C267" s="97" t="inlineStr">
        <is>
          <t>35-69 Bulan</t>
        </is>
      </c>
      <c r="D267" s="97" t="n">
        <v>10.8</v>
      </c>
      <c r="E267" s="97" t="n">
        <v>90</v>
      </c>
      <c r="F267" s="97" t="inlineStr">
        <is>
          <t>Normal</t>
        </is>
      </c>
      <c r="G267" s="97" t="inlineStr">
        <is>
          <t>Normal</t>
        </is>
      </c>
      <c r="H267" s="106" t="inlineStr">
        <is>
          <t>Gizi Baik</t>
        </is>
      </c>
      <c r="I267" s="97" t="inlineStr">
        <is>
          <t>Ya</t>
        </is>
      </c>
      <c r="J267" s="97" t="inlineStr">
        <is>
          <t>Tidak</t>
        </is>
      </c>
      <c r="K267" s="107" t="n"/>
    </row>
    <row r="268" ht="15.75" customHeight="1" s="95">
      <c r="A268" s="97" t="inlineStr">
        <is>
          <t>anonymus0267</t>
        </is>
      </c>
      <c r="B268" s="97" t="inlineStr">
        <is>
          <t>L</t>
        </is>
      </c>
      <c r="C268" s="97" t="inlineStr">
        <is>
          <t>1-34 Bulan</t>
        </is>
      </c>
      <c r="D268" s="97" t="inlineStr">
        <is>
          <t>12.6</t>
        </is>
      </c>
      <c r="E268" s="97" t="n">
        <v>86</v>
      </c>
      <c r="F268" s="97" t="inlineStr">
        <is>
          <t>Normal</t>
        </is>
      </c>
      <c r="G268" s="97" t="inlineStr">
        <is>
          <t>Normal</t>
        </is>
      </c>
      <c r="H268" s="106" t="inlineStr">
        <is>
          <t>Gizi Baik</t>
        </is>
      </c>
      <c r="I268" s="97" t="inlineStr">
        <is>
          <t>Ya</t>
        </is>
      </c>
      <c r="J268" s="97" t="inlineStr">
        <is>
          <t>Tidak</t>
        </is>
      </c>
      <c r="K268" s="107" t="n"/>
    </row>
    <row r="269" ht="15.75" customHeight="1" s="95">
      <c r="A269" s="97" t="inlineStr">
        <is>
          <t>anonymus0268</t>
        </is>
      </c>
      <c r="B269" s="97" t="inlineStr">
        <is>
          <t>P</t>
        </is>
      </c>
      <c r="C269" s="97" t="inlineStr">
        <is>
          <t>35-69 Bulan</t>
        </is>
      </c>
      <c r="D269" s="97" t="n">
        <v>11</v>
      </c>
      <c r="E269" s="97" t="n">
        <v>92</v>
      </c>
      <c r="F269" s="97" t="inlineStr">
        <is>
          <t>Kurang</t>
        </is>
      </c>
      <c r="G269" s="97" t="inlineStr">
        <is>
          <t>Normal</t>
        </is>
      </c>
      <c r="H269" s="106" t="inlineStr">
        <is>
          <t>Gizi Kurang</t>
        </is>
      </c>
      <c r="I269" s="97" t="inlineStr">
        <is>
          <t>Ya</t>
        </is>
      </c>
      <c r="J269" s="97" t="inlineStr">
        <is>
          <t>Tidak</t>
        </is>
      </c>
      <c r="K269" s="107" t="n"/>
    </row>
    <row r="270" ht="15.75" customHeight="1" s="95">
      <c r="A270" s="97" t="inlineStr">
        <is>
          <t>anonymus0269</t>
        </is>
      </c>
      <c r="B270" s="97" t="inlineStr">
        <is>
          <t>P</t>
        </is>
      </c>
      <c r="C270" s="97" t="inlineStr">
        <is>
          <t>35-69 Bulan</t>
        </is>
      </c>
      <c r="D270" s="97" t="n">
        <v>18</v>
      </c>
      <c r="E270" s="97" t="n">
        <v>104</v>
      </c>
      <c r="F270" s="97" t="inlineStr">
        <is>
          <t>Normal</t>
        </is>
      </c>
      <c r="G270" s="97" t="inlineStr">
        <is>
          <t>Normal</t>
        </is>
      </c>
      <c r="H270" s="106" t="inlineStr">
        <is>
          <t>Gizi Baik</t>
        </is>
      </c>
      <c r="I270" s="97" t="inlineStr">
        <is>
          <t>Ya</t>
        </is>
      </c>
      <c r="J270" s="97" t="inlineStr">
        <is>
          <t>Tidak</t>
        </is>
      </c>
      <c r="K270" s="107" t="n"/>
    </row>
    <row r="271" ht="15.75" customHeight="1" s="95">
      <c r="A271" s="97" t="inlineStr">
        <is>
          <t>anonymus0270</t>
        </is>
      </c>
      <c r="B271" s="97" t="inlineStr">
        <is>
          <t>P</t>
        </is>
      </c>
      <c r="C271" s="97" t="inlineStr">
        <is>
          <t>35-69 Bulan</t>
        </is>
      </c>
      <c r="D271" s="97" t="n">
        <v>13.1</v>
      </c>
      <c r="E271" s="97" t="n">
        <v>103</v>
      </c>
      <c r="F271" s="97" t="inlineStr">
        <is>
          <t>Kurang</t>
        </is>
      </c>
      <c r="G271" s="97" t="inlineStr">
        <is>
          <t>Normal</t>
        </is>
      </c>
      <c r="H271" s="106" t="inlineStr">
        <is>
          <t>Gizi Kurang</t>
        </is>
      </c>
      <c r="I271" s="97" t="inlineStr">
        <is>
          <t>Ya</t>
        </is>
      </c>
      <c r="J271" s="97" t="inlineStr">
        <is>
          <t>Tidak</t>
        </is>
      </c>
      <c r="K271" s="107" t="n"/>
    </row>
    <row r="272" ht="15.75" customHeight="1" s="95">
      <c r="A272" s="97" t="inlineStr">
        <is>
          <t>anonymus0271</t>
        </is>
      </c>
      <c r="B272" s="97" t="inlineStr">
        <is>
          <t>P</t>
        </is>
      </c>
      <c r="C272" s="97" t="inlineStr">
        <is>
          <t>1-34 Bulan</t>
        </is>
      </c>
      <c r="D272" s="97" t="n">
        <v>13.9</v>
      </c>
      <c r="E272" s="97" t="n">
        <v>82</v>
      </c>
      <c r="F272" s="97" t="inlineStr">
        <is>
          <t>Normal</t>
        </is>
      </c>
      <c r="G272" s="97" t="inlineStr">
        <is>
          <t>Normal</t>
        </is>
      </c>
      <c r="H272" s="106" t="inlineStr">
        <is>
          <t>Gizi Baik</t>
        </is>
      </c>
      <c r="I272" s="97" t="inlineStr">
        <is>
          <t>Ya</t>
        </is>
      </c>
      <c r="J272" s="97" t="inlineStr">
        <is>
          <t>Tidak</t>
        </is>
      </c>
      <c r="K272" s="107" t="n"/>
    </row>
    <row r="273" ht="15.75" customHeight="1" s="95">
      <c r="A273" s="97" t="inlineStr">
        <is>
          <t>anonymus0272</t>
        </is>
      </c>
      <c r="B273" s="97" t="inlineStr">
        <is>
          <t>P</t>
        </is>
      </c>
      <c r="C273" s="97" t="inlineStr">
        <is>
          <t>35-69 Bulan</t>
        </is>
      </c>
      <c r="D273" s="97" t="n">
        <v>10.2</v>
      </c>
      <c r="E273" s="97" t="n">
        <v>87</v>
      </c>
      <c r="F273" s="97" t="inlineStr">
        <is>
          <t>Sangat Kurang</t>
        </is>
      </c>
      <c r="G273" s="97" t="inlineStr">
        <is>
          <t>Sangat Pendek</t>
        </is>
      </c>
      <c r="H273" s="106" t="inlineStr">
        <is>
          <t>Gizi Baik</t>
        </is>
      </c>
      <c r="I273" s="97" t="inlineStr">
        <is>
          <t>Ya</t>
        </is>
      </c>
      <c r="J273" s="97" t="inlineStr">
        <is>
          <t>Stunting</t>
        </is>
      </c>
      <c r="K273" s="107" t="n"/>
    </row>
    <row r="274" ht="15.75" customHeight="1" s="95">
      <c r="A274" s="97" t="inlineStr">
        <is>
          <t>anonymus0273</t>
        </is>
      </c>
      <c r="B274" s="97" t="inlineStr">
        <is>
          <t>L</t>
        </is>
      </c>
      <c r="C274" s="97" t="inlineStr">
        <is>
          <t>35-69 Bulan</t>
        </is>
      </c>
      <c r="D274" s="97" t="n">
        <v>15.8</v>
      </c>
      <c r="E274" s="97" t="n">
        <v>102</v>
      </c>
      <c r="F274" s="97" t="inlineStr">
        <is>
          <t>Normal</t>
        </is>
      </c>
      <c r="G274" s="97" t="inlineStr">
        <is>
          <t>Normal</t>
        </is>
      </c>
      <c r="H274" s="106" t="inlineStr">
        <is>
          <t>Gizi Baik</t>
        </is>
      </c>
      <c r="I274" s="97" t="inlineStr">
        <is>
          <t>Ya</t>
        </is>
      </c>
      <c r="J274" s="97" t="inlineStr">
        <is>
          <t>Tidak</t>
        </is>
      </c>
      <c r="K274" s="107" t="n"/>
    </row>
    <row r="275" ht="15.75" customHeight="1" s="95">
      <c r="A275" s="97" t="inlineStr">
        <is>
          <t>anonymus0274</t>
        </is>
      </c>
      <c r="B275" s="97" t="inlineStr">
        <is>
          <t>L</t>
        </is>
      </c>
      <c r="C275" s="97" t="inlineStr">
        <is>
          <t>1-34 Bulan</t>
        </is>
      </c>
      <c r="D275" s="97" t="inlineStr">
        <is>
          <t>9.3</t>
        </is>
      </c>
      <c r="E275" s="97" t="n">
        <v>75</v>
      </c>
      <c r="F275" s="97" t="inlineStr">
        <is>
          <t>Normal</t>
        </is>
      </c>
      <c r="G275" s="97" t="inlineStr">
        <is>
          <t>Normal</t>
        </is>
      </c>
      <c r="H275" s="106" t="inlineStr">
        <is>
          <t>Gizi Baik</t>
        </is>
      </c>
      <c r="I275" s="97" t="inlineStr">
        <is>
          <t>Ya</t>
        </is>
      </c>
      <c r="J275" s="97" t="inlineStr">
        <is>
          <t>Tidak</t>
        </is>
      </c>
      <c r="K275" s="107" t="n"/>
    </row>
    <row r="276" ht="15.75" customHeight="1" s="95">
      <c r="A276" s="97" t="inlineStr">
        <is>
          <t>anonymus0275</t>
        </is>
      </c>
      <c r="B276" s="97" t="inlineStr">
        <is>
          <t>L</t>
        </is>
      </c>
      <c r="C276" s="97" t="inlineStr">
        <is>
          <t>35-69 Bulan</t>
        </is>
      </c>
      <c r="D276" s="97" t="n">
        <v>18.5</v>
      </c>
      <c r="E276" s="97" t="n">
        <v>99</v>
      </c>
      <c r="F276" s="97" t="inlineStr">
        <is>
          <t>Risiko Lebih</t>
        </is>
      </c>
      <c r="G276" s="97" t="inlineStr">
        <is>
          <t>Normal</t>
        </is>
      </c>
      <c r="H276" s="106" t="inlineStr">
        <is>
          <t>Gizi Lebih</t>
        </is>
      </c>
      <c r="I276" s="97" t="inlineStr">
        <is>
          <t>Ya</t>
        </is>
      </c>
      <c r="J276" s="97" t="inlineStr">
        <is>
          <t>Tidak</t>
        </is>
      </c>
      <c r="K276" s="107" t="n"/>
    </row>
    <row r="277" ht="15.75" customHeight="1" s="95">
      <c r="A277" s="97" t="inlineStr">
        <is>
          <t>anonymus0276</t>
        </is>
      </c>
      <c r="B277" s="97" t="inlineStr">
        <is>
          <t>P</t>
        </is>
      </c>
      <c r="C277" s="97" t="inlineStr">
        <is>
          <t>1-34 Bulan</t>
        </is>
      </c>
      <c r="D277" s="97" t="n">
        <v>13</v>
      </c>
      <c r="E277" s="97" t="n">
        <v>89</v>
      </c>
      <c r="F277" s="97" t="inlineStr">
        <is>
          <t>Normal</t>
        </is>
      </c>
      <c r="G277" s="97" t="inlineStr">
        <is>
          <t>Normal</t>
        </is>
      </c>
      <c r="H277" s="106" t="inlineStr">
        <is>
          <t>Gizi Baik</t>
        </is>
      </c>
      <c r="I277" s="97" t="inlineStr">
        <is>
          <t>Ya</t>
        </is>
      </c>
      <c r="J277" s="97" t="inlineStr">
        <is>
          <t>Tidak</t>
        </is>
      </c>
      <c r="K277" s="107" t="n"/>
    </row>
    <row r="278" ht="15.75" customHeight="1" s="95">
      <c r="A278" s="97" t="inlineStr">
        <is>
          <t>anonymus0277</t>
        </is>
      </c>
      <c r="B278" s="97" t="inlineStr">
        <is>
          <t>L</t>
        </is>
      </c>
      <c r="C278" s="97" t="inlineStr">
        <is>
          <t>35-69 Bulan</t>
        </is>
      </c>
      <c r="D278" s="97" t="inlineStr">
        <is>
          <t>16.3</t>
        </is>
      </c>
      <c r="E278" s="97" t="n">
        <v>109</v>
      </c>
      <c r="F278" s="97" t="inlineStr">
        <is>
          <t>Normal</t>
        </is>
      </c>
      <c r="G278" s="97" t="inlineStr">
        <is>
          <t>Normal</t>
        </is>
      </c>
      <c r="H278" s="106" t="inlineStr">
        <is>
          <t>Gizi Baik</t>
        </is>
      </c>
      <c r="I278" s="97" t="inlineStr">
        <is>
          <t>Ya</t>
        </is>
      </c>
      <c r="J278" s="97" t="inlineStr">
        <is>
          <t>Tidak</t>
        </is>
      </c>
      <c r="K278" s="107" t="n"/>
    </row>
    <row r="279" ht="15.75" customHeight="1" s="95">
      <c r="A279" s="97" t="inlineStr">
        <is>
          <t>anonymus0278</t>
        </is>
      </c>
      <c r="B279" s="97" t="inlineStr">
        <is>
          <t>L</t>
        </is>
      </c>
      <c r="C279" s="97" t="inlineStr">
        <is>
          <t>35-69 Bulan</t>
        </is>
      </c>
      <c r="D279" s="97" t="n">
        <v>16.8</v>
      </c>
      <c r="E279" s="97" t="n">
        <v>99</v>
      </c>
      <c r="F279" s="97" t="inlineStr">
        <is>
          <t>Normal</t>
        </is>
      </c>
      <c r="G279" s="97" t="inlineStr">
        <is>
          <t>Normal</t>
        </is>
      </c>
      <c r="H279" s="106" t="inlineStr">
        <is>
          <t>Gizi Baik</t>
        </is>
      </c>
      <c r="I279" s="97" t="inlineStr">
        <is>
          <t>Ya</t>
        </is>
      </c>
      <c r="J279" s="97" t="inlineStr">
        <is>
          <t>Tidak</t>
        </is>
      </c>
      <c r="K279" s="107" t="n"/>
    </row>
    <row r="280" ht="15.75" customHeight="1" s="95">
      <c r="A280" s="97" t="inlineStr">
        <is>
          <t>anonymus0279</t>
        </is>
      </c>
      <c r="B280" s="97" t="inlineStr">
        <is>
          <t>P</t>
        </is>
      </c>
      <c r="C280" s="97" t="inlineStr">
        <is>
          <t>35-69 Bulan</t>
        </is>
      </c>
      <c r="D280" s="97" t="n">
        <v>11.4</v>
      </c>
      <c r="E280" s="97" t="n">
        <v>90</v>
      </c>
      <c r="F280" s="97" t="inlineStr">
        <is>
          <t>Sangat Kurang</t>
        </is>
      </c>
      <c r="G280" s="97" t="inlineStr">
        <is>
          <t>Sangat Pendek</t>
        </is>
      </c>
      <c r="H280" s="106" t="inlineStr">
        <is>
          <t>Gizi Baik</t>
        </is>
      </c>
      <c r="I280" s="97" t="inlineStr">
        <is>
          <t>Ya</t>
        </is>
      </c>
      <c r="J280" s="97" t="inlineStr">
        <is>
          <t>Stunting</t>
        </is>
      </c>
      <c r="K280" s="107" t="n"/>
    </row>
    <row r="281" ht="15.75" customHeight="1" s="95">
      <c r="A281" s="97" t="inlineStr">
        <is>
          <t>anonymus0280</t>
        </is>
      </c>
      <c r="B281" s="97" t="inlineStr">
        <is>
          <t>L</t>
        </is>
      </c>
      <c r="C281" s="97" t="inlineStr">
        <is>
          <t>35-69 Bulan</t>
        </is>
      </c>
      <c r="D281" s="97" t="n">
        <v>19.8</v>
      </c>
      <c r="E281" s="97" t="n">
        <v>107</v>
      </c>
      <c r="F281" s="97" t="inlineStr">
        <is>
          <t>Risiko Lebih</t>
        </is>
      </c>
      <c r="G281" s="97" t="inlineStr">
        <is>
          <t>Normal</t>
        </is>
      </c>
      <c r="H281" s="106" t="inlineStr">
        <is>
          <t>Gizi Lebih</t>
        </is>
      </c>
      <c r="I281" s="97" t="inlineStr">
        <is>
          <t>Ya</t>
        </is>
      </c>
      <c r="J281" s="97" t="inlineStr">
        <is>
          <t>Tidak</t>
        </is>
      </c>
      <c r="K281" s="107" t="n"/>
    </row>
    <row r="282" ht="15.75" customHeight="1" s="95">
      <c r="A282" s="97" t="inlineStr">
        <is>
          <t>anonymus0281</t>
        </is>
      </c>
      <c r="B282" s="97" t="inlineStr">
        <is>
          <t>P</t>
        </is>
      </c>
      <c r="C282" s="97" t="inlineStr">
        <is>
          <t>35-69 Bulan</t>
        </is>
      </c>
      <c r="D282" s="97" t="inlineStr">
        <is>
          <t>17.5</t>
        </is>
      </c>
      <c r="E282" s="97" t="n">
        <v>103</v>
      </c>
      <c r="F282" s="97" t="inlineStr">
        <is>
          <t>Normal</t>
        </is>
      </c>
      <c r="G282" s="97" t="inlineStr">
        <is>
          <t>Normal</t>
        </is>
      </c>
      <c r="H282" s="106" t="inlineStr">
        <is>
          <t>Gizi Baik</t>
        </is>
      </c>
      <c r="I282" s="97" t="inlineStr">
        <is>
          <t>Ya</t>
        </is>
      </c>
      <c r="J282" s="97" t="inlineStr">
        <is>
          <t>Tidak</t>
        </is>
      </c>
      <c r="K282" s="107" t="n"/>
    </row>
    <row r="283" ht="15.75" customHeight="1" s="95">
      <c r="A283" s="97" t="inlineStr">
        <is>
          <t>anonymus0282</t>
        </is>
      </c>
      <c r="B283" s="97" t="inlineStr">
        <is>
          <t>P</t>
        </is>
      </c>
      <c r="C283" s="97" t="inlineStr">
        <is>
          <t>1-34 Bulan</t>
        </is>
      </c>
      <c r="D283" s="97" t="n">
        <v>10</v>
      </c>
      <c r="E283" s="97" t="n">
        <v>89.5</v>
      </c>
      <c r="F283" s="97" t="inlineStr">
        <is>
          <t>Kurang</t>
        </is>
      </c>
      <c r="G283" s="97" t="inlineStr">
        <is>
          <t>Normal</t>
        </is>
      </c>
      <c r="H283" s="106" t="inlineStr">
        <is>
          <t>Gizi Kurang</t>
        </is>
      </c>
      <c r="I283" s="97" t="inlineStr">
        <is>
          <t>Ya</t>
        </is>
      </c>
      <c r="J283" s="97" t="inlineStr">
        <is>
          <t>Tidak</t>
        </is>
      </c>
      <c r="K283" s="107" t="n"/>
    </row>
    <row r="284" ht="15.75" customHeight="1" s="95">
      <c r="A284" s="97" t="inlineStr">
        <is>
          <t>anonymus0283</t>
        </is>
      </c>
      <c r="B284" s="97" t="inlineStr">
        <is>
          <t>P</t>
        </is>
      </c>
      <c r="C284" s="97" t="inlineStr">
        <is>
          <t>35-69 Bulan</t>
        </is>
      </c>
      <c r="D284" s="97" t="inlineStr">
        <is>
          <t>11.9</t>
        </is>
      </c>
      <c r="E284" s="97" t="n">
        <v>95</v>
      </c>
      <c r="F284" s="97" t="inlineStr">
        <is>
          <t>Normal</t>
        </is>
      </c>
      <c r="G284" s="97" t="inlineStr">
        <is>
          <t>Normal</t>
        </is>
      </c>
      <c r="H284" s="106" t="inlineStr">
        <is>
          <t>Gizi Baik</t>
        </is>
      </c>
      <c r="I284" s="97" t="inlineStr">
        <is>
          <t>Ya</t>
        </is>
      </c>
      <c r="J284" s="97" t="inlineStr">
        <is>
          <t>Tidak</t>
        </is>
      </c>
      <c r="K284" s="107" t="n"/>
    </row>
    <row r="285" ht="15.75" customHeight="1" s="95">
      <c r="A285" s="97" t="inlineStr">
        <is>
          <t>anonymus0284</t>
        </is>
      </c>
      <c r="B285" s="97" t="inlineStr">
        <is>
          <t>L</t>
        </is>
      </c>
      <c r="C285" s="97" t="inlineStr">
        <is>
          <t>1-34 Bulan</t>
        </is>
      </c>
      <c r="D285" s="97" t="n">
        <v>10.3</v>
      </c>
      <c r="E285" s="97" t="n">
        <v>74</v>
      </c>
      <c r="F285" s="97" t="inlineStr">
        <is>
          <t>Normal</t>
        </is>
      </c>
      <c r="G285" s="97" t="inlineStr">
        <is>
          <t>Sangat Pendek</t>
        </is>
      </c>
      <c r="H285" s="106" t="inlineStr">
        <is>
          <t>Risiko Gizi Lebih</t>
        </is>
      </c>
      <c r="I285" s="97" t="inlineStr">
        <is>
          <t>Ya</t>
        </is>
      </c>
      <c r="J285" s="97" t="inlineStr">
        <is>
          <t>Stunting</t>
        </is>
      </c>
      <c r="K285" s="107" t="n"/>
    </row>
    <row r="286" ht="15.75" customHeight="1" s="95">
      <c r="A286" s="97" t="inlineStr">
        <is>
          <t>anonymus0285</t>
        </is>
      </c>
      <c r="B286" s="97" t="inlineStr">
        <is>
          <t>L</t>
        </is>
      </c>
      <c r="C286" s="97" t="inlineStr">
        <is>
          <t>1-34 Bulan</t>
        </is>
      </c>
      <c r="D286" s="97" t="n">
        <v>9.1</v>
      </c>
      <c r="E286" s="97" t="n">
        <v>81</v>
      </c>
      <c r="F286" s="97" t="inlineStr">
        <is>
          <t>Kurang</t>
        </is>
      </c>
      <c r="G286" s="97" t="inlineStr">
        <is>
          <t>Pendek</t>
        </is>
      </c>
      <c r="H286" s="106" t="inlineStr">
        <is>
          <t>Gizi Kurang</t>
        </is>
      </c>
      <c r="I286" s="97" t="inlineStr">
        <is>
          <t>Ya</t>
        </is>
      </c>
      <c r="J286" s="97" t="inlineStr">
        <is>
          <t>Potensi Stunting</t>
        </is>
      </c>
      <c r="K286" s="107" t="n"/>
    </row>
    <row r="287" ht="15.75" customHeight="1" s="95">
      <c r="A287" s="97" t="inlineStr">
        <is>
          <t>anonymus0286</t>
        </is>
      </c>
      <c r="B287" s="97" t="inlineStr">
        <is>
          <t>L</t>
        </is>
      </c>
      <c r="C287" s="97" t="inlineStr">
        <is>
          <t>1-34 Bulan</t>
        </is>
      </c>
      <c r="D287" s="97" t="inlineStr">
        <is>
          <t>9.9</t>
        </is>
      </c>
      <c r="E287" s="97" t="n">
        <v>87</v>
      </c>
      <c r="F287" s="97" t="inlineStr">
        <is>
          <t>Kurang</t>
        </is>
      </c>
      <c r="G287" s="97" t="inlineStr">
        <is>
          <t>Normal</t>
        </is>
      </c>
      <c r="H287" s="106" t="inlineStr">
        <is>
          <t>Gizi Kurang</t>
        </is>
      </c>
      <c r="I287" s="97" t="inlineStr">
        <is>
          <t>Ya</t>
        </is>
      </c>
      <c r="J287" s="97" t="inlineStr">
        <is>
          <t>Tidak</t>
        </is>
      </c>
      <c r="K287" s="107" t="n"/>
    </row>
    <row r="288" ht="15.75" customHeight="1" s="95">
      <c r="A288" s="97" t="inlineStr">
        <is>
          <t>anonymus0287</t>
        </is>
      </c>
      <c r="B288" s="97" t="inlineStr">
        <is>
          <t>L</t>
        </is>
      </c>
      <c r="C288" s="97" t="inlineStr">
        <is>
          <t>35-69 Bulan</t>
        </is>
      </c>
      <c r="D288" s="97" t="n">
        <v>7.5</v>
      </c>
      <c r="E288" s="97" t="n">
        <v>76</v>
      </c>
      <c r="F288" s="97" t="inlineStr">
        <is>
          <t>Sangat Kurang</t>
        </is>
      </c>
      <c r="G288" s="97" t="inlineStr">
        <is>
          <t>Pendek</t>
        </is>
      </c>
      <c r="H288" s="106" t="inlineStr">
        <is>
          <t>Gizi Buruk</t>
        </is>
      </c>
      <c r="I288" s="97" t="inlineStr">
        <is>
          <t>Ya</t>
        </is>
      </c>
      <c r="J288" s="97" t="inlineStr">
        <is>
          <t>Potensi Stunting</t>
        </is>
      </c>
      <c r="K288" s="107" t="n"/>
    </row>
    <row r="289" ht="15.75" customHeight="1" s="95">
      <c r="A289" s="97" t="inlineStr">
        <is>
          <t>anonymus0288</t>
        </is>
      </c>
      <c r="B289" s="97" t="inlineStr">
        <is>
          <t>P</t>
        </is>
      </c>
      <c r="C289" s="97" t="inlineStr">
        <is>
          <t>1-34 Bulan</t>
        </is>
      </c>
      <c r="D289" s="97" t="inlineStr">
        <is>
          <t>11.6</t>
        </is>
      </c>
      <c r="E289" s="97" t="n">
        <v>89</v>
      </c>
      <c r="F289" s="97" t="inlineStr">
        <is>
          <t>Normal</t>
        </is>
      </c>
      <c r="G289" s="97" t="inlineStr">
        <is>
          <t>Normal</t>
        </is>
      </c>
      <c r="H289" s="106" t="inlineStr">
        <is>
          <t>Gizi Baik</t>
        </is>
      </c>
      <c r="I289" s="97" t="inlineStr">
        <is>
          <t>Ya</t>
        </is>
      </c>
      <c r="J289" s="97" t="inlineStr">
        <is>
          <t>Tidak</t>
        </is>
      </c>
      <c r="K289" s="107" t="n"/>
    </row>
    <row r="290" ht="15.75" customHeight="1" s="95">
      <c r="A290" s="97" t="inlineStr">
        <is>
          <t>anonymus0289</t>
        </is>
      </c>
      <c r="B290" s="97" t="inlineStr">
        <is>
          <t>L</t>
        </is>
      </c>
      <c r="C290" s="97" t="inlineStr">
        <is>
          <t>35-69 Bulan</t>
        </is>
      </c>
      <c r="D290" s="97" t="inlineStr">
        <is>
          <t>14.1</t>
        </is>
      </c>
      <c r="E290" s="97" t="n">
        <v>90</v>
      </c>
      <c r="F290" s="97" t="inlineStr">
        <is>
          <t>Normal</t>
        </is>
      </c>
      <c r="G290" s="97" t="inlineStr">
        <is>
          <t>Normal</t>
        </is>
      </c>
      <c r="H290" s="106" t="inlineStr">
        <is>
          <t>Risiko Gizi Lebih</t>
        </is>
      </c>
      <c r="I290" s="97" t="inlineStr">
        <is>
          <t>Ya</t>
        </is>
      </c>
      <c r="J290" s="97" t="inlineStr">
        <is>
          <t>Tidak</t>
        </is>
      </c>
      <c r="K290" s="107" t="n"/>
    </row>
    <row r="291" ht="15.75" customHeight="1" s="95">
      <c r="A291" s="97" t="inlineStr">
        <is>
          <t>anonymus0290</t>
        </is>
      </c>
      <c r="B291" s="97" t="inlineStr">
        <is>
          <t>L</t>
        </is>
      </c>
      <c r="C291" s="97" t="inlineStr">
        <is>
          <t>35-69 Bulan</t>
        </is>
      </c>
      <c r="D291" s="97" t="n">
        <v>13</v>
      </c>
      <c r="E291" s="97" t="n">
        <v>104</v>
      </c>
      <c r="F291" s="97" t="inlineStr">
        <is>
          <t>Normal</t>
        </is>
      </c>
      <c r="G291" s="97" t="inlineStr">
        <is>
          <t>Normal</t>
        </is>
      </c>
      <c r="H291" s="106" t="inlineStr">
        <is>
          <t>Gizi Kurang</t>
        </is>
      </c>
      <c r="I291" s="97" t="inlineStr">
        <is>
          <t>Ya</t>
        </is>
      </c>
      <c r="J291" s="97" t="inlineStr">
        <is>
          <t>Tidak</t>
        </is>
      </c>
      <c r="K291" s="107" t="n"/>
    </row>
    <row r="292" ht="15.75" customHeight="1" s="95">
      <c r="A292" s="97" t="inlineStr">
        <is>
          <t>anonymus0291</t>
        </is>
      </c>
      <c r="B292" s="97" t="inlineStr">
        <is>
          <t>P</t>
        </is>
      </c>
      <c r="C292" s="97" t="inlineStr">
        <is>
          <t>35-69 Bulan</t>
        </is>
      </c>
      <c r="D292" s="97" t="n">
        <v>10.5</v>
      </c>
      <c r="E292" s="97" t="n">
        <v>85</v>
      </c>
      <c r="F292" s="97" t="inlineStr">
        <is>
          <t>Normal</t>
        </is>
      </c>
      <c r="G292" s="97" t="inlineStr">
        <is>
          <t>Pendek</t>
        </is>
      </c>
      <c r="H292" s="106" t="inlineStr">
        <is>
          <t>Gizi Baik</t>
        </is>
      </c>
      <c r="I292" s="97" t="inlineStr">
        <is>
          <t>Ya</t>
        </is>
      </c>
      <c r="J292" s="97" t="inlineStr">
        <is>
          <t>Potensi Stunting</t>
        </is>
      </c>
      <c r="K292" s="107" t="n"/>
    </row>
    <row r="293" ht="15.75" customHeight="1" s="95">
      <c r="A293" s="97" t="inlineStr">
        <is>
          <t>anonymus0292</t>
        </is>
      </c>
      <c r="B293" s="97" t="inlineStr">
        <is>
          <t>P</t>
        </is>
      </c>
      <c r="C293" s="97" t="inlineStr">
        <is>
          <t>35-69 Bulan</t>
        </is>
      </c>
      <c r="D293" s="97" t="n">
        <v>9.300000000000001</v>
      </c>
      <c r="E293" s="97" t="n">
        <v>78</v>
      </c>
      <c r="F293" s="97" t="inlineStr">
        <is>
          <t>Normal</t>
        </is>
      </c>
      <c r="G293" s="97" t="inlineStr">
        <is>
          <t>Pendek</t>
        </is>
      </c>
      <c r="H293" s="106" t="inlineStr">
        <is>
          <t>Gizi Baik</t>
        </is>
      </c>
      <c r="I293" s="97" t="inlineStr">
        <is>
          <t>Ya</t>
        </is>
      </c>
      <c r="J293" s="97" t="inlineStr">
        <is>
          <t>Potensi Stunting</t>
        </is>
      </c>
      <c r="K293" s="107" t="n"/>
    </row>
    <row r="294" ht="15.75" customHeight="1" s="95">
      <c r="A294" s="97" t="inlineStr">
        <is>
          <t>anonymus0293</t>
        </is>
      </c>
      <c r="B294" s="97" t="inlineStr">
        <is>
          <t>L</t>
        </is>
      </c>
      <c r="C294" s="97" t="inlineStr">
        <is>
          <t>35-69 Bulan</t>
        </is>
      </c>
      <c r="D294" s="97" t="n">
        <v>12.6</v>
      </c>
      <c r="E294" s="97" t="n">
        <v>119</v>
      </c>
      <c r="F294" s="97" t="inlineStr">
        <is>
          <t>Normal</t>
        </is>
      </c>
      <c r="G294" s="97" t="inlineStr">
        <is>
          <t>Normal</t>
        </is>
      </c>
      <c r="H294" s="106" t="inlineStr">
        <is>
          <t>Gizi Baik</t>
        </is>
      </c>
      <c r="I294" s="97" t="inlineStr">
        <is>
          <t>Ya</t>
        </is>
      </c>
      <c r="J294" s="97" t="inlineStr">
        <is>
          <t>Tidak</t>
        </is>
      </c>
      <c r="K294" s="107" t="n"/>
    </row>
    <row r="295" ht="15.75" customHeight="1" s="95">
      <c r="A295" s="97" t="inlineStr">
        <is>
          <t>anonymus0294</t>
        </is>
      </c>
      <c r="B295" s="97" t="inlineStr">
        <is>
          <t>L</t>
        </is>
      </c>
      <c r="C295" s="97" t="inlineStr">
        <is>
          <t>35-69 Bulan</t>
        </is>
      </c>
      <c r="D295" s="97" t="n">
        <v>14.8</v>
      </c>
      <c r="E295" s="97" t="n">
        <v>108</v>
      </c>
      <c r="F295" s="97" t="inlineStr">
        <is>
          <t>Normal</t>
        </is>
      </c>
      <c r="G295" s="97" t="inlineStr">
        <is>
          <t>Normal</t>
        </is>
      </c>
      <c r="H295" s="106" t="inlineStr">
        <is>
          <t>Gizi Kurang</t>
        </is>
      </c>
      <c r="I295" s="97" t="inlineStr">
        <is>
          <t>Ya</t>
        </is>
      </c>
      <c r="J295" s="97" t="inlineStr">
        <is>
          <t>Tidak</t>
        </is>
      </c>
      <c r="K295" s="107" t="n"/>
    </row>
    <row r="296" ht="15.75" customHeight="1" s="95">
      <c r="A296" s="97" t="inlineStr">
        <is>
          <t>anonymus0295</t>
        </is>
      </c>
      <c r="B296" s="97" t="inlineStr">
        <is>
          <t>L</t>
        </is>
      </c>
      <c r="C296" s="97" t="inlineStr">
        <is>
          <t>1-34 Bulan</t>
        </is>
      </c>
      <c r="D296" s="97" t="n">
        <v>2.7</v>
      </c>
      <c r="E296" s="97" t="n">
        <v>48</v>
      </c>
      <c r="F296" s="97" t="inlineStr">
        <is>
          <t>Kurang</t>
        </is>
      </c>
      <c r="G296" s="97" t="inlineStr">
        <is>
          <t>Pendek</t>
        </is>
      </c>
      <c r="H296" s="106" t="inlineStr">
        <is>
          <t>Gizi Baik</t>
        </is>
      </c>
      <c r="I296" s="97" t="inlineStr">
        <is>
          <t>Ya</t>
        </is>
      </c>
      <c r="J296" s="97" t="inlineStr">
        <is>
          <t>Potensi Stunting</t>
        </is>
      </c>
      <c r="K296" s="107" t="n"/>
    </row>
    <row r="297" ht="15.75" customHeight="1" s="95">
      <c r="A297" s="97" t="inlineStr">
        <is>
          <t>anonymus0296</t>
        </is>
      </c>
      <c r="B297" s="97" t="inlineStr">
        <is>
          <t>L</t>
        </is>
      </c>
      <c r="C297" s="97" t="inlineStr">
        <is>
          <t>35-69 Bulan</t>
        </is>
      </c>
      <c r="D297" s="97" t="n">
        <v>12</v>
      </c>
      <c r="E297" s="97" t="n">
        <v>90</v>
      </c>
      <c r="F297" s="97" t="inlineStr">
        <is>
          <t>Normal</t>
        </is>
      </c>
      <c r="G297" s="97" t="inlineStr">
        <is>
          <t>Pendek</t>
        </is>
      </c>
      <c r="H297" s="106" t="inlineStr">
        <is>
          <t>Gizi Baik</t>
        </is>
      </c>
      <c r="I297" s="97" t="inlineStr">
        <is>
          <t>Ya</t>
        </is>
      </c>
      <c r="J297" s="97" t="inlineStr">
        <is>
          <t>Potensi Stunting</t>
        </is>
      </c>
      <c r="K297" s="107" t="n"/>
    </row>
    <row r="298" ht="15.75" customHeight="1" s="95">
      <c r="A298" s="97" t="inlineStr">
        <is>
          <t>anonymus0297</t>
        </is>
      </c>
      <c r="B298" s="97" t="inlineStr">
        <is>
          <t>L</t>
        </is>
      </c>
      <c r="C298" s="97" t="inlineStr">
        <is>
          <t>1-34 Bulan</t>
        </is>
      </c>
      <c r="D298" s="97" t="n">
        <v>6.3</v>
      </c>
      <c r="E298" s="97" t="n">
        <v>70</v>
      </c>
      <c r="F298" s="97" t="inlineStr">
        <is>
          <t>Kurang</t>
        </is>
      </c>
      <c r="G298" s="97" t="inlineStr">
        <is>
          <t>Normal</t>
        </is>
      </c>
      <c r="H298" s="106" t="inlineStr">
        <is>
          <t>Gizi Kurang</t>
        </is>
      </c>
      <c r="I298" s="97" t="inlineStr">
        <is>
          <t>Ya</t>
        </is>
      </c>
      <c r="J298" s="97" t="inlineStr">
        <is>
          <t>Tidak</t>
        </is>
      </c>
      <c r="K298" s="107" t="n"/>
    </row>
    <row r="299" ht="15.75" customHeight="1" s="95">
      <c r="A299" s="97" t="inlineStr">
        <is>
          <t>anonymus0298</t>
        </is>
      </c>
      <c r="B299" s="97" t="inlineStr">
        <is>
          <t>L</t>
        </is>
      </c>
      <c r="C299" s="97" t="inlineStr">
        <is>
          <t>1-34 Bulan</t>
        </is>
      </c>
      <c r="D299" s="97" t="n">
        <v>8.5</v>
      </c>
      <c r="E299" s="97" t="n">
        <v>99</v>
      </c>
      <c r="F299" s="97" t="inlineStr">
        <is>
          <t>Kurang</t>
        </is>
      </c>
      <c r="G299" s="97" t="inlineStr">
        <is>
          <t>Normal</t>
        </is>
      </c>
      <c r="H299" s="106" t="inlineStr">
        <is>
          <t>Gizi Kurang</t>
        </is>
      </c>
      <c r="I299" s="97" t="inlineStr">
        <is>
          <t>Ya</t>
        </is>
      </c>
      <c r="J299" s="97" t="inlineStr">
        <is>
          <t>Tidak</t>
        </is>
      </c>
      <c r="K299" s="107" t="n"/>
    </row>
    <row r="300" ht="15.75" customHeight="1" s="95">
      <c r="A300" s="97" t="inlineStr">
        <is>
          <t>anonymus0299</t>
        </is>
      </c>
      <c r="B300" s="97" t="inlineStr">
        <is>
          <t>P</t>
        </is>
      </c>
      <c r="C300" s="97" t="inlineStr">
        <is>
          <t>35-69 Bulan</t>
        </is>
      </c>
      <c r="D300" s="97" t="n">
        <v>8.300000000000001</v>
      </c>
      <c r="E300" s="97" t="n">
        <v>78.90000000000001</v>
      </c>
      <c r="F300" s="97" t="inlineStr">
        <is>
          <t>Sangat Kurang</t>
        </is>
      </c>
      <c r="G300" s="97" t="inlineStr">
        <is>
          <t>Pendek</t>
        </is>
      </c>
      <c r="H300" s="106" t="inlineStr">
        <is>
          <t>Gizi Kurang</t>
        </is>
      </c>
      <c r="I300" s="97" t="inlineStr">
        <is>
          <t>Ya</t>
        </is>
      </c>
      <c r="J300" s="97" t="inlineStr">
        <is>
          <t>Stunting</t>
        </is>
      </c>
      <c r="K300" s="107" t="n"/>
    </row>
    <row r="301" ht="15.75" customHeight="1" s="95">
      <c r="A301" s="97" t="inlineStr">
        <is>
          <t>anonymus0300</t>
        </is>
      </c>
      <c r="B301" s="97" t="inlineStr">
        <is>
          <t>L</t>
        </is>
      </c>
      <c r="C301" s="97" t="inlineStr">
        <is>
          <t>35-69 Bulan</t>
        </is>
      </c>
      <c r="D301" s="97" t="inlineStr">
        <is>
          <t>17.6</t>
        </is>
      </c>
      <c r="E301" s="97" t="n">
        <v>105</v>
      </c>
      <c r="F301" s="97" t="inlineStr">
        <is>
          <t>Normal</t>
        </is>
      </c>
      <c r="G301" s="97" t="inlineStr">
        <is>
          <t>Normal</t>
        </is>
      </c>
      <c r="H301" s="106" t="inlineStr">
        <is>
          <t>Gizi Baik</t>
        </is>
      </c>
      <c r="I301" s="97" t="inlineStr">
        <is>
          <t>Ya</t>
        </is>
      </c>
      <c r="J301" s="97" t="inlineStr">
        <is>
          <t>Tidak</t>
        </is>
      </c>
      <c r="K301" s="107" t="n"/>
    </row>
    <row r="302" ht="15.75" customHeight="1" s="95">
      <c r="A302" s="97" t="inlineStr">
        <is>
          <t>anonymus0301</t>
        </is>
      </c>
      <c r="B302" s="97" t="inlineStr">
        <is>
          <t>L</t>
        </is>
      </c>
      <c r="C302" s="97" t="inlineStr">
        <is>
          <t>35-69 Bulan</t>
        </is>
      </c>
      <c r="D302" s="97" t="n">
        <v>10.3</v>
      </c>
      <c r="E302" s="97" t="n">
        <v>87</v>
      </c>
      <c r="F302" s="97" t="inlineStr">
        <is>
          <t>Kurang</t>
        </is>
      </c>
      <c r="G302" s="97" t="inlineStr">
        <is>
          <t>Pendek</t>
        </is>
      </c>
      <c r="H302" s="106" t="inlineStr">
        <is>
          <t>Gizi Kurang</t>
        </is>
      </c>
      <c r="I302" s="97" t="inlineStr">
        <is>
          <t>Ya</t>
        </is>
      </c>
      <c r="J302" s="97" t="inlineStr">
        <is>
          <t>Potensi Stunting</t>
        </is>
      </c>
      <c r="K302" s="107" t="n"/>
    </row>
    <row r="303" ht="15.75" customHeight="1" s="95">
      <c r="A303" s="97" t="inlineStr">
        <is>
          <t>anonymus0302</t>
        </is>
      </c>
      <c r="B303" s="97" t="inlineStr">
        <is>
          <t>L</t>
        </is>
      </c>
      <c r="C303" s="97" t="inlineStr">
        <is>
          <t>1-34 Bulan</t>
        </is>
      </c>
      <c r="D303" s="97" t="n">
        <v>9.6</v>
      </c>
      <c r="E303" s="97" t="n">
        <v>99</v>
      </c>
      <c r="F303" s="97" t="inlineStr">
        <is>
          <t>Normal</t>
        </is>
      </c>
      <c r="G303" s="97" t="inlineStr">
        <is>
          <t>Normal</t>
        </is>
      </c>
      <c r="H303" s="106" t="inlineStr">
        <is>
          <t>Gizi Baik</t>
        </is>
      </c>
      <c r="I303" s="97" t="inlineStr">
        <is>
          <t>Ya</t>
        </is>
      </c>
      <c r="J303" s="97" t="inlineStr">
        <is>
          <t>Tidak</t>
        </is>
      </c>
      <c r="K303" s="107" t="n"/>
    </row>
    <row r="304" ht="15.75" customHeight="1" s="95">
      <c r="A304" s="97" t="inlineStr">
        <is>
          <t>anonymus0303</t>
        </is>
      </c>
      <c r="B304" s="97" t="inlineStr">
        <is>
          <t>L</t>
        </is>
      </c>
      <c r="C304" s="97" t="inlineStr">
        <is>
          <t>1-34 Bulan</t>
        </is>
      </c>
      <c r="D304" s="97" t="n">
        <v>10</v>
      </c>
      <c r="E304" s="97" t="n">
        <v>97</v>
      </c>
      <c r="F304" s="97" t="inlineStr">
        <is>
          <t>Normal</t>
        </is>
      </c>
      <c r="G304" s="97" t="inlineStr">
        <is>
          <t>Normal</t>
        </is>
      </c>
      <c r="H304" s="106" t="inlineStr">
        <is>
          <t>Gizi Baik</t>
        </is>
      </c>
      <c r="I304" s="97" t="inlineStr">
        <is>
          <t>Ya</t>
        </is>
      </c>
      <c r="J304" s="97" t="inlineStr">
        <is>
          <t>Tidak</t>
        </is>
      </c>
      <c r="K304" s="107" t="n"/>
    </row>
    <row r="305" ht="15.75" customHeight="1" s="95">
      <c r="A305" s="97" t="inlineStr">
        <is>
          <t>anonymus0304</t>
        </is>
      </c>
      <c r="B305" s="97" t="inlineStr">
        <is>
          <t>P</t>
        </is>
      </c>
      <c r="C305" s="97" t="inlineStr">
        <is>
          <t>1-34 Bulan</t>
        </is>
      </c>
      <c r="D305" s="97" t="inlineStr">
        <is>
          <t>3.2</t>
        </is>
      </c>
      <c r="E305" s="97" t="n">
        <v>50</v>
      </c>
      <c r="F305" s="97" t="inlineStr">
        <is>
          <t>Normal</t>
        </is>
      </c>
      <c r="G305" s="97" t="inlineStr">
        <is>
          <t>Normal</t>
        </is>
      </c>
      <c r="H305" s="106" t="inlineStr">
        <is>
          <t>Gizi Baik</t>
        </is>
      </c>
      <c r="I305" s="97" t="inlineStr">
        <is>
          <t>Ya</t>
        </is>
      </c>
      <c r="J305" s="97" t="inlineStr">
        <is>
          <t>Tidak</t>
        </is>
      </c>
      <c r="K305" s="107" t="n"/>
    </row>
    <row r="306" ht="15.75" customHeight="1" s="95">
      <c r="A306" s="97" t="inlineStr">
        <is>
          <t>anonymus0305</t>
        </is>
      </c>
      <c r="B306" s="97" t="inlineStr">
        <is>
          <t>L</t>
        </is>
      </c>
      <c r="C306" s="97" t="inlineStr">
        <is>
          <t>35-69 Bulan</t>
        </is>
      </c>
      <c r="D306" s="97" t="n">
        <v>19.7</v>
      </c>
      <c r="E306" s="97" t="n">
        <v>113</v>
      </c>
      <c r="F306" s="97" t="inlineStr">
        <is>
          <t>Risiko Lebih</t>
        </is>
      </c>
      <c r="G306" s="97" t="inlineStr">
        <is>
          <t>Normal</t>
        </is>
      </c>
      <c r="H306" s="106" t="inlineStr">
        <is>
          <t>Gizi Lebih</t>
        </is>
      </c>
      <c r="I306" s="97" t="inlineStr">
        <is>
          <t>Ya</t>
        </is>
      </c>
      <c r="J306" s="97" t="inlineStr">
        <is>
          <t>Tidak</t>
        </is>
      </c>
      <c r="K306" s="107" t="n"/>
    </row>
    <row r="307" ht="15.75" customHeight="1" s="95">
      <c r="A307" s="97" t="inlineStr">
        <is>
          <t>anonymus0306</t>
        </is>
      </c>
      <c r="B307" s="97" t="inlineStr">
        <is>
          <t>P</t>
        </is>
      </c>
      <c r="C307" s="97" t="inlineStr">
        <is>
          <t>35-69 Bulan</t>
        </is>
      </c>
      <c r="D307" s="97" t="n">
        <v>17.9</v>
      </c>
      <c r="E307" s="97" t="n">
        <v>116</v>
      </c>
      <c r="F307" s="97" t="inlineStr">
        <is>
          <t>Risiko Lebih</t>
        </is>
      </c>
      <c r="G307" s="97" t="inlineStr">
        <is>
          <t>Normal</t>
        </is>
      </c>
      <c r="H307" s="106" t="inlineStr">
        <is>
          <t>Gizi Lebih</t>
        </is>
      </c>
      <c r="I307" s="97" t="inlineStr">
        <is>
          <t>Ya</t>
        </is>
      </c>
      <c r="J307" s="97" t="inlineStr">
        <is>
          <t>Tidak</t>
        </is>
      </c>
      <c r="K307" s="107" t="n"/>
    </row>
    <row r="308" ht="15.75" customHeight="1" s="95">
      <c r="A308" s="97" t="inlineStr">
        <is>
          <t>anonymus0307</t>
        </is>
      </c>
      <c r="B308" s="97" t="inlineStr">
        <is>
          <t>P</t>
        </is>
      </c>
      <c r="C308" s="97" t="inlineStr">
        <is>
          <t>1-34 Bulan</t>
        </is>
      </c>
      <c r="D308" s="97" t="n">
        <v>8.1</v>
      </c>
      <c r="E308" s="97" t="n">
        <v>94</v>
      </c>
      <c r="F308" s="97" t="inlineStr">
        <is>
          <t>Kurang</t>
        </is>
      </c>
      <c r="G308" s="97" t="inlineStr">
        <is>
          <t>Normal</t>
        </is>
      </c>
      <c r="H308" s="106" t="inlineStr">
        <is>
          <t>Gizi Kurang</t>
        </is>
      </c>
      <c r="I308" s="97" t="inlineStr">
        <is>
          <t>Ya</t>
        </is>
      </c>
      <c r="J308" s="97" t="inlineStr">
        <is>
          <t>Tidak</t>
        </is>
      </c>
      <c r="K308" s="107" t="n"/>
    </row>
    <row r="309" ht="15.75" customHeight="1" s="95">
      <c r="A309" s="97" t="inlineStr">
        <is>
          <t>anonymus0308</t>
        </is>
      </c>
      <c r="B309" s="97" t="inlineStr">
        <is>
          <t>L</t>
        </is>
      </c>
      <c r="C309" s="97" t="inlineStr">
        <is>
          <t>1-34 Bulan</t>
        </is>
      </c>
      <c r="D309" s="97" t="n">
        <v>9.300000000000001</v>
      </c>
      <c r="E309" s="97" t="n">
        <v>88</v>
      </c>
      <c r="F309" s="97" t="inlineStr">
        <is>
          <t>Normal</t>
        </is>
      </c>
      <c r="G309" s="97" t="inlineStr">
        <is>
          <t>Normal</t>
        </is>
      </c>
      <c r="H309" s="106" t="inlineStr">
        <is>
          <t>Gizi Baik</t>
        </is>
      </c>
      <c r="I309" s="97" t="inlineStr">
        <is>
          <t>Ya</t>
        </is>
      </c>
      <c r="J309" s="97" t="inlineStr">
        <is>
          <t>Tidak</t>
        </is>
      </c>
      <c r="K309" s="107" t="n"/>
    </row>
    <row r="310" ht="15.75" customHeight="1" s="95">
      <c r="A310" s="97" t="inlineStr">
        <is>
          <t>anonymus0309</t>
        </is>
      </c>
      <c r="B310" s="97" t="inlineStr">
        <is>
          <t>P</t>
        </is>
      </c>
      <c r="C310" s="97" t="inlineStr">
        <is>
          <t>35-69 Bulan</t>
        </is>
      </c>
      <c r="D310" s="97" t="n">
        <v>9.800000000000001</v>
      </c>
      <c r="E310" s="97" t="n">
        <v>86.2</v>
      </c>
      <c r="F310" s="97" t="inlineStr">
        <is>
          <t>Sangat Kurang</t>
        </is>
      </c>
      <c r="G310" s="97" t="inlineStr">
        <is>
          <t>Sangat Pendek</t>
        </is>
      </c>
      <c r="H310" s="106" t="inlineStr">
        <is>
          <t>Gizi Kurang</t>
        </is>
      </c>
      <c r="I310" s="97" t="inlineStr">
        <is>
          <t>Ya</t>
        </is>
      </c>
      <c r="J310" s="97" t="inlineStr">
        <is>
          <t>Potensi Stunting</t>
        </is>
      </c>
      <c r="K310" s="107" t="n"/>
    </row>
    <row r="311" ht="15.75" customHeight="1" s="95">
      <c r="A311" s="97" t="inlineStr">
        <is>
          <t>anonymus0310</t>
        </is>
      </c>
      <c r="B311" s="97" t="inlineStr">
        <is>
          <t>L</t>
        </is>
      </c>
      <c r="C311" s="97" t="inlineStr">
        <is>
          <t>35-69 Bulan</t>
        </is>
      </c>
      <c r="D311" s="97" t="n">
        <v>9.699999999999999</v>
      </c>
      <c r="E311" s="97" t="n">
        <v>89</v>
      </c>
      <c r="F311" s="97" t="inlineStr">
        <is>
          <t>Sangat Kurang</t>
        </is>
      </c>
      <c r="G311" s="97" t="inlineStr">
        <is>
          <t>Pendek</t>
        </is>
      </c>
      <c r="H311" s="106" t="inlineStr">
        <is>
          <t>Gizi Buruk</t>
        </is>
      </c>
      <c r="I311" s="97" t="inlineStr">
        <is>
          <t>Ya</t>
        </is>
      </c>
      <c r="J311" s="97" t="inlineStr">
        <is>
          <t>Potensi Stunting</t>
        </is>
      </c>
      <c r="K311" s="107" t="n"/>
    </row>
    <row r="312" ht="15.75" customHeight="1" s="95">
      <c r="A312" s="97" t="inlineStr">
        <is>
          <t>anonymus0311</t>
        </is>
      </c>
      <c r="B312" s="97" t="inlineStr">
        <is>
          <t>P</t>
        </is>
      </c>
      <c r="C312" s="97" t="inlineStr">
        <is>
          <t>1-34 Bulan</t>
        </is>
      </c>
      <c r="D312" s="97" t="inlineStr">
        <is>
          <t>7.5</t>
        </is>
      </c>
      <c r="E312" s="97" t="n">
        <v>72</v>
      </c>
      <c r="F312" s="97" t="inlineStr">
        <is>
          <t>Normal</t>
        </is>
      </c>
      <c r="G312" s="97" t="inlineStr">
        <is>
          <t>Normal</t>
        </is>
      </c>
      <c r="H312" s="106" t="inlineStr">
        <is>
          <t>Gizi Baik</t>
        </is>
      </c>
      <c r="I312" s="97" t="inlineStr">
        <is>
          <t>Ya</t>
        </is>
      </c>
      <c r="J312" s="97" t="inlineStr">
        <is>
          <t>Tidak</t>
        </is>
      </c>
      <c r="K312" s="107" t="n"/>
    </row>
    <row r="313" ht="15.75" customHeight="1" s="95">
      <c r="A313" s="97" t="inlineStr">
        <is>
          <t>anonymus0312</t>
        </is>
      </c>
      <c r="B313" s="97" t="inlineStr">
        <is>
          <t>L</t>
        </is>
      </c>
      <c r="C313" s="97" t="inlineStr">
        <is>
          <t>35-69 Bulan</t>
        </is>
      </c>
      <c r="D313" s="97" t="inlineStr">
        <is>
          <t>17.5</t>
        </is>
      </c>
      <c r="E313" s="97" t="n">
        <v>106</v>
      </c>
      <c r="F313" s="97" t="inlineStr">
        <is>
          <t>Normal</t>
        </is>
      </c>
      <c r="G313" s="97" t="inlineStr">
        <is>
          <t>Normal</t>
        </is>
      </c>
      <c r="H313" s="106" t="inlineStr">
        <is>
          <t>Gizi Baik</t>
        </is>
      </c>
      <c r="I313" s="97" t="inlineStr">
        <is>
          <t>Ya</t>
        </is>
      </c>
      <c r="J313" s="97" t="inlineStr">
        <is>
          <t>Tidak</t>
        </is>
      </c>
      <c r="K313" s="107" t="n"/>
    </row>
    <row r="314" ht="15.75" customHeight="1" s="95">
      <c r="A314" s="97" t="inlineStr">
        <is>
          <t>anonymus0313</t>
        </is>
      </c>
      <c r="B314" s="97" t="inlineStr">
        <is>
          <t>L</t>
        </is>
      </c>
      <c r="C314" s="97" t="inlineStr">
        <is>
          <t>35-69 Bulan</t>
        </is>
      </c>
      <c r="D314" s="97" t="n">
        <v>18.6</v>
      </c>
      <c r="E314" s="97" t="n">
        <v>109</v>
      </c>
      <c r="F314" s="97" t="inlineStr">
        <is>
          <t>Risiko Lebih</t>
        </is>
      </c>
      <c r="G314" s="97" t="inlineStr">
        <is>
          <t>Normal</t>
        </is>
      </c>
      <c r="H314" s="106" t="inlineStr">
        <is>
          <t>Gizi Lebih</t>
        </is>
      </c>
      <c r="I314" s="97" t="inlineStr">
        <is>
          <t>Ya</t>
        </is>
      </c>
      <c r="J314" s="97" t="inlineStr">
        <is>
          <t>Tidak</t>
        </is>
      </c>
      <c r="K314" s="107" t="n"/>
    </row>
    <row r="315" ht="15.75" customHeight="1" s="95">
      <c r="A315" s="97" t="inlineStr">
        <is>
          <t>anonymus0314</t>
        </is>
      </c>
      <c r="B315" s="97" t="inlineStr">
        <is>
          <t>P</t>
        </is>
      </c>
      <c r="C315" s="97" t="inlineStr">
        <is>
          <t>35-69 Bulan</t>
        </is>
      </c>
      <c r="D315" s="97" t="n">
        <v>9.4</v>
      </c>
      <c r="E315" s="97" t="n">
        <v>87.59999999999999</v>
      </c>
      <c r="F315" s="97" t="inlineStr">
        <is>
          <t>Sangat Kurang</t>
        </is>
      </c>
      <c r="G315" s="97" t="inlineStr">
        <is>
          <t>Sangat Pendek</t>
        </is>
      </c>
      <c r="H315" s="106" t="inlineStr">
        <is>
          <t>Gizi Kurang</t>
        </is>
      </c>
      <c r="I315" s="97" t="inlineStr">
        <is>
          <t>Ya</t>
        </is>
      </c>
      <c r="J315" s="97" t="inlineStr">
        <is>
          <t>Stunting</t>
        </is>
      </c>
      <c r="K315" s="107" t="n"/>
    </row>
    <row r="316" ht="15.75" customHeight="1" s="95">
      <c r="A316" s="97" t="inlineStr">
        <is>
          <t>anonymus0315</t>
        </is>
      </c>
      <c r="B316" s="97" t="inlineStr">
        <is>
          <t>P</t>
        </is>
      </c>
      <c r="C316" s="97" t="inlineStr">
        <is>
          <t>35-69 Bulan</t>
        </is>
      </c>
      <c r="D316" s="97" t="n">
        <v>14.6</v>
      </c>
      <c r="E316" s="97" t="n">
        <v>112</v>
      </c>
      <c r="F316" s="97" t="inlineStr">
        <is>
          <t>Normal</t>
        </is>
      </c>
      <c r="G316" s="97" t="inlineStr">
        <is>
          <t>Normal</t>
        </is>
      </c>
      <c r="H316" s="106" t="inlineStr">
        <is>
          <t>Gizi Baik</t>
        </is>
      </c>
      <c r="I316" s="97" t="inlineStr">
        <is>
          <t>Ya</t>
        </is>
      </c>
      <c r="J316" s="97" t="inlineStr">
        <is>
          <t>Tidak</t>
        </is>
      </c>
      <c r="K316" s="107" t="n"/>
    </row>
    <row r="317" ht="15.75" customHeight="1" s="95">
      <c r="A317" s="97" t="inlineStr">
        <is>
          <t>anonymus0316</t>
        </is>
      </c>
      <c r="B317" s="97" t="inlineStr">
        <is>
          <t>P</t>
        </is>
      </c>
      <c r="C317" s="97" t="inlineStr">
        <is>
          <t>35-69 Bulan</t>
        </is>
      </c>
      <c r="D317" s="97" t="n">
        <v>16.6</v>
      </c>
      <c r="E317" s="97" t="n">
        <v>113</v>
      </c>
      <c r="F317" s="97" t="inlineStr">
        <is>
          <t>Normal</t>
        </is>
      </c>
      <c r="G317" s="97" t="inlineStr">
        <is>
          <t>Normal</t>
        </is>
      </c>
      <c r="H317" s="106" t="inlineStr">
        <is>
          <t>Gizi Baik</t>
        </is>
      </c>
      <c r="I317" s="97" t="inlineStr">
        <is>
          <t>Ya</t>
        </is>
      </c>
      <c r="J317" s="97" t="inlineStr">
        <is>
          <t>Tidak</t>
        </is>
      </c>
      <c r="K317" s="107" t="n"/>
    </row>
    <row r="318" ht="15.75" customHeight="1" s="95">
      <c r="A318" s="97" t="inlineStr">
        <is>
          <t>anonymus0317</t>
        </is>
      </c>
      <c r="B318" s="97" t="inlineStr">
        <is>
          <t>P</t>
        </is>
      </c>
      <c r="C318" s="97" t="inlineStr">
        <is>
          <t>1-34 Bulan</t>
        </is>
      </c>
      <c r="D318" s="97" t="n">
        <v>4</v>
      </c>
      <c r="E318" s="97" t="n">
        <v>50</v>
      </c>
      <c r="F318" s="97" t="inlineStr">
        <is>
          <t>Sangat Kurang</t>
        </is>
      </c>
      <c r="G318" s="97" t="inlineStr">
        <is>
          <t>Sangat Pendek</t>
        </is>
      </c>
      <c r="H318" s="106" t="inlineStr">
        <is>
          <t>Risiko Gizi Lebih</t>
        </is>
      </c>
      <c r="I318" s="97" t="inlineStr">
        <is>
          <t>Ya</t>
        </is>
      </c>
      <c r="J318" s="97" t="inlineStr">
        <is>
          <t>Stunting</t>
        </is>
      </c>
      <c r="K318" s="107" t="n"/>
    </row>
    <row r="319" ht="15.75" customHeight="1" s="95">
      <c r="A319" s="97" t="inlineStr">
        <is>
          <t>anonymus0318</t>
        </is>
      </c>
      <c r="B319" s="97" t="inlineStr">
        <is>
          <t>L</t>
        </is>
      </c>
      <c r="C319" s="97" t="inlineStr">
        <is>
          <t>35-69 Bulan</t>
        </is>
      </c>
      <c r="D319" s="97" t="n">
        <v>10.7</v>
      </c>
      <c r="E319" s="97" t="n">
        <v>116</v>
      </c>
      <c r="F319" s="97" t="inlineStr">
        <is>
          <t>Normal</t>
        </is>
      </c>
      <c r="G319" s="97" t="inlineStr">
        <is>
          <t>Normal</t>
        </is>
      </c>
      <c r="H319" s="106" t="inlineStr">
        <is>
          <t>Gizi Baik</t>
        </is>
      </c>
      <c r="I319" s="97" t="inlineStr">
        <is>
          <t>Ya</t>
        </is>
      </c>
      <c r="J319" s="97" t="inlineStr">
        <is>
          <t>Tidak</t>
        </is>
      </c>
      <c r="K319" s="107" t="n"/>
    </row>
    <row r="320" ht="15.75" customHeight="1" s="95">
      <c r="A320" s="97" t="inlineStr">
        <is>
          <t>anonymus0319</t>
        </is>
      </c>
      <c r="B320" s="97" t="inlineStr">
        <is>
          <t>L</t>
        </is>
      </c>
      <c r="C320" s="97" t="inlineStr">
        <is>
          <t>35-69 Bulan</t>
        </is>
      </c>
      <c r="D320" s="97" t="inlineStr">
        <is>
          <t>14.1</t>
        </is>
      </c>
      <c r="E320" s="97" t="n">
        <v>90</v>
      </c>
      <c r="F320" s="97" t="inlineStr">
        <is>
          <t>Normal</t>
        </is>
      </c>
      <c r="G320" s="97" t="inlineStr">
        <is>
          <t>Normal</t>
        </is>
      </c>
      <c r="H320" s="106" t="inlineStr">
        <is>
          <t>Risiko Gizi Lebih</t>
        </is>
      </c>
      <c r="I320" s="97" t="inlineStr">
        <is>
          <t>Ya</t>
        </is>
      </c>
      <c r="J320" s="97" t="inlineStr">
        <is>
          <t>Tidak</t>
        </is>
      </c>
      <c r="K320" s="107" t="n"/>
    </row>
    <row r="321" ht="15.75" customHeight="1" s="95">
      <c r="A321" s="97" t="inlineStr">
        <is>
          <t>anonymus0320</t>
        </is>
      </c>
      <c r="B321" s="97" t="inlineStr">
        <is>
          <t>P</t>
        </is>
      </c>
      <c r="C321" s="97" t="inlineStr">
        <is>
          <t>1-34 Bulan</t>
        </is>
      </c>
      <c r="D321" s="97" t="inlineStr">
        <is>
          <t>9.3</t>
        </is>
      </c>
      <c r="E321" s="97" t="n">
        <v>72</v>
      </c>
      <c r="F321" s="97" t="inlineStr">
        <is>
          <t>Normal</t>
        </is>
      </c>
      <c r="G321" s="97" t="inlineStr">
        <is>
          <t>Normal</t>
        </is>
      </c>
      <c r="H321" s="106" t="inlineStr">
        <is>
          <t>Gizi Baik</t>
        </is>
      </c>
      <c r="I321" s="97" t="inlineStr">
        <is>
          <t>Ya</t>
        </is>
      </c>
      <c r="J321" s="97" t="inlineStr">
        <is>
          <t>Tidak</t>
        </is>
      </c>
      <c r="K321" s="107" t="n"/>
    </row>
    <row r="322" ht="15.75" customHeight="1" s="95">
      <c r="A322" s="97" t="inlineStr">
        <is>
          <t>anonymus0321</t>
        </is>
      </c>
      <c r="B322" s="97" t="inlineStr">
        <is>
          <t>L</t>
        </is>
      </c>
      <c r="C322" s="97" t="inlineStr">
        <is>
          <t>1-34 Bulan</t>
        </is>
      </c>
      <c r="D322" s="97" t="n">
        <v>8.300000000000001</v>
      </c>
      <c r="E322" s="97" t="n">
        <v>76.7</v>
      </c>
      <c r="F322" s="97" t="inlineStr">
        <is>
          <t>Normal</t>
        </is>
      </c>
      <c r="G322" s="97" t="inlineStr">
        <is>
          <t>Normal</t>
        </is>
      </c>
      <c r="H322" s="106" t="inlineStr">
        <is>
          <t>Gizi Kurang</t>
        </is>
      </c>
      <c r="I322" s="97" t="inlineStr">
        <is>
          <t>Ya</t>
        </is>
      </c>
      <c r="J322" s="97" t="inlineStr">
        <is>
          <t>Tidak</t>
        </is>
      </c>
      <c r="K322" s="107" t="n"/>
    </row>
    <row r="323" ht="15.75" customHeight="1" s="95">
      <c r="A323" s="97" t="inlineStr">
        <is>
          <t>anonymus0322</t>
        </is>
      </c>
      <c r="B323" s="97" t="inlineStr">
        <is>
          <t>P</t>
        </is>
      </c>
      <c r="C323" s="97" t="inlineStr">
        <is>
          <t>1-34 Bulan</t>
        </is>
      </c>
      <c r="D323" s="97" t="n">
        <v>7</v>
      </c>
      <c r="E323" s="97" t="n">
        <v>85</v>
      </c>
      <c r="F323" s="97" t="inlineStr">
        <is>
          <t>Kurang</t>
        </is>
      </c>
      <c r="G323" s="97" t="inlineStr">
        <is>
          <t>Normal</t>
        </is>
      </c>
      <c r="H323" s="106" t="inlineStr">
        <is>
          <t>Gizi Kurang</t>
        </is>
      </c>
      <c r="I323" s="97" t="inlineStr">
        <is>
          <t>Ya</t>
        </is>
      </c>
      <c r="J323" s="97" t="inlineStr">
        <is>
          <t>Tidak</t>
        </is>
      </c>
      <c r="K323" s="107" t="n"/>
    </row>
    <row r="324" ht="15.75" customHeight="1" s="95">
      <c r="A324" s="97" t="inlineStr">
        <is>
          <t>anonymus0323</t>
        </is>
      </c>
      <c r="B324" s="97" t="inlineStr">
        <is>
          <t>P</t>
        </is>
      </c>
      <c r="C324" s="97" t="inlineStr">
        <is>
          <t>1-34 Bulan</t>
        </is>
      </c>
      <c r="D324" s="97" t="n">
        <v>8.6</v>
      </c>
      <c r="E324" s="97" t="n">
        <v>81</v>
      </c>
      <c r="F324" s="97" t="inlineStr">
        <is>
          <t>Normal</t>
        </is>
      </c>
      <c r="G324" s="97" t="inlineStr">
        <is>
          <t>Normal</t>
        </is>
      </c>
      <c r="H324" s="106" t="inlineStr">
        <is>
          <t>Gizi Kurang</t>
        </is>
      </c>
      <c r="I324" s="97" t="inlineStr">
        <is>
          <t>Ya</t>
        </is>
      </c>
      <c r="J324" s="97" t="inlineStr">
        <is>
          <t>Tidak</t>
        </is>
      </c>
      <c r="K324" s="107" t="n"/>
    </row>
    <row r="325" ht="15.75" customHeight="1" s="95">
      <c r="A325" s="97" t="inlineStr">
        <is>
          <t>anonymus0324</t>
        </is>
      </c>
      <c r="B325" s="97" t="inlineStr">
        <is>
          <t>L</t>
        </is>
      </c>
      <c r="C325" s="97" t="inlineStr">
        <is>
          <t>1-34 Bulan</t>
        </is>
      </c>
      <c r="D325" s="97" t="inlineStr">
        <is>
          <t>10.6</t>
        </is>
      </c>
      <c r="E325" s="97" t="n">
        <v>82</v>
      </c>
      <c r="F325" s="97" t="inlineStr">
        <is>
          <t>Normal</t>
        </is>
      </c>
      <c r="G325" s="97" t="inlineStr">
        <is>
          <t>Normal</t>
        </is>
      </c>
      <c r="H325" s="106" t="inlineStr">
        <is>
          <t>Gizi Baik</t>
        </is>
      </c>
      <c r="I325" s="97" t="inlineStr">
        <is>
          <t>Ya</t>
        </is>
      </c>
      <c r="J325" s="97" t="inlineStr">
        <is>
          <t>Tidak</t>
        </is>
      </c>
      <c r="K325" s="107" t="n"/>
    </row>
    <row r="326" ht="15.75" customHeight="1" s="95">
      <c r="A326" s="97" t="inlineStr">
        <is>
          <t>anonymus0325</t>
        </is>
      </c>
      <c r="B326" s="97" t="inlineStr">
        <is>
          <t>L</t>
        </is>
      </c>
      <c r="C326" s="97" t="inlineStr">
        <is>
          <t>1-34 Bulan</t>
        </is>
      </c>
      <c r="D326" s="97" t="n">
        <v>9.5</v>
      </c>
      <c r="E326" s="97" t="n">
        <v>81</v>
      </c>
      <c r="F326" s="97" t="inlineStr">
        <is>
          <t>Normal</t>
        </is>
      </c>
      <c r="G326" s="97" t="inlineStr">
        <is>
          <t>Normal</t>
        </is>
      </c>
      <c r="H326" s="106" t="inlineStr">
        <is>
          <t>Gizi Baik</t>
        </is>
      </c>
      <c r="I326" s="97" t="inlineStr">
        <is>
          <t>Ya</t>
        </is>
      </c>
      <c r="J326" s="97" t="inlineStr">
        <is>
          <t>Tidak</t>
        </is>
      </c>
      <c r="K326" s="107" t="n"/>
    </row>
    <row r="327" ht="15.75" customHeight="1" s="95">
      <c r="A327" s="97" t="inlineStr">
        <is>
          <t>anonymus0326</t>
        </is>
      </c>
      <c r="B327" s="97" t="inlineStr">
        <is>
          <t>L</t>
        </is>
      </c>
      <c r="C327" s="97" t="inlineStr">
        <is>
          <t>35-69 Bulan</t>
        </is>
      </c>
      <c r="D327" s="97" t="inlineStr">
        <is>
          <t>12.9</t>
        </is>
      </c>
      <c r="E327" s="97" t="n">
        <v>96</v>
      </c>
      <c r="F327" s="97" t="inlineStr">
        <is>
          <t>Normal</t>
        </is>
      </c>
      <c r="G327" s="97" t="inlineStr">
        <is>
          <t>Normal</t>
        </is>
      </c>
      <c r="H327" s="106" t="inlineStr">
        <is>
          <t>Gizi Baik</t>
        </is>
      </c>
      <c r="I327" s="97" t="inlineStr">
        <is>
          <t>Ya</t>
        </is>
      </c>
      <c r="J327" s="97" t="inlineStr">
        <is>
          <t>Tidak</t>
        </is>
      </c>
      <c r="K327" s="107" t="n"/>
    </row>
    <row r="328" ht="15.75" customHeight="1" s="95">
      <c r="A328" s="97" t="inlineStr">
        <is>
          <t>anonymus0327</t>
        </is>
      </c>
      <c r="B328" s="97" t="inlineStr">
        <is>
          <t>P</t>
        </is>
      </c>
      <c r="C328" s="97" t="inlineStr">
        <is>
          <t>35-69 Bulan</t>
        </is>
      </c>
      <c r="D328" s="97" t="n">
        <v>11.5</v>
      </c>
      <c r="E328" s="97" t="n">
        <v>80</v>
      </c>
      <c r="F328" s="97" t="inlineStr">
        <is>
          <t>Normal</t>
        </is>
      </c>
      <c r="G328" s="97" t="inlineStr">
        <is>
          <t>Pendek</t>
        </is>
      </c>
      <c r="H328" s="106" t="inlineStr">
        <is>
          <t>Risiko Gizi Lebih</t>
        </is>
      </c>
      <c r="I328" s="97" t="inlineStr">
        <is>
          <t>Ya</t>
        </is>
      </c>
      <c r="J328" s="97" t="inlineStr">
        <is>
          <t>Potensi Stunting</t>
        </is>
      </c>
      <c r="K328" s="107" t="n"/>
    </row>
    <row r="329" ht="15.75" customHeight="1" s="95">
      <c r="A329" s="97" t="inlineStr">
        <is>
          <t>anonymus0328</t>
        </is>
      </c>
      <c r="B329" s="97" t="inlineStr">
        <is>
          <t>L</t>
        </is>
      </c>
      <c r="C329" s="97" t="inlineStr">
        <is>
          <t>1-34 Bulan</t>
        </is>
      </c>
      <c r="D329" s="97" t="n">
        <v>10</v>
      </c>
      <c r="E329" s="97" t="n">
        <v>85.7</v>
      </c>
      <c r="F329" s="97" t="inlineStr">
        <is>
          <t>Kurang</t>
        </is>
      </c>
      <c r="G329" s="97" t="inlineStr">
        <is>
          <t>Normal</t>
        </is>
      </c>
      <c r="H329" s="106" t="inlineStr">
        <is>
          <t>Gizi Kurang</t>
        </is>
      </c>
      <c r="I329" s="97" t="inlineStr">
        <is>
          <t>Ya</t>
        </is>
      </c>
      <c r="J329" s="97" t="inlineStr">
        <is>
          <t>Tidak</t>
        </is>
      </c>
      <c r="K329" s="107" t="n"/>
    </row>
    <row r="330" ht="15.75" customHeight="1" s="95">
      <c r="A330" s="97" t="inlineStr">
        <is>
          <t>anonymus0329</t>
        </is>
      </c>
      <c r="B330" s="97" t="inlineStr">
        <is>
          <t>L</t>
        </is>
      </c>
      <c r="C330" s="97" t="inlineStr">
        <is>
          <t>1-34 Bulan</t>
        </is>
      </c>
      <c r="D330" s="97" t="n">
        <v>3</v>
      </c>
      <c r="E330" s="97" t="n">
        <v>49</v>
      </c>
      <c r="F330" s="97" t="inlineStr">
        <is>
          <t>Kurang</t>
        </is>
      </c>
      <c r="G330" s="97" t="inlineStr">
        <is>
          <t>Pendek</t>
        </is>
      </c>
      <c r="H330" s="106" t="inlineStr">
        <is>
          <t>Gizi Baik</t>
        </is>
      </c>
      <c r="I330" s="97" t="inlineStr">
        <is>
          <t>Ya</t>
        </is>
      </c>
      <c r="J330" s="97" t="inlineStr">
        <is>
          <t>Potensi Stunting</t>
        </is>
      </c>
      <c r="K330" s="107" t="n"/>
    </row>
    <row r="331" ht="15.75" customHeight="1" s="95">
      <c r="A331" s="97" t="inlineStr">
        <is>
          <t>anonymus0330</t>
        </is>
      </c>
      <c r="B331" s="97" t="inlineStr">
        <is>
          <t>L</t>
        </is>
      </c>
      <c r="C331" s="97" t="inlineStr">
        <is>
          <t>1-34 Bulan</t>
        </is>
      </c>
      <c r="D331" s="97" t="n">
        <v>9.800000000000001</v>
      </c>
      <c r="E331" s="97" t="n">
        <v>76</v>
      </c>
      <c r="F331" s="97" t="inlineStr">
        <is>
          <t>Normal</t>
        </is>
      </c>
      <c r="G331" s="97" t="inlineStr">
        <is>
          <t>Sangat Pendek</t>
        </is>
      </c>
      <c r="H331" s="106" t="inlineStr">
        <is>
          <t>Gizi Baik</t>
        </is>
      </c>
      <c r="I331" s="97" t="inlineStr">
        <is>
          <t>Ya</t>
        </is>
      </c>
      <c r="J331" s="97" t="inlineStr">
        <is>
          <t>Stunting</t>
        </is>
      </c>
      <c r="K331" s="107" t="n"/>
    </row>
    <row r="332" ht="15.75" customHeight="1" s="95">
      <c r="A332" s="97" t="inlineStr">
        <is>
          <t>anonymus0331</t>
        </is>
      </c>
      <c r="B332" s="97" t="inlineStr">
        <is>
          <t>L</t>
        </is>
      </c>
      <c r="C332" s="97" t="inlineStr">
        <is>
          <t>1-34 Bulan</t>
        </is>
      </c>
      <c r="D332" s="97" t="n">
        <v>8.15</v>
      </c>
      <c r="E332" s="97" t="n">
        <v>75</v>
      </c>
      <c r="F332" s="97" t="inlineStr">
        <is>
          <t>Kurang</t>
        </is>
      </c>
      <c r="G332" s="97" t="inlineStr">
        <is>
          <t>Sangat Pendek</t>
        </is>
      </c>
      <c r="H332" s="106" t="inlineStr">
        <is>
          <t>Gizi Baik</t>
        </is>
      </c>
      <c r="I332" s="97" t="inlineStr">
        <is>
          <t>Ya</t>
        </is>
      </c>
      <c r="J332" s="97" t="inlineStr">
        <is>
          <t>Stunting</t>
        </is>
      </c>
      <c r="K332" s="107" t="n"/>
    </row>
    <row r="333" ht="15.75" customHeight="1" s="95">
      <c r="A333" s="97" t="inlineStr">
        <is>
          <t>anonymus0332</t>
        </is>
      </c>
      <c r="B333" s="97" t="inlineStr">
        <is>
          <t>P</t>
        </is>
      </c>
      <c r="C333" s="97" t="inlineStr">
        <is>
          <t>35-69 Bulan</t>
        </is>
      </c>
      <c r="D333" s="97" t="n">
        <v>15</v>
      </c>
      <c r="E333" s="97" t="n">
        <v>105</v>
      </c>
      <c r="F333" s="97" t="inlineStr">
        <is>
          <t>Normal</t>
        </is>
      </c>
      <c r="G333" s="97" t="inlineStr">
        <is>
          <t>Normal</t>
        </is>
      </c>
      <c r="H333" s="106" t="inlineStr">
        <is>
          <t>Gizi Baik</t>
        </is>
      </c>
      <c r="I333" s="97" t="inlineStr">
        <is>
          <t>Ya</t>
        </is>
      </c>
      <c r="J333" s="97" t="inlineStr">
        <is>
          <t>Tidak</t>
        </is>
      </c>
      <c r="K333" s="107" t="n"/>
    </row>
    <row r="334" ht="15.75" customHeight="1" s="95">
      <c r="A334" s="97" t="inlineStr">
        <is>
          <t>anonymus0333</t>
        </is>
      </c>
      <c r="B334" s="97" t="inlineStr">
        <is>
          <t>P</t>
        </is>
      </c>
      <c r="C334" s="97" t="inlineStr">
        <is>
          <t>35-69 Bulan</t>
        </is>
      </c>
      <c r="D334" s="97" t="n">
        <v>17.9</v>
      </c>
      <c r="E334" s="97" t="n">
        <v>94</v>
      </c>
      <c r="F334" s="97" t="inlineStr">
        <is>
          <t>Risiko Lebih</t>
        </is>
      </c>
      <c r="G334" s="97" t="inlineStr">
        <is>
          <t>Normal</t>
        </is>
      </c>
      <c r="H334" s="106" t="inlineStr">
        <is>
          <t>Gizi Lebih</t>
        </is>
      </c>
      <c r="I334" s="97" t="inlineStr">
        <is>
          <t>Ya</t>
        </is>
      </c>
      <c r="J334" s="97" t="inlineStr">
        <is>
          <t>Tidak</t>
        </is>
      </c>
      <c r="K334" s="107" t="n"/>
    </row>
    <row r="335" ht="15.75" customHeight="1" s="95">
      <c r="A335" s="97" t="inlineStr">
        <is>
          <t>anonymus0334</t>
        </is>
      </c>
      <c r="B335" s="97" t="inlineStr">
        <is>
          <t>P</t>
        </is>
      </c>
      <c r="C335" s="97" t="inlineStr">
        <is>
          <t>35-69 Bulan</t>
        </is>
      </c>
      <c r="D335" s="97" t="inlineStr">
        <is>
          <t>16.8</t>
        </is>
      </c>
      <c r="E335" s="97" t="n">
        <v>99</v>
      </c>
      <c r="F335" s="97" t="inlineStr">
        <is>
          <t>Normal</t>
        </is>
      </c>
      <c r="G335" s="97" t="inlineStr">
        <is>
          <t>Pendek</t>
        </is>
      </c>
      <c r="H335" s="106" t="inlineStr">
        <is>
          <t>Risiko Gizi Lebih</t>
        </is>
      </c>
      <c r="I335" s="97" t="inlineStr">
        <is>
          <t>Ya</t>
        </is>
      </c>
      <c r="J335" s="97" t="inlineStr">
        <is>
          <t>Potensi Stunting</t>
        </is>
      </c>
      <c r="K335" s="107" t="n"/>
    </row>
    <row r="336" ht="15.75" customHeight="1" s="95">
      <c r="A336" s="97" t="inlineStr">
        <is>
          <t>anonymus0335</t>
        </is>
      </c>
      <c r="B336" s="97" t="inlineStr">
        <is>
          <t>P</t>
        </is>
      </c>
      <c r="C336" s="97" t="inlineStr">
        <is>
          <t>1-34 Bulan</t>
        </is>
      </c>
      <c r="D336" s="97" t="n">
        <v>11</v>
      </c>
      <c r="E336" s="97" t="n">
        <v>74</v>
      </c>
      <c r="F336" s="97" t="inlineStr">
        <is>
          <t>Normal</t>
        </is>
      </c>
      <c r="G336" s="97" t="inlineStr">
        <is>
          <t>Normal</t>
        </is>
      </c>
      <c r="H336" s="106" t="inlineStr">
        <is>
          <t>Gizi Baik</t>
        </is>
      </c>
      <c r="I336" s="97" t="inlineStr">
        <is>
          <t>Ya</t>
        </is>
      </c>
      <c r="J336" s="97" t="inlineStr">
        <is>
          <t>Tidak</t>
        </is>
      </c>
      <c r="K336" s="107" t="n"/>
    </row>
    <row r="337" ht="15.75" customHeight="1" s="95">
      <c r="A337" s="97" t="inlineStr">
        <is>
          <t>anonymus0336</t>
        </is>
      </c>
      <c r="B337" s="97" t="inlineStr">
        <is>
          <t>L</t>
        </is>
      </c>
      <c r="C337" s="97" t="inlineStr">
        <is>
          <t>1-34 Bulan</t>
        </is>
      </c>
      <c r="D337" s="97" t="n">
        <v>8.5</v>
      </c>
      <c r="E337" s="97" t="n">
        <v>79</v>
      </c>
      <c r="F337" s="97" t="inlineStr">
        <is>
          <t>Kurang</t>
        </is>
      </c>
      <c r="G337" s="97" t="inlineStr">
        <is>
          <t>Normal</t>
        </is>
      </c>
      <c r="H337" s="106" t="inlineStr">
        <is>
          <t>Gizi Kurang</t>
        </is>
      </c>
      <c r="I337" s="97" t="inlineStr">
        <is>
          <t>Ya</t>
        </is>
      </c>
      <c r="J337" s="97" t="inlineStr">
        <is>
          <t>Tidak</t>
        </is>
      </c>
      <c r="K337" s="107" t="n"/>
    </row>
    <row r="338" ht="15.75" customHeight="1" s="95">
      <c r="A338" s="97" t="inlineStr">
        <is>
          <t>anonymus0337</t>
        </is>
      </c>
      <c r="B338" s="97" t="inlineStr">
        <is>
          <t>L</t>
        </is>
      </c>
      <c r="C338" s="97" t="inlineStr">
        <is>
          <t>1-34 Bulan</t>
        </is>
      </c>
      <c r="D338" s="97" t="inlineStr">
        <is>
          <t>8.8</t>
        </is>
      </c>
      <c r="E338" s="97" t="n">
        <v>84</v>
      </c>
      <c r="F338" s="97" t="inlineStr">
        <is>
          <t>Sangat Kurang</t>
        </is>
      </c>
      <c r="G338" s="97" t="inlineStr">
        <is>
          <t>Normal</t>
        </is>
      </c>
      <c r="H338" s="106" t="inlineStr">
        <is>
          <t>Gizi Buruk</t>
        </is>
      </c>
      <c r="I338" s="97" t="inlineStr">
        <is>
          <t>Ya</t>
        </is>
      </c>
      <c r="J338" s="97" t="inlineStr">
        <is>
          <t>Tidak</t>
        </is>
      </c>
      <c r="K338" s="107" t="n"/>
    </row>
    <row r="339" ht="15.75" customHeight="1" s="95">
      <c r="A339" s="97" t="inlineStr">
        <is>
          <t>anonymus0338</t>
        </is>
      </c>
      <c r="B339" s="97" t="inlineStr">
        <is>
          <t>L</t>
        </is>
      </c>
      <c r="C339" s="97" t="inlineStr">
        <is>
          <t>1-34 Bulan</t>
        </is>
      </c>
      <c r="D339" s="97" t="inlineStr">
        <is>
          <t>6.8</t>
        </is>
      </c>
      <c r="E339" s="97" t="n">
        <v>65</v>
      </c>
      <c r="F339" s="97" t="inlineStr">
        <is>
          <t>Normal</t>
        </is>
      </c>
      <c r="G339" s="97" t="inlineStr">
        <is>
          <t>Normal</t>
        </is>
      </c>
      <c r="H339" s="106" t="inlineStr">
        <is>
          <t>Gizi Baik</t>
        </is>
      </c>
      <c r="I339" s="97" t="inlineStr">
        <is>
          <t>Ya</t>
        </is>
      </c>
      <c r="J339" s="97" t="inlineStr">
        <is>
          <t>Tidak</t>
        </is>
      </c>
      <c r="K339" s="107" t="n"/>
    </row>
    <row r="340" ht="15.75" customHeight="1" s="95">
      <c r="A340" s="97" t="inlineStr">
        <is>
          <t>anonymus0339</t>
        </is>
      </c>
      <c r="B340" s="97" t="inlineStr">
        <is>
          <t>P</t>
        </is>
      </c>
      <c r="C340" s="97" t="inlineStr">
        <is>
          <t>35-69 Bulan</t>
        </is>
      </c>
      <c r="D340" s="97" t="n">
        <v>11.1</v>
      </c>
      <c r="E340" s="97" t="n">
        <v>96</v>
      </c>
      <c r="F340" s="97" t="inlineStr">
        <is>
          <t>Kurang</t>
        </is>
      </c>
      <c r="G340" s="97" t="inlineStr">
        <is>
          <t>Normal</t>
        </is>
      </c>
      <c r="H340" s="106" t="inlineStr">
        <is>
          <t>Gizi Kurang</t>
        </is>
      </c>
      <c r="I340" s="97" t="inlineStr">
        <is>
          <t>Ya</t>
        </is>
      </c>
      <c r="J340" s="97" t="inlineStr">
        <is>
          <t>Tidak</t>
        </is>
      </c>
      <c r="K340" s="107" t="n"/>
    </row>
    <row r="341" ht="15.75" customHeight="1" s="95">
      <c r="A341" s="97" t="inlineStr">
        <is>
          <t>anonymus0340</t>
        </is>
      </c>
      <c r="B341" s="97" t="inlineStr">
        <is>
          <t>P</t>
        </is>
      </c>
      <c r="C341" s="97" t="inlineStr">
        <is>
          <t>35-69 Bulan</t>
        </is>
      </c>
      <c r="D341" s="97" t="n">
        <v>16.2</v>
      </c>
      <c r="E341" s="97" t="n">
        <v>94</v>
      </c>
      <c r="F341" s="97" t="inlineStr">
        <is>
          <t>Normal</t>
        </is>
      </c>
      <c r="G341" s="97" t="inlineStr">
        <is>
          <t>Normal</t>
        </is>
      </c>
      <c r="H341" s="106" t="inlineStr">
        <is>
          <t>Gizi Baik</t>
        </is>
      </c>
      <c r="I341" s="97" t="inlineStr">
        <is>
          <t>Ya</t>
        </is>
      </c>
      <c r="J341" s="97" t="inlineStr">
        <is>
          <t>Tidak</t>
        </is>
      </c>
      <c r="K341" s="107" t="n"/>
    </row>
    <row r="342" ht="15.75" customHeight="1" s="95">
      <c r="A342" s="97" t="inlineStr">
        <is>
          <t>anonymus0341</t>
        </is>
      </c>
      <c r="B342" s="97" t="inlineStr">
        <is>
          <t>P</t>
        </is>
      </c>
      <c r="C342" s="97" t="inlineStr">
        <is>
          <t>35-69 Bulan</t>
        </is>
      </c>
      <c r="D342" s="97" t="n">
        <v>12.7</v>
      </c>
      <c r="E342" s="97" t="n">
        <v>101</v>
      </c>
      <c r="F342" s="97" t="inlineStr">
        <is>
          <t>Normal</t>
        </is>
      </c>
      <c r="G342" s="97" t="inlineStr">
        <is>
          <t>Normal</t>
        </is>
      </c>
      <c r="H342" s="106" t="inlineStr">
        <is>
          <t>Gizi Kurang</t>
        </is>
      </c>
      <c r="I342" s="97" t="inlineStr">
        <is>
          <t>Ya</t>
        </is>
      </c>
      <c r="J342" s="97" t="inlineStr">
        <is>
          <t>Tidak</t>
        </is>
      </c>
      <c r="K342" s="107" t="n"/>
    </row>
    <row r="343" ht="15.75" customHeight="1" s="95">
      <c r="A343" s="97" t="inlineStr">
        <is>
          <t>anonymus0342</t>
        </is>
      </c>
      <c r="B343" s="97" t="inlineStr">
        <is>
          <t>P</t>
        </is>
      </c>
      <c r="C343" s="97" t="inlineStr">
        <is>
          <t>35-69 Bulan</t>
        </is>
      </c>
      <c r="D343" s="97" t="n">
        <v>13.1</v>
      </c>
      <c r="E343" s="97" t="n">
        <v>104</v>
      </c>
      <c r="F343" s="97" t="inlineStr">
        <is>
          <t>Normal</t>
        </is>
      </c>
      <c r="G343" s="97" t="inlineStr">
        <is>
          <t>Normal</t>
        </is>
      </c>
      <c r="H343" s="106" t="inlineStr">
        <is>
          <t>Gizi Kurang</t>
        </is>
      </c>
      <c r="I343" s="97" t="inlineStr">
        <is>
          <t>Ya</t>
        </is>
      </c>
      <c r="J343" s="97" t="inlineStr">
        <is>
          <t>Tidak</t>
        </is>
      </c>
      <c r="K343" s="107" t="n"/>
    </row>
    <row r="344" ht="15.75" customHeight="1" s="95">
      <c r="A344" s="97" t="inlineStr">
        <is>
          <t>anonymus0343</t>
        </is>
      </c>
      <c r="B344" s="97" t="inlineStr">
        <is>
          <t>P</t>
        </is>
      </c>
      <c r="C344" s="97" t="inlineStr">
        <is>
          <t>1-34 Bulan</t>
        </is>
      </c>
      <c r="D344" s="97" t="n">
        <v>6.7</v>
      </c>
      <c r="E344" s="97" t="n">
        <v>62</v>
      </c>
      <c r="F344" s="97" t="inlineStr">
        <is>
          <t>Kurang</t>
        </is>
      </c>
      <c r="G344" s="97" t="inlineStr">
        <is>
          <t>Sangat Pendek</t>
        </is>
      </c>
      <c r="H344" s="106" t="inlineStr">
        <is>
          <t>Gizi Baik</t>
        </is>
      </c>
      <c r="I344" s="97" t="inlineStr">
        <is>
          <t>Ya</t>
        </is>
      </c>
      <c r="J344" s="97" t="inlineStr">
        <is>
          <t>Stunting</t>
        </is>
      </c>
      <c r="K344" s="107" t="n"/>
    </row>
    <row r="345" ht="15.75" customHeight="1" s="95">
      <c r="A345" s="97" t="inlineStr">
        <is>
          <t>anonymus0344</t>
        </is>
      </c>
      <c r="B345" s="97" t="inlineStr">
        <is>
          <t>L</t>
        </is>
      </c>
      <c r="C345" s="97" t="inlineStr">
        <is>
          <t>35-69 Bulan</t>
        </is>
      </c>
      <c r="D345" s="97" t="n">
        <v>12.8</v>
      </c>
      <c r="E345" s="97" t="n">
        <v>99.5</v>
      </c>
      <c r="F345" s="97" t="inlineStr">
        <is>
          <t>Kurang</t>
        </is>
      </c>
      <c r="G345" s="97" t="inlineStr">
        <is>
          <t>Normal</t>
        </is>
      </c>
      <c r="H345" s="106" t="inlineStr">
        <is>
          <t>Gizi Kurang</t>
        </is>
      </c>
      <c r="I345" s="97" t="inlineStr">
        <is>
          <t>Ya</t>
        </is>
      </c>
      <c r="J345" s="97" t="inlineStr">
        <is>
          <t>Tidak</t>
        </is>
      </c>
      <c r="K345" s="107" t="n"/>
    </row>
    <row r="346" ht="15.75" customHeight="1" s="95">
      <c r="A346" s="97" t="inlineStr">
        <is>
          <t>anonymus0345</t>
        </is>
      </c>
      <c r="B346" s="97" t="inlineStr">
        <is>
          <t>P</t>
        </is>
      </c>
      <c r="C346" s="97" t="inlineStr">
        <is>
          <t>35-69 Bulan</t>
        </is>
      </c>
      <c r="D346" s="97" t="inlineStr">
        <is>
          <t>9.8</t>
        </is>
      </c>
      <c r="E346" s="97" t="n">
        <v>85</v>
      </c>
      <c r="F346" s="97" t="inlineStr">
        <is>
          <t>Normal</t>
        </is>
      </c>
      <c r="G346" s="97" t="inlineStr">
        <is>
          <t>Normal</t>
        </is>
      </c>
      <c r="H346" s="106" t="inlineStr">
        <is>
          <t>Gizi Baik</t>
        </is>
      </c>
      <c r="I346" s="97" t="inlineStr">
        <is>
          <t>Ya</t>
        </is>
      </c>
      <c r="J346" s="97" t="inlineStr">
        <is>
          <t>Tidak</t>
        </is>
      </c>
      <c r="K346" s="107" t="n"/>
    </row>
    <row r="347" ht="15.75" customHeight="1" s="95">
      <c r="A347" s="97" t="inlineStr">
        <is>
          <t>anonymus0346</t>
        </is>
      </c>
      <c r="B347" s="97" t="inlineStr">
        <is>
          <t>L</t>
        </is>
      </c>
      <c r="C347" s="97" t="inlineStr">
        <is>
          <t>35-69 Bulan</t>
        </is>
      </c>
      <c r="D347" s="97" t="n">
        <v>12.5</v>
      </c>
      <c r="E347" s="97" t="n">
        <v>97.7</v>
      </c>
      <c r="F347" s="97" t="inlineStr">
        <is>
          <t>Kurang</t>
        </is>
      </c>
      <c r="G347" s="97" t="inlineStr">
        <is>
          <t>Pendek</t>
        </is>
      </c>
      <c r="H347" s="106" t="inlineStr">
        <is>
          <t>Gizi Kurang</t>
        </is>
      </c>
      <c r="I347" s="97" t="inlineStr">
        <is>
          <t>Ya</t>
        </is>
      </c>
      <c r="J347" s="97" t="inlineStr">
        <is>
          <t>Potensi Stunting</t>
        </is>
      </c>
      <c r="K347" s="107" t="n"/>
    </row>
    <row r="348" ht="15.75" customHeight="1" s="95">
      <c r="A348" s="97" t="inlineStr">
        <is>
          <t>anonymus0347</t>
        </is>
      </c>
      <c r="B348" s="97" t="inlineStr">
        <is>
          <t>L</t>
        </is>
      </c>
      <c r="C348" s="97" t="inlineStr">
        <is>
          <t>35-69 Bulan</t>
        </is>
      </c>
      <c r="D348" s="97" t="n">
        <v>14.5</v>
      </c>
      <c r="E348" s="97" t="n">
        <v>105</v>
      </c>
      <c r="F348" s="97" t="inlineStr">
        <is>
          <t>Normal</t>
        </is>
      </c>
      <c r="G348" s="97" t="inlineStr">
        <is>
          <t>Normal</t>
        </is>
      </c>
      <c r="H348" s="106" t="inlineStr">
        <is>
          <t>Gizi Baik</t>
        </is>
      </c>
      <c r="I348" s="97" t="inlineStr">
        <is>
          <t>Ya</t>
        </is>
      </c>
      <c r="J348" s="97" t="inlineStr">
        <is>
          <t>Tidak</t>
        </is>
      </c>
      <c r="K348" s="107" t="n"/>
    </row>
    <row r="349" ht="15.75" customHeight="1" s="95">
      <c r="A349" s="97" t="inlineStr">
        <is>
          <t>anonymus0348</t>
        </is>
      </c>
      <c r="B349" s="97" t="inlineStr">
        <is>
          <t>P</t>
        </is>
      </c>
      <c r="C349" s="97" t="inlineStr">
        <is>
          <t>1-34 Bulan</t>
        </is>
      </c>
      <c r="D349" s="97" t="inlineStr">
        <is>
          <t>7.1</t>
        </is>
      </c>
      <c r="E349" s="97" t="n">
        <v>68</v>
      </c>
      <c r="F349" s="97" t="inlineStr">
        <is>
          <t>Normal</t>
        </is>
      </c>
      <c r="G349" s="97" t="inlineStr">
        <is>
          <t>Normal</t>
        </is>
      </c>
      <c r="H349" s="106" t="inlineStr">
        <is>
          <t>Gizi Baik</t>
        </is>
      </c>
      <c r="I349" s="97" t="inlineStr">
        <is>
          <t>Ya</t>
        </is>
      </c>
      <c r="J349" s="97" t="inlineStr">
        <is>
          <t>Tidak</t>
        </is>
      </c>
      <c r="K349" s="107" t="n"/>
    </row>
    <row r="350" ht="15.75" customHeight="1" s="95">
      <c r="A350" s="97" t="inlineStr">
        <is>
          <t>anonymus0349</t>
        </is>
      </c>
      <c r="B350" s="97" t="inlineStr">
        <is>
          <t>L</t>
        </is>
      </c>
      <c r="C350" s="97" t="inlineStr">
        <is>
          <t>35-69 Bulan</t>
        </is>
      </c>
      <c r="D350" s="97" t="n">
        <v>10.4</v>
      </c>
      <c r="E350" s="97" t="n">
        <v>82.3</v>
      </c>
      <c r="F350" s="97" t="inlineStr">
        <is>
          <t>Kurang</t>
        </is>
      </c>
      <c r="G350" s="97" t="inlineStr">
        <is>
          <t>Sangat Pendek</t>
        </is>
      </c>
      <c r="H350" s="106" t="inlineStr">
        <is>
          <t>Gizi Baik</t>
        </is>
      </c>
      <c r="I350" s="97" t="inlineStr">
        <is>
          <t>Ya</t>
        </is>
      </c>
      <c r="J350" s="97" t="inlineStr">
        <is>
          <t>Stunting</t>
        </is>
      </c>
      <c r="K350" s="107" t="n"/>
    </row>
    <row r="351" ht="15.75" customHeight="1" s="95">
      <c r="A351" s="97" t="inlineStr">
        <is>
          <t>anonymus0350</t>
        </is>
      </c>
      <c r="B351" s="97" t="inlineStr">
        <is>
          <t>L</t>
        </is>
      </c>
      <c r="C351" s="97" t="inlineStr">
        <is>
          <t>35-69 Bulan</t>
        </is>
      </c>
      <c r="D351" s="97" t="inlineStr">
        <is>
          <t>13.6</t>
        </is>
      </c>
      <c r="E351" s="97" t="n">
        <v>98</v>
      </c>
      <c r="F351" s="97" t="inlineStr">
        <is>
          <t>Normal</t>
        </is>
      </c>
      <c r="G351" s="97" t="inlineStr">
        <is>
          <t>Normal</t>
        </is>
      </c>
      <c r="H351" s="106" t="inlineStr">
        <is>
          <t>Gizi Baik</t>
        </is>
      </c>
      <c r="I351" s="97" t="inlineStr">
        <is>
          <t>Ya</t>
        </is>
      </c>
      <c r="J351" s="97" t="inlineStr">
        <is>
          <t>Tidak</t>
        </is>
      </c>
      <c r="K351" s="107" t="n"/>
    </row>
    <row r="352" ht="15.75" customHeight="1" s="95">
      <c r="A352" s="97" t="inlineStr">
        <is>
          <t>anonymus0351</t>
        </is>
      </c>
      <c r="B352" s="97" t="inlineStr">
        <is>
          <t>L</t>
        </is>
      </c>
      <c r="C352" s="97" t="inlineStr">
        <is>
          <t>1-34 Bulan</t>
        </is>
      </c>
      <c r="D352" s="97" t="inlineStr">
        <is>
          <t>14.2</t>
        </is>
      </c>
      <c r="E352" s="97" t="n">
        <v>94</v>
      </c>
      <c r="F352" s="97" t="inlineStr">
        <is>
          <t>Normal</t>
        </is>
      </c>
      <c r="G352" s="97" t="inlineStr">
        <is>
          <t>Normal</t>
        </is>
      </c>
      <c r="H352" s="106" t="inlineStr">
        <is>
          <t>Gizi Baik</t>
        </is>
      </c>
      <c r="I352" s="97" t="inlineStr">
        <is>
          <t>Ya</t>
        </is>
      </c>
      <c r="J352" s="97" t="inlineStr">
        <is>
          <t>Tidak</t>
        </is>
      </c>
      <c r="K352" s="107" t="n"/>
    </row>
    <row r="353" ht="15.75" customHeight="1" s="95">
      <c r="A353" s="97" t="inlineStr">
        <is>
          <t>anonymus0352</t>
        </is>
      </c>
      <c r="B353" s="97" t="inlineStr">
        <is>
          <t>L</t>
        </is>
      </c>
      <c r="C353" s="97" t="inlineStr">
        <is>
          <t>35-69 Bulan</t>
        </is>
      </c>
      <c r="D353" s="97" t="n">
        <v>9.800000000000001</v>
      </c>
      <c r="E353" s="97" t="n">
        <v>83</v>
      </c>
      <c r="F353" s="97" t="inlineStr">
        <is>
          <t>Kurang</t>
        </is>
      </c>
      <c r="G353" s="97" t="inlineStr">
        <is>
          <t>Pendek</t>
        </is>
      </c>
      <c r="H353" s="106" t="inlineStr">
        <is>
          <t>Gizi Baik</t>
        </is>
      </c>
      <c r="I353" s="97" t="inlineStr">
        <is>
          <t>Ya</t>
        </is>
      </c>
      <c r="J353" s="97" t="inlineStr">
        <is>
          <t>Potensi Stunting</t>
        </is>
      </c>
      <c r="K353" s="107" t="n"/>
    </row>
    <row r="354" ht="15.75" customHeight="1" s="95">
      <c r="A354" s="97" t="inlineStr">
        <is>
          <t>anonymus0353</t>
        </is>
      </c>
      <c r="B354" s="97" t="inlineStr">
        <is>
          <t>L</t>
        </is>
      </c>
      <c r="C354" s="97" t="inlineStr">
        <is>
          <t>35-69 Bulan</t>
        </is>
      </c>
      <c r="D354" s="97" t="n">
        <v>13</v>
      </c>
      <c r="E354" s="97" t="n">
        <v>101</v>
      </c>
      <c r="F354" s="97" t="inlineStr">
        <is>
          <t>Normal</t>
        </is>
      </c>
      <c r="G354" s="97" t="inlineStr">
        <is>
          <t>Normal</t>
        </is>
      </c>
      <c r="H354" s="106" t="inlineStr">
        <is>
          <t>Gizi Kurang</t>
        </is>
      </c>
      <c r="I354" s="97" t="inlineStr">
        <is>
          <t>Ya</t>
        </is>
      </c>
      <c r="J354" s="97" t="inlineStr">
        <is>
          <t>Tidak</t>
        </is>
      </c>
      <c r="K354" s="107" t="n"/>
    </row>
    <row r="355" ht="15.75" customHeight="1" s="95">
      <c r="A355" s="97" t="inlineStr">
        <is>
          <t>anonymus0354</t>
        </is>
      </c>
      <c r="B355" s="97" t="inlineStr">
        <is>
          <t>L</t>
        </is>
      </c>
      <c r="C355" s="97" t="inlineStr">
        <is>
          <t>35-69 Bulan</t>
        </is>
      </c>
      <c r="D355" s="97" t="n">
        <v>10.5</v>
      </c>
      <c r="E355" s="97" t="n">
        <v>91.2</v>
      </c>
      <c r="F355" s="97" t="inlineStr">
        <is>
          <t>Sangat Kurang</t>
        </is>
      </c>
      <c r="G355" s="97" t="inlineStr">
        <is>
          <t>Pendek</t>
        </is>
      </c>
      <c r="H355" s="106" t="inlineStr">
        <is>
          <t>Gizi Kurang</t>
        </is>
      </c>
      <c r="I355" s="97" t="inlineStr">
        <is>
          <t>Ya</t>
        </is>
      </c>
      <c r="J355" s="97" t="inlineStr">
        <is>
          <t>Potensi Stunting</t>
        </is>
      </c>
      <c r="K355" s="107" t="n"/>
    </row>
    <row r="356" ht="15.75" customHeight="1" s="95">
      <c r="A356" s="97" t="inlineStr">
        <is>
          <t>anonymus0355</t>
        </is>
      </c>
      <c r="B356" s="97" t="inlineStr">
        <is>
          <t>P</t>
        </is>
      </c>
      <c r="C356" s="97" t="inlineStr">
        <is>
          <t>1-34 Bulan</t>
        </is>
      </c>
      <c r="D356" s="97" t="inlineStr">
        <is>
          <t>11.1</t>
        </is>
      </c>
      <c r="E356" s="97" t="n">
        <v>79</v>
      </c>
      <c r="F356" s="97" t="inlineStr">
        <is>
          <t>Normal</t>
        </is>
      </c>
      <c r="G356" s="97" t="inlineStr">
        <is>
          <t>Normal</t>
        </is>
      </c>
      <c r="H356" s="106" t="inlineStr">
        <is>
          <t>Risiko Gizi Lebih</t>
        </is>
      </c>
      <c r="I356" s="97" t="inlineStr">
        <is>
          <t>Ya</t>
        </is>
      </c>
      <c r="J356" s="97" t="inlineStr">
        <is>
          <t>Tidak</t>
        </is>
      </c>
      <c r="K356" s="107" t="n"/>
    </row>
    <row r="357" ht="15.75" customHeight="1" s="95">
      <c r="A357" s="97" t="inlineStr">
        <is>
          <t>anonymus0356</t>
        </is>
      </c>
      <c r="B357" s="97" t="inlineStr">
        <is>
          <t>L</t>
        </is>
      </c>
      <c r="C357" s="97" t="inlineStr">
        <is>
          <t>35-69 Bulan</t>
        </is>
      </c>
      <c r="D357" s="97" t="n">
        <v>16</v>
      </c>
      <c r="E357" s="97" t="n">
        <v>100</v>
      </c>
      <c r="F357" s="97" t="inlineStr">
        <is>
          <t>Normal</t>
        </is>
      </c>
      <c r="G357" s="97" t="inlineStr">
        <is>
          <t>Normal</t>
        </is>
      </c>
      <c r="H357" s="106" t="inlineStr">
        <is>
          <t>Gizi Baik</t>
        </is>
      </c>
      <c r="I357" s="97" t="inlineStr">
        <is>
          <t>Ya</t>
        </is>
      </c>
      <c r="J357" s="97" t="inlineStr">
        <is>
          <t>Tidak</t>
        </is>
      </c>
      <c r="K357" s="107" t="n"/>
    </row>
    <row r="358" ht="15.75" customHeight="1" s="95">
      <c r="A358" s="97" t="inlineStr">
        <is>
          <t>anonymus0357</t>
        </is>
      </c>
      <c r="B358" s="97" t="inlineStr">
        <is>
          <t>P</t>
        </is>
      </c>
      <c r="C358" s="97" t="inlineStr">
        <is>
          <t>35-69 Bulan</t>
        </is>
      </c>
      <c r="D358" s="97" t="n">
        <v>12.6</v>
      </c>
      <c r="E358" s="97" t="n">
        <v>103</v>
      </c>
      <c r="F358" s="97" t="inlineStr">
        <is>
          <t>Normal</t>
        </is>
      </c>
      <c r="G358" s="97" t="inlineStr">
        <is>
          <t>Normal</t>
        </is>
      </c>
      <c r="H358" s="106" t="inlineStr">
        <is>
          <t>Gizi Baik</t>
        </is>
      </c>
      <c r="I358" s="97" t="inlineStr">
        <is>
          <t>Ya</t>
        </is>
      </c>
      <c r="J358" s="97" t="inlineStr">
        <is>
          <t>Tidak</t>
        </is>
      </c>
      <c r="K358" s="107" t="n"/>
    </row>
    <row r="359" ht="15.75" customHeight="1" s="95">
      <c r="A359" s="97" t="inlineStr">
        <is>
          <t>anonymus0358</t>
        </is>
      </c>
      <c r="B359" s="97" t="inlineStr">
        <is>
          <t>P</t>
        </is>
      </c>
      <c r="C359" s="97" t="inlineStr">
        <is>
          <t>1-34 Bulan</t>
        </is>
      </c>
      <c r="D359" s="97" t="inlineStr">
        <is>
          <t>9.1</t>
        </is>
      </c>
      <c r="E359" s="97" t="n">
        <v>79</v>
      </c>
      <c r="F359" s="97" t="inlineStr">
        <is>
          <t>Normal</t>
        </is>
      </c>
      <c r="G359" s="97" t="inlineStr">
        <is>
          <t>Normal</t>
        </is>
      </c>
      <c r="H359" s="106" t="inlineStr">
        <is>
          <t>Gizi Baik</t>
        </is>
      </c>
      <c r="I359" s="97" t="inlineStr">
        <is>
          <t>Ya</t>
        </is>
      </c>
      <c r="J359" s="97" t="inlineStr">
        <is>
          <t>Tidak</t>
        </is>
      </c>
      <c r="K359" s="107" t="n"/>
    </row>
    <row r="360" ht="15.75" customHeight="1" s="95">
      <c r="A360" s="97" t="inlineStr">
        <is>
          <t>anonymus0359</t>
        </is>
      </c>
      <c r="B360" s="97" t="inlineStr">
        <is>
          <t>L</t>
        </is>
      </c>
      <c r="C360" s="97" t="inlineStr">
        <is>
          <t>35-69 Bulan</t>
        </is>
      </c>
      <c r="D360" s="97" t="inlineStr">
        <is>
          <t>19.6</t>
        </is>
      </c>
      <c r="E360" s="97" t="n">
        <v>105</v>
      </c>
      <c r="F360" s="97" t="inlineStr">
        <is>
          <t>Risiko Lebih</t>
        </is>
      </c>
      <c r="G360" s="97" t="inlineStr">
        <is>
          <t>Normal</t>
        </is>
      </c>
      <c r="H360" s="106" t="inlineStr">
        <is>
          <t>Risiko Gizi Lebih</t>
        </is>
      </c>
      <c r="I360" s="97" t="inlineStr">
        <is>
          <t>Ya</t>
        </is>
      </c>
      <c r="J360" s="97" t="inlineStr">
        <is>
          <t>Tidak</t>
        </is>
      </c>
      <c r="K360" s="107" t="n"/>
    </row>
    <row r="361" ht="15.75" customHeight="1" s="95">
      <c r="A361" s="97" t="inlineStr">
        <is>
          <t>anonymus0360</t>
        </is>
      </c>
      <c r="B361" s="97" t="inlineStr">
        <is>
          <t>L</t>
        </is>
      </c>
      <c r="C361" s="97" t="inlineStr">
        <is>
          <t>1-34 Bulan</t>
        </is>
      </c>
      <c r="D361" s="97" t="inlineStr">
        <is>
          <t>9.8</t>
        </is>
      </c>
      <c r="E361" s="97" t="n">
        <v>78</v>
      </c>
      <c r="F361" s="97" t="inlineStr">
        <is>
          <t>Normal</t>
        </is>
      </c>
      <c r="G361" s="97" t="inlineStr">
        <is>
          <t>Normal</t>
        </is>
      </c>
      <c r="H361" s="106" t="inlineStr">
        <is>
          <t>Gizi Baik</t>
        </is>
      </c>
      <c r="I361" s="97" t="inlineStr">
        <is>
          <t>Ya</t>
        </is>
      </c>
      <c r="J361" s="97" t="inlineStr">
        <is>
          <t>Tidak</t>
        </is>
      </c>
      <c r="K361" s="107" t="n"/>
    </row>
    <row r="362" ht="15.75" customHeight="1" s="95">
      <c r="A362" s="97" t="inlineStr">
        <is>
          <t>anonymus0361</t>
        </is>
      </c>
      <c r="B362" s="97" t="inlineStr">
        <is>
          <t>P</t>
        </is>
      </c>
      <c r="C362" s="97" t="inlineStr">
        <is>
          <t>1-34 Bulan</t>
        </is>
      </c>
      <c r="D362" s="97" t="inlineStr">
        <is>
          <t>8.2</t>
        </is>
      </c>
      <c r="E362" s="97" t="n">
        <v>78</v>
      </c>
      <c r="F362" s="97" t="inlineStr">
        <is>
          <t>Normal</t>
        </is>
      </c>
      <c r="G362" s="97" t="inlineStr">
        <is>
          <t>Normal</t>
        </is>
      </c>
      <c r="H362" s="106" t="inlineStr">
        <is>
          <t>Gizi Baik</t>
        </is>
      </c>
      <c r="I362" s="97" t="inlineStr">
        <is>
          <t>Ya</t>
        </is>
      </c>
      <c r="J362" s="97" t="inlineStr">
        <is>
          <t>Tidak</t>
        </is>
      </c>
      <c r="K362" s="107" t="n"/>
    </row>
    <row r="363" ht="15.75" customHeight="1" s="95">
      <c r="A363" s="97" t="inlineStr">
        <is>
          <t>anonymus0362</t>
        </is>
      </c>
      <c r="B363" s="97" t="inlineStr">
        <is>
          <t>P</t>
        </is>
      </c>
      <c r="C363" s="97" t="inlineStr">
        <is>
          <t>1-34 Bulan</t>
        </is>
      </c>
      <c r="D363" s="97" t="inlineStr">
        <is>
          <t>8.3</t>
        </is>
      </c>
      <c r="E363" s="97" t="n">
        <v>61</v>
      </c>
      <c r="F363" s="97" t="inlineStr">
        <is>
          <t>Risiko Lebih</t>
        </is>
      </c>
      <c r="G363" s="97" t="inlineStr">
        <is>
          <t>Normal</t>
        </is>
      </c>
      <c r="H363" s="106" t="inlineStr">
        <is>
          <t>Gizi Buruk</t>
        </is>
      </c>
      <c r="I363" s="97" t="inlineStr">
        <is>
          <t>Ya</t>
        </is>
      </c>
      <c r="J363" s="97" t="inlineStr">
        <is>
          <t>Tidak</t>
        </is>
      </c>
      <c r="K363" s="107" t="n"/>
    </row>
    <row r="364" ht="15.75" customHeight="1" s="95">
      <c r="A364" s="97" t="inlineStr">
        <is>
          <t>anonymus0363</t>
        </is>
      </c>
      <c r="B364" s="97" t="inlineStr">
        <is>
          <t>P</t>
        </is>
      </c>
      <c r="C364" s="97" t="inlineStr">
        <is>
          <t>1-34 Bulan</t>
        </is>
      </c>
      <c r="D364" s="97" t="n">
        <v>10.8</v>
      </c>
      <c r="E364" s="97" t="n">
        <v>77</v>
      </c>
      <c r="F364" s="97" t="inlineStr">
        <is>
          <t>Normal</t>
        </is>
      </c>
      <c r="G364" s="97" t="inlineStr">
        <is>
          <t>Normal</t>
        </is>
      </c>
      <c r="H364" s="106" t="inlineStr">
        <is>
          <t>Gizi Baik</t>
        </is>
      </c>
      <c r="I364" s="97" t="inlineStr">
        <is>
          <t>Ya</t>
        </is>
      </c>
      <c r="J364" s="97" t="inlineStr">
        <is>
          <t>Tidak</t>
        </is>
      </c>
      <c r="K364" s="107" t="n"/>
    </row>
    <row r="365" ht="15.75" customHeight="1" s="95">
      <c r="A365" s="97" t="inlineStr">
        <is>
          <t>anonymus0364</t>
        </is>
      </c>
      <c r="B365" s="97" t="inlineStr">
        <is>
          <t>P</t>
        </is>
      </c>
      <c r="C365" s="97" t="inlineStr">
        <is>
          <t>35-69 Bulan</t>
        </is>
      </c>
      <c r="D365" s="97" t="n">
        <v>16</v>
      </c>
      <c r="E365" s="97" t="n">
        <v>100</v>
      </c>
      <c r="F365" s="97" t="inlineStr">
        <is>
          <t>Normal</t>
        </is>
      </c>
      <c r="G365" s="97" t="inlineStr">
        <is>
          <t>Normal</t>
        </is>
      </c>
      <c r="H365" s="106" t="inlineStr">
        <is>
          <t>Gizi Baik</t>
        </is>
      </c>
      <c r="I365" s="97" t="inlineStr">
        <is>
          <t>Ya</t>
        </is>
      </c>
      <c r="J365" s="97" t="inlineStr">
        <is>
          <t>Tidak</t>
        </is>
      </c>
      <c r="K365" s="107" t="n"/>
    </row>
    <row r="366" ht="15.75" customHeight="1" s="95">
      <c r="A366" s="97" t="inlineStr">
        <is>
          <t>anonymus0365</t>
        </is>
      </c>
      <c r="B366" s="97" t="inlineStr">
        <is>
          <t>L</t>
        </is>
      </c>
      <c r="C366" s="97" t="inlineStr">
        <is>
          <t>35-69 Bulan</t>
        </is>
      </c>
      <c r="D366" s="97" t="n">
        <v>10.7</v>
      </c>
      <c r="E366" s="97" t="n">
        <v>110</v>
      </c>
      <c r="F366" s="97" t="inlineStr">
        <is>
          <t>Normal</t>
        </is>
      </c>
      <c r="G366" s="97" t="inlineStr">
        <is>
          <t>Normal</t>
        </is>
      </c>
      <c r="H366" s="106" t="inlineStr">
        <is>
          <t>Gizi Baik</t>
        </is>
      </c>
      <c r="I366" s="97" t="inlineStr">
        <is>
          <t>Ya</t>
        </is>
      </c>
      <c r="J366" s="97" t="inlineStr">
        <is>
          <t>Tidak</t>
        </is>
      </c>
      <c r="K366" s="107" t="n"/>
    </row>
    <row r="367" ht="15.75" customHeight="1" s="95">
      <c r="A367" s="97" t="inlineStr">
        <is>
          <t>anonymus0366</t>
        </is>
      </c>
      <c r="B367" s="97" t="inlineStr">
        <is>
          <t>P</t>
        </is>
      </c>
      <c r="C367" s="97" t="inlineStr">
        <is>
          <t>35-69 Bulan</t>
        </is>
      </c>
      <c r="D367" s="97" t="n">
        <v>8.800000000000001</v>
      </c>
      <c r="E367" s="97" t="n">
        <v>75</v>
      </c>
      <c r="F367" s="97" t="inlineStr">
        <is>
          <t>Kurang</t>
        </is>
      </c>
      <c r="G367" s="97" t="inlineStr">
        <is>
          <t>Sangat Pendek</t>
        </is>
      </c>
      <c r="H367" s="106" t="inlineStr">
        <is>
          <t>Gizi Baik</t>
        </is>
      </c>
      <c r="I367" s="97" t="inlineStr">
        <is>
          <t>Ya</t>
        </is>
      </c>
      <c r="J367" s="97" t="inlineStr">
        <is>
          <t>Potensi Stunting</t>
        </is>
      </c>
      <c r="K367" s="107" t="n"/>
    </row>
    <row r="368" ht="15.75" customHeight="1" s="95">
      <c r="A368" s="97" t="inlineStr">
        <is>
          <t>anonymus0367</t>
        </is>
      </c>
      <c r="B368" s="97" t="inlineStr">
        <is>
          <t>L</t>
        </is>
      </c>
      <c r="C368" s="97" t="inlineStr">
        <is>
          <t>1-34 Bulan</t>
        </is>
      </c>
      <c r="D368" s="97" t="inlineStr">
        <is>
          <t>12.4</t>
        </is>
      </c>
      <c r="E368" s="97" t="n">
        <v>88</v>
      </c>
      <c r="F368" s="97" t="inlineStr">
        <is>
          <t>Normal</t>
        </is>
      </c>
      <c r="G368" s="97" t="inlineStr">
        <is>
          <t>Normal</t>
        </is>
      </c>
      <c r="H368" s="106" t="inlineStr">
        <is>
          <t>Gizi Baik</t>
        </is>
      </c>
      <c r="I368" s="97" t="inlineStr">
        <is>
          <t>Ya</t>
        </is>
      </c>
      <c r="J368" s="97" t="inlineStr">
        <is>
          <t>Tidak</t>
        </is>
      </c>
      <c r="K368" s="107" t="n"/>
    </row>
    <row r="369" ht="15.75" customHeight="1" s="95">
      <c r="A369" s="97" t="inlineStr">
        <is>
          <t>anonymus0368</t>
        </is>
      </c>
      <c r="B369" s="97" t="inlineStr">
        <is>
          <t>L</t>
        </is>
      </c>
      <c r="C369" s="97" t="inlineStr">
        <is>
          <t>1-34 Bulan</t>
        </is>
      </c>
      <c r="D369" s="97" t="n">
        <v>13.6</v>
      </c>
      <c r="E369" s="97" t="n">
        <v>80</v>
      </c>
      <c r="F369" s="97" t="inlineStr">
        <is>
          <t>Normal</t>
        </is>
      </c>
      <c r="G369" s="97" t="inlineStr">
        <is>
          <t>Normal</t>
        </is>
      </c>
      <c r="H369" s="106" t="inlineStr">
        <is>
          <t>Gizi Baik</t>
        </is>
      </c>
      <c r="I369" s="97" t="inlineStr">
        <is>
          <t>Ya</t>
        </is>
      </c>
      <c r="J369" s="97" t="inlineStr">
        <is>
          <t>Tidak</t>
        </is>
      </c>
      <c r="K369" s="107" t="n"/>
    </row>
    <row r="370" ht="15.75" customHeight="1" s="95">
      <c r="A370" s="97" t="inlineStr">
        <is>
          <t>anonymus0369</t>
        </is>
      </c>
      <c r="B370" s="97" t="inlineStr">
        <is>
          <t>P</t>
        </is>
      </c>
      <c r="C370" s="97" t="inlineStr">
        <is>
          <t>35-69 Bulan</t>
        </is>
      </c>
      <c r="D370" s="97" t="n">
        <v>12</v>
      </c>
      <c r="E370" s="97" t="n">
        <v>97</v>
      </c>
      <c r="F370" s="97" t="inlineStr">
        <is>
          <t>Normal</t>
        </is>
      </c>
      <c r="G370" s="97" t="inlineStr">
        <is>
          <t>Normal</t>
        </is>
      </c>
      <c r="H370" s="106" t="inlineStr">
        <is>
          <t>Gizi Kurang</t>
        </is>
      </c>
      <c r="I370" s="97" t="inlineStr">
        <is>
          <t>Ya</t>
        </is>
      </c>
      <c r="J370" s="97" t="inlineStr">
        <is>
          <t>Tidak</t>
        </is>
      </c>
      <c r="K370" s="107" t="n"/>
    </row>
    <row r="371" ht="15.75" customHeight="1" s="95">
      <c r="A371" s="97" t="inlineStr">
        <is>
          <t>anonymus0370</t>
        </is>
      </c>
      <c r="B371" s="97" t="inlineStr">
        <is>
          <t>P</t>
        </is>
      </c>
      <c r="C371" s="97" t="inlineStr">
        <is>
          <t>1-34 Bulan</t>
        </is>
      </c>
      <c r="D371" s="97" t="n">
        <v>8.6</v>
      </c>
      <c r="E371" s="97" t="n">
        <v>90</v>
      </c>
      <c r="F371" s="97" t="inlineStr">
        <is>
          <t>Kurang</t>
        </is>
      </c>
      <c r="G371" s="97" t="inlineStr">
        <is>
          <t>Normal</t>
        </is>
      </c>
      <c r="H371" s="106" t="inlineStr">
        <is>
          <t>Gizi Kurang</t>
        </is>
      </c>
      <c r="I371" s="97" t="inlineStr">
        <is>
          <t>Ya</t>
        </is>
      </c>
      <c r="J371" s="97" t="inlineStr">
        <is>
          <t>Tidak</t>
        </is>
      </c>
      <c r="K371" s="107" t="n"/>
    </row>
    <row r="372" ht="15.75" customHeight="1" s="95">
      <c r="A372" s="97" t="inlineStr">
        <is>
          <t>anonymus0371</t>
        </is>
      </c>
      <c r="B372" s="97" t="inlineStr">
        <is>
          <t>P</t>
        </is>
      </c>
      <c r="C372" s="97" t="inlineStr">
        <is>
          <t>35-69 Bulan</t>
        </is>
      </c>
      <c r="D372" s="97" t="n">
        <v>13.2</v>
      </c>
      <c r="E372" s="97" t="n">
        <v>87</v>
      </c>
      <c r="F372" s="97" t="inlineStr">
        <is>
          <t>Normal</t>
        </is>
      </c>
      <c r="G372" s="97" t="inlineStr">
        <is>
          <t>Sangat Pendek</t>
        </is>
      </c>
      <c r="H372" s="106" t="inlineStr">
        <is>
          <t>Gizi Baik</t>
        </is>
      </c>
      <c r="I372" s="97" t="inlineStr">
        <is>
          <t>Ya</t>
        </is>
      </c>
      <c r="J372" s="97" t="inlineStr">
        <is>
          <t>Stunting</t>
        </is>
      </c>
      <c r="K372" s="107" t="n"/>
    </row>
    <row r="373" ht="15.75" customHeight="1" s="95">
      <c r="A373" s="97" t="inlineStr">
        <is>
          <t>anonymus0372</t>
        </is>
      </c>
      <c r="B373" s="97" t="inlineStr">
        <is>
          <t>P</t>
        </is>
      </c>
      <c r="C373" s="97" t="inlineStr">
        <is>
          <t>35-69 Bulan</t>
        </is>
      </c>
      <c r="D373" s="97" t="n">
        <v>13</v>
      </c>
      <c r="E373" s="97" t="n">
        <v>113</v>
      </c>
      <c r="F373" s="97" t="inlineStr">
        <is>
          <t>Normal</t>
        </is>
      </c>
      <c r="G373" s="97" t="inlineStr">
        <is>
          <t>Normal</t>
        </is>
      </c>
      <c r="H373" s="106" t="inlineStr">
        <is>
          <t>Gizi Baik</t>
        </is>
      </c>
      <c r="I373" s="97" t="inlineStr">
        <is>
          <t>Ya</t>
        </is>
      </c>
      <c r="J373" s="97" t="inlineStr">
        <is>
          <t>Tidak</t>
        </is>
      </c>
      <c r="K373" s="107" t="n"/>
    </row>
    <row r="374" ht="15.75" customHeight="1" s="95">
      <c r="A374" s="97" t="inlineStr">
        <is>
          <t>anonymus0373</t>
        </is>
      </c>
      <c r="B374" s="97" t="inlineStr">
        <is>
          <t>L</t>
        </is>
      </c>
      <c r="C374" s="97" t="inlineStr">
        <is>
          <t>35-69 Bulan</t>
        </is>
      </c>
      <c r="D374" s="97" t="n">
        <v>9.199999999999999</v>
      </c>
      <c r="E374" s="97" t="n">
        <v>79.5</v>
      </c>
      <c r="F374" s="97" t="inlineStr">
        <is>
          <t>Kurang</t>
        </is>
      </c>
      <c r="G374" s="97" t="inlineStr">
        <is>
          <t>Pendek</t>
        </is>
      </c>
      <c r="H374" s="106" t="inlineStr">
        <is>
          <t>Gizi Baik</t>
        </is>
      </c>
      <c r="I374" s="97" t="inlineStr">
        <is>
          <t>Ya</t>
        </is>
      </c>
      <c r="J374" s="97" t="inlineStr">
        <is>
          <t>Potensi Stunting</t>
        </is>
      </c>
      <c r="K374" s="107" t="n"/>
    </row>
    <row r="375" ht="15.75" customHeight="1" s="95">
      <c r="A375" s="97" t="inlineStr">
        <is>
          <t>anonymus0374</t>
        </is>
      </c>
      <c r="B375" s="97" t="inlineStr">
        <is>
          <t>P</t>
        </is>
      </c>
      <c r="C375" s="97" t="inlineStr">
        <is>
          <t>35-69 Bulan</t>
        </is>
      </c>
      <c r="D375" s="97" t="n">
        <v>11.5</v>
      </c>
      <c r="E375" s="97" t="n">
        <v>96</v>
      </c>
      <c r="F375" s="97" t="inlineStr">
        <is>
          <t>Kurang</t>
        </is>
      </c>
      <c r="G375" s="97" t="inlineStr">
        <is>
          <t>Normal</t>
        </is>
      </c>
      <c r="H375" s="106" t="inlineStr">
        <is>
          <t>Gizi Kurang</t>
        </is>
      </c>
      <c r="I375" s="97" t="inlineStr">
        <is>
          <t>Ya</t>
        </is>
      </c>
      <c r="J375" s="97" t="inlineStr">
        <is>
          <t>Tidak</t>
        </is>
      </c>
      <c r="K375" s="107" t="n"/>
    </row>
    <row r="376" ht="15.75" customHeight="1" s="95">
      <c r="A376" s="97" t="inlineStr">
        <is>
          <t>anonymus0375</t>
        </is>
      </c>
      <c r="B376" s="97" t="inlineStr">
        <is>
          <t>P</t>
        </is>
      </c>
      <c r="C376" s="97" t="inlineStr">
        <is>
          <t>35-69 Bulan</t>
        </is>
      </c>
      <c r="D376" s="97" t="n">
        <v>9.9</v>
      </c>
      <c r="E376" s="97" t="n">
        <v>86.5</v>
      </c>
      <c r="F376" s="97" t="inlineStr">
        <is>
          <t>Sangat Kurang</t>
        </is>
      </c>
      <c r="G376" s="97" t="inlineStr">
        <is>
          <t>Pendek</t>
        </is>
      </c>
      <c r="H376" s="106" t="inlineStr">
        <is>
          <t>Gizi Kurang</t>
        </is>
      </c>
      <c r="I376" s="97" t="inlineStr">
        <is>
          <t>Ya</t>
        </is>
      </c>
      <c r="J376" s="97" t="inlineStr">
        <is>
          <t>Potensi Stunting</t>
        </is>
      </c>
      <c r="K376" s="107" t="n"/>
    </row>
    <row r="377" ht="15.75" customHeight="1" s="95">
      <c r="A377" s="97" t="inlineStr">
        <is>
          <t>anonymus0376</t>
        </is>
      </c>
      <c r="B377" s="97" t="inlineStr">
        <is>
          <t>L</t>
        </is>
      </c>
      <c r="C377" s="97" t="inlineStr">
        <is>
          <t>35-69 Bulan</t>
        </is>
      </c>
      <c r="D377" s="97" t="n">
        <v>15.4</v>
      </c>
      <c r="E377" s="97" t="n">
        <v>105</v>
      </c>
      <c r="F377" s="97" t="inlineStr">
        <is>
          <t>Normal</t>
        </is>
      </c>
      <c r="G377" s="97" t="inlineStr">
        <is>
          <t>Normal</t>
        </is>
      </c>
      <c r="H377" s="106" t="inlineStr">
        <is>
          <t>Gizi Baik</t>
        </is>
      </c>
      <c r="I377" s="97" t="inlineStr">
        <is>
          <t>Ya</t>
        </is>
      </c>
      <c r="J377" s="97" t="inlineStr">
        <is>
          <t>Tidak</t>
        </is>
      </c>
      <c r="K377" s="107" t="n"/>
    </row>
    <row r="378" ht="15.75" customHeight="1" s="95">
      <c r="A378" s="97" t="inlineStr">
        <is>
          <t>anonymus0377</t>
        </is>
      </c>
      <c r="B378" s="97" t="inlineStr">
        <is>
          <t>L</t>
        </is>
      </c>
      <c r="C378" s="97" t="inlineStr">
        <is>
          <t>35-69 Bulan</t>
        </is>
      </c>
      <c r="D378" s="97" t="n">
        <v>8.800000000000001</v>
      </c>
      <c r="E378" s="97" t="n">
        <v>76.5</v>
      </c>
      <c r="F378" s="97" t="inlineStr">
        <is>
          <t>Sangat Kurang</t>
        </is>
      </c>
      <c r="G378" s="97" t="inlineStr">
        <is>
          <t>Sangat Pendek</t>
        </is>
      </c>
      <c r="H378" s="106" t="inlineStr">
        <is>
          <t>Gizi Baik</t>
        </is>
      </c>
      <c r="I378" s="97" t="inlineStr">
        <is>
          <t>Ya</t>
        </is>
      </c>
      <c r="J378" s="97" t="inlineStr">
        <is>
          <t>Stunting</t>
        </is>
      </c>
      <c r="K378" s="107" t="n"/>
    </row>
    <row r="379" ht="15.75" customHeight="1" s="95">
      <c r="A379" s="97" t="inlineStr">
        <is>
          <t>anonymus0378</t>
        </is>
      </c>
      <c r="B379" s="97" t="inlineStr">
        <is>
          <t>L</t>
        </is>
      </c>
      <c r="C379" s="97" t="inlineStr">
        <is>
          <t>1-34 Bulan</t>
        </is>
      </c>
      <c r="D379" s="97" t="inlineStr">
        <is>
          <t>13.8</t>
        </is>
      </c>
      <c r="E379" s="97" t="n">
        <v>78</v>
      </c>
      <c r="F379" s="97" t="inlineStr">
        <is>
          <t>Risiko Lebih</t>
        </is>
      </c>
      <c r="G379" s="97" t="inlineStr">
        <is>
          <t>Normal</t>
        </is>
      </c>
      <c r="H379" s="106" t="inlineStr">
        <is>
          <t>Gizi Buruk</t>
        </is>
      </c>
      <c r="I379" s="97" t="inlineStr">
        <is>
          <t>Ya</t>
        </is>
      </c>
      <c r="J379" s="97" t="inlineStr">
        <is>
          <t>Stunting</t>
        </is>
      </c>
      <c r="K379" s="107" t="n"/>
    </row>
    <row r="380" ht="15.75" customHeight="1" s="95">
      <c r="A380" s="97" t="inlineStr">
        <is>
          <t>anonymus0379</t>
        </is>
      </c>
      <c r="B380" s="97" t="inlineStr">
        <is>
          <t>L</t>
        </is>
      </c>
      <c r="C380" s="97" t="inlineStr">
        <is>
          <t>1-34 Bulan</t>
        </is>
      </c>
      <c r="D380" s="97" t="inlineStr">
        <is>
          <t>7.8</t>
        </is>
      </c>
      <c r="E380" s="97" t="inlineStr">
        <is>
          <t>70.5</t>
        </is>
      </c>
      <c r="F380" s="97" t="inlineStr">
        <is>
          <t>Normal</t>
        </is>
      </c>
      <c r="G380" s="97" t="inlineStr">
        <is>
          <t>Normal</t>
        </is>
      </c>
      <c r="H380" s="106" t="inlineStr">
        <is>
          <t>Gizi Baik</t>
        </is>
      </c>
      <c r="I380" s="97" t="inlineStr">
        <is>
          <t>Ya</t>
        </is>
      </c>
      <c r="J380" s="97" t="inlineStr">
        <is>
          <t>Tidak</t>
        </is>
      </c>
      <c r="K380" s="107" t="n"/>
    </row>
    <row r="381" ht="15.75" customHeight="1" s="95">
      <c r="A381" s="97" t="inlineStr">
        <is>
          <t>anonymus0380</t>
        </is>
      </c>
      <c r="B381" s="97" t="inlineStr">
        <is>
          <t>L</t>
        </is>
      </c>
      <c r="C381" s="97" t="inlineStr">
        <is>
          <t>1-34 Bulan</t>
        </is>
      </c>
      <c r="D381" s="97" t="n">
        <v>8.199999999999999</v>
      </c>
      <c r="E381" s="97" t="n">
        <v>76</v>
      </c>
      <c r="F381" s="97" t="inlineStr">
        <is>
          <t>Normal</t>
        </is>
      </c>
      <c r="G381" s="97" t="inlineStr">
        <is>
          <t>Normal</t>
        </is>
      </c>
      <c r="H381" s="106" t="inlineStr">
        <is>
          <t>Gizi Kurang</t>
        </is>
      </c>
      <c r="I381" s="97" t="inlineStr">
        <is>
          <t>Ya</t>
        </is>
      </c>
      <c r="J381" s="97" t="inlineStr">
        <is>
          <t>Tidak</t>
        </is>
      </c>
      <c r="K381" s="107" t="n"/>
    </row>
    <row r="382" ht="15.75" customHeight="1" s="95">
      <c r="A382" s="97" t="inlineStr">
        <is>
          <t>anonymus0381</t>
        </is>
      </c>
      <c r="B382" s="97" t="inlineStr">
        <is>
          <t>P</t>
        </is>
      </c>
      <c r="C382" s="97" t="inlineStr">
        <is>
          <t>35-69 Bulan</t>
        </is>
      </c>
      <c r="D382" s="97" t="n">
        <v>12.4</v>
      </c>
      <c r="E382" s="97" t="n">
        <v>110</v>
      </c>
      <c r="F382" s="97" t="inlineStr">
        <is>
          <t>Normal</t>
        </is>
      </c>
      <c r="G382" s="97" t="inlineStr">
        <is>
          <t>Normal</t>
        </is>
      </c>
      <c r="H382" s="106" t="inlineStr">
        <is>
          <t>Gizi Baik</t>
        </is>
      </c>
      <c r="I382" s="97" t="inlineStr">
        <is>
          <t>Ya</t>
        </is>
      </c>
      <c r="J382" s="97" t="inlineStr">
        <is>
          <t>Tidak</t>
        </is>
      </c>
      <c r="K382" s="107" t="n"/>
    </row>
    <row r="383" ht="15.75" customHeight="1" s="95">
      <c r="A383" s="97" t="inlineStr">
        <is>
          <t>anonymus0382</t>
        </is>
      </c>
      <c r="B383" s="97" t="inlineStr">
        <is>
          <t>L</t>
        </is>
      </c>
      <c r="C383" s="97" t="inlineStr">
        <is>
          <t>35-69 Bulan</t>
        </is>
      </c>
      <c r="D383" s="97" t="n">
        <v>13.3</v>
      </c>
      <c r="E383" s="97" t="n">
        <v>92</v>
      </c>
      <c r="F383" s="97" t="inlineStr">
        <is>
          <t>Normal</t>
        </is>
      </c>
      <c r="G383" s="97" t="inlineStr">
        <is>
          <t>Normal</t>
        </is>
      </c>
      <c r="H383" s="106" t="inlineStr">
        <is>
          <t>Gizi Baik</t>
        </is>
      </c>
      <c r="I383" s="97" t="inlineStr">
        <is>
          <t>Ya</t>
        </is>
      </c>
      <c r="J383" s="97" t="inlineStr">
        <is>
          <t>Tidak</t>
        </is>
      </c>
      <c r="K383" s="107" t="n"/>
    </row>
    <row r="384" ht="15.75" customHeight="1" s="95">
      <c r="A384" s="97" t="inlineStr">
        <is>
          <t>anonymus0383</t>
        </is>
      </c>
      <c r="B384" s="97" t="inlineStr">
        <is>
          <t>P</t>
        </is>
      </c>
      <c r="C384" s="97" t="inlineStr">
        <is>
          <t>1-34 Bulan</t>
        </is>
      </c>
      <c r="D384" s="97" t="inlineStr">
        <is>
          <t>13.6</t>
        </is>
      </c>
      <c r="E384" s="97" t="n">
        <v>91</v>
      </c>
      <c r="F384" s="97" t="inlineStr">
        <is>
          <t>Normal</t>
        </is>
      </c>
      <c r="G384" s="97" t="inlineStr">
        <is>
          <t>Normal</t>
        </is>
      </c>
      <c r="H384" s="106" t="inlineStr">
        <is>
          <t>Gizi Baik</t>
        </is>
      </c>
      <c r="I384" s="97" t="inlineStr">
        <is>
          <t>Ya</t>
        </is>
      </c>
      <c r="J384" s="97" t="inlineStr">
        <is>
          <t>Tidak</t>
        </is>
      </c>
      <c r="K384" s="107" t="n"/>
    </row>
    <row r="385" ht="15.75" customHeight="1" s="95">
      <c r="A385" s="97" t="inlineStr">
        <is>
          <t>anonymus0384</t>
        </is>
      </c>
      <c r="B385" s="97" t="inlineStr">
        <is>
          <t>P</t>
        </is>
      </c>
      <c r="C385" s="97" t="inlineStr">
        <is>
          <t>35-69 Bulan</t>
        </is>
      </c>
      <c r="D385" s="97" t="inlineStr">
        <is>
          <t>16.5</t>
        </is>
      </c>
      <c r="E385" s="97" t="n">
        <v>105</v>
      </c>
      <c r="F385" s="97" t="inlineStr">
        <is>
          <t>Normal</t>
        </is>
      </c>
      <c r="G385" s="97" t="inlineStr">
        <is>
          <t>Normal</t>
        </is>
      </c>
      <c r="H385" s="106" t="inlineStr">
        <is>
          <t>Gizi Baik</t>
        </is>
      </c>
      <c r="I385" s="97" t="inlineStr">
        <is>
          <t>Ya</t>
        </is>
      </c>
      <c r="J385" s="97" t="inlineStr">
        <is>
          <t>Tidak</t>
        </is>
      </c>
      <c r="K385" s="107" t="n"/>
    </row>
    <row r="386" ht="15.75" customHeight="1" s="95">
      <c r="A386" s="97" t="inlineStr">
        <is>
          <t>anonymus0385</t>
        </is>
      </c>
      <c r="B386" s="97" t="inlineStr">
        <is>
          <t>L</t>
        </is>
      </c>
      <c r="C386" s="97" t="inlineStr">
        <is>
          <t>35-69 Bulan</t>
        </is>
      </c>
      <c r="D386" s="97" t="n">
        <v>19.9</v>
      </c>
      <c r="E386" s="97" t="n">
        <v>104</v>
      </c>
      <c r="F386" s="97" t="inlineStr">
        <is>
          <t>Risiko Lebih</t>
        </is>
      </c>
      <c r="G386" s="97" t="inlineStr">
        <is>
          <t>Normal</t>
        </is>
      </c>
      <c r="H386" s="106" t="inlineStr">
        <is>
          <t>Gizi Lebih</t>
        </is>
      </c>
      <c r="I386" s="97" t="inlineStr">
        <is>
          <t>Ya</t>
        </is>
      </c>
      <c r="J386" s="97" t="inlineStr">
        <is>
          <t>Tidak</t>
        </is>
      </c>
      <c r="K386" s="107" t="n"/>
    </row>
    <row r="387" ht="15.75" customHeight="1" s="95">
      <c r="A387" s="97" t="inlineStr">
        <is>
          <t>anonymus0386</t>
        </is>
      </c>
      <c r="B387" s="97" t="inlineStr">
        <is>
          <t>P</t>
        </is>
      </c>
      <c r="C387" s="97" t="inlineStr">
        <is>
          <t>35-69 Bulan</t>
        </is>
      </c>
      <c r="D387" s="97" t="n">
        <v>13</v>
      </c>
      <c r="E387" s="97" t="n">
        <v>118</v>
      </c>
      <c r="F387" s="97" t="inlineStr">
        <is>
          <t>Normal</t>
        </is>
      </c>
      <c r="G387" s="97" t="inlineStr">
        <is>
          <t>Normal</t>
        </is>
      </c>
      <c r="H387" s="106" t="inlineStr">
        <is>
          <t>Gizi Baik</t>
        </is>
      </c>
      <c r="I387" s="97" t="inlineStr">
        <is>
          <t>Ya</t>
        </is>
      </c>
      <c r="J387" s="97" t="inlineStr">
        <is>
          <t>Tidak</t>
        </is>
      </c>
      <c r="K387" s="107" t="n"/>
    </row>
    <row r="388" ht="15.75" customHeight="1" s="95">
      <c r="A388" s="97" t="inlineStr">
        <is>
          <t>anonymus0387</t>
        </is>
      </c>
      <c r="B388" s="97" t="inlineStr">
        <is>
          <t>L</t>
        </is>
      </c>
      <c r="C388" s="97" t="inlineStr">
        <is>
          <t>35-69 Bulan</t>
        </is>
      </c>
      <c r="D388" s="97" t="n">
        <v>10</v>
      </c>
      <c r="E388" s="97" t="n">
        <v>100</v>
      </c>
      <c r="F388" s="97" t="inlineStr">
        <is>
          <t>Normal</t>
        </is>
      </c>
      <c r="G388" s="97" t="inlineStr">
        <is>
          <t>Normal</t>
        </is>
      </c>
      <c r="H388" s="106" t="inlineStr">
        <is>
          <t>Gizi Baik</t>
        </is>
      </c>
      <c r="I388" s="97" t="inlineStr">
        <is>
          <t>Ya</t>
        </is>
      </c>
      <c r="J388" s="97" t="inlineStr">
        <is>
          <t>Tidak</t>
        </is>
      </c>
      <c r="K388" s="107" t="n"/>
    </row>
    <row r="389" ht="15.75" customHeight="1" s="95">
      <c r="A389" s="97" t="inlineStr">
        <is>
          <t>anonymus0388</t>
        </is>
      </c>
      <c r="B389" s="97" t="inlineStr">
        <is>
          <t>P</t>
        </is>
      </c>
      <c r="C389" s="97" t="inlineStr">
        <is>
          <t>35-69 Bulan</t>
        </is>
      </c>
      <c r="D389" s="97" t="n">
        <v>13.3</v>
      </c>
      <c r="E389" s="97" t="n">
        <v>112</v>
      </c>
      <c r="F389" s="97" t="inlineStr">
        <is>
          <t>Normal</t>
        </is>
      </c>
      <c r="G389" s="97" t="inlineStr">
        <is>
          <t>Normal</t>
        </is>
      </c>
      <c r="H389" s="106" t="inlineStr">
        <is>
          <t>Gizi Baik</t>
        </is>
      </c>
      <c r="I389" s="97" t="inlineStr">
        <is>
          <t>Ya</t>
        </is>
      </c>
      <c r="J389" s="97" t="inlineStr">
        <is>
          <t>Tidak</t>
        </is>
      </c>
      <c r="K389" s="107" t="n"/>
    </row>
    <row r="390" ht="15.75" customHeight="1" s="95">
      <c r="A390" s="97" t="inlineStr">
        <is>
          <t>anonymus0389</t>
        </is>
      </c>
      <c r="B390" s="97" t="inlineStr">
        <is>
          <t>L</t>
        </is>
      </c>
      <c r="C390" s="97" t="inlineStr">
        <is>
          <t>1-34 Bulan</t>
        </is>
      </c>
      <c r="D390" s="97" t="n">
        <v>7.05</v>
      </c>
      <c r="E390" s="97" t="n">
        <v>71</v>
      </c>
      <c r="F390" s="97" t="inlineStr">
        <is>
          <t>Kurang</t>
        </is>
      </c>
      <c r="G390" s="97" t="inlineStr">
        <is>
          <t>Normal</t>
        </is>
      </c>
      <c r="H390" s="106" t="inlineStr">
        <is>
          <t>Gizi Kurang</t>
        </is>
      </c>
      <c r="I390" s="97" t="inlineStr">
        <is>
          <t>Ya</t>
        </is>
      </c>
      <c r="J390" s="97" t="inlineStr">
        <is>
          <t>Tidak</t>
        </is>
      </c>
      <c r="K390" s="107" t="n"/>
    </row>
    <row r="391" ht="15.75" customHeight="1" s="95">
      <c r="A391" s="97" t="inlineStr">
        <is>
          <t>anonymus0390</t>
        </is>
      </c>
      <c r="B391" s="97" t="inlineStr">
        <is>
          <t>P</t>
        </is>
      </c>
      <c r="C391" s="97" t="inlineStr">
        <is>
          <t>35-69 Bulan</t>
        </is>
      </c>
      <c r="D391" s="97" t="n">
        <v>10.1</v>
      </c>
      <c r="E391" s="97" t="n">
        <v>104</v>
      </c>
      <c r="F391" s="97" t="inlineStr">
        <is>
          <t>Normal</t>
        </is>
      </c>
      <c r="G391" s="97" t="inlineStr">
        <is>
          <t>Normal</t>
        </is>
      </c>
      <c r="H391" s="106" t="inlineStr">
        <is>
          <t>Gizi Baik</t>
        </is>
      </c>
      <c r="I391" s="97" t="inlineStr">
        <is>
          <t>Ya</t>
        </is>
      </c>
      <c r="J391" s="97" t="inlineStr">
        <is>
          <t>Tidak</t>
        </is>
      </c>
      <c r="K391" s="107" t="n"/>
    </row>
    <row r="392" ht="15.75" customHeight="1" s="95">
      <c r="A392" s="97" t="inlineStr">
        <is>
          <t>anonymus0391</t>
        </is>
      </c>
      <c r="B392" s="97" t="inlineStr">
        <is>
          <t>L</t>
        </is>
      </c>
      <c r="C392" s="97" t="inlineStr">
        <is>
          <t>35-69 Bulan</t>
        </is>
      </c>
      <c r="D392" s="97" t="n">
        <v>10.7</v>
      </c>
      <c r="E392" s="97" t="n">
        <v>101</v>
      </c>
      <c r="F392" s="97" t="inlineStr">
        <is>
          <t>Normal</t>
        </is>
      </c>
      <c r="G392" s="97" t="inlineStr">
        <is>
          <t>Normal</t>
        </is>
      </c>
      <c r="H392" s="106" t="inlineStr">
        <is>
          <t>Gizi Baik</t>
        </is>
      </c>
      <c r="I392" s="97" t="inlineStr">
        <is>
          <t>Ya</t>
        </is>
      </c>
      <c r="J392" s="97" t="inlineStr">
        <is>
          <t>Tidak</t>
        </is>
      </c>
      <c r="K392" s="107" t="n"/>
    </row>
    <row r="393" ht="15.75" customHeight="1" s="95">
      <c r="A393" s="97" t="inlineStr">
        <is>
          <t>anonymus0392</t>
        </is>
      </c>
      <c r="B393" s="97" t="inlineStr">
        <is>
          <t>L</t>
        </is>
      </c>
      <c r="C393" s="97" t="inlineStr">
        <is>
          <t>1-34 Bulan</t>
        </is>
      </c>
      <c r="D393" s="97" t="n">
        <v>10</v>
      </c>
      <c r="E393" s="97" t="n">
        <v>87</v>
      </c>
      <c r="F393" s="97" t="inlineStr">
        <is>
          <t>Kurang</t>
        </is>
      </c>
      <c r="G393" s="97" t="inlineStr">
        <is>
          <t>Normal</t>
        </is>
      </c>
      <c r="H393" s="106" t="inlineStr">
        <is>
          <t>Gizi Kurang</t>
        </is>
      </c>
      <c r="I393" s="97" t="inlineStr">
        <is>
          <t>Ya</t>
        </is>
      </c>
      <c r="J393" s="97" t="inlineStr">
        <is>
          <t>Tidak</t>
        </is>
      </c>
      <c r="K393" s="107" t="n"/>
    </row>
    <row r="394" ht="15.75" customHeight="1" s="95">
      <c r="A394" s="97" t="inlineStr">
        <is>
          <t>anonymus0393</t>
        </is>
      </c>
      <c r="B394" s="97" t="inlineStr">
        <is>
          <t>L</t>
        </is>
      </c>
      <c r="C394" s="97" t="inlineStr">
        <is>
          <t>35-69 Bulan</t>
        </is>
      </c>
      <c r="D394" s="97" t="inlineStr">
        <is>
          <t>15.2</t>
        </is>
      </c>
      <c r="E394" s="97" t="n">
        <v>100</v>
      </c>
      <c r="F394" s="97" t="inlineStr">
        <is>
          <t>Normal</t>
        </is>
      </c>
      <c r="G394" s="97" t="inlineStr">
        <is>
          <t>Normal</t>
        </is>
      </c>
      <c r="H394" s="106" t="inlineStr">
        <is>
          <t>Gizi Baik</t>
        </is>
      </c>
      <c r="I394" s="97" t="inlineStr">
        <is>
          <t>Ya</t>
        </is>
      </c>
      <c r="J394" s="97" t="inlineStr">
        <is>
          <t>Tidak</t>
        </is>
      </c>
      <c r="K394" s="107" t="n"/>
    </row>
    <row r="395" ht="15.75" customHeight="1" s="95">
      <c r="A395" s="97" t="inlineStr">
        <is>
          <t>anonymus0394</t>
        </is>
      </c>
      <c r="B395" s="97" t="inlineStr">
        <is>
          <t>L</t>
        </is>
      </c>
      <c r="C395" s="97" t="inlineStr">
        <is>
          <t>35-69 Bulan</t>
        </is>
      </c>
      <c r="D395" s="97" t="n">
        <v>10.4</v>
      </c>
      <c r="E395" s="97" t="n">
        <v>98</v>
      </c>
      <c r="F395" s="97" t="inlineStr">
        <is>
          <t>Normal</t>
        </is>
      </c>
      <c r="G395" s="97" t="inlineStr">
        <is>
          <t>Normal</t>
        </is>
      </c>
      <c r="H395" s="106" t="inlineStr">
        <is>
          <t>Gizi Baik</t>
        </is>
      </c>
      <c r="I395" s="97" t="inlineStr">
        <is>
          <t>Ya</t>
        </is>
      </c>
      <c r="J395" s="97" t="inlineStr">
        <is>
          <t>Tidak</t>
        </is>
      </c>
      <c r="K395" s="107" t="n"/>
    </row>
    <row r="396" ht="15.75" customHeight="1" s="95">
      <c r="A396" s="97" t="inlineStr">
        <is>
          <t>anonymus0395</t>
        </is>
      </c>
      <c r="B396" s="97" t="inlineStr">
        <is>
          <t>L</t>
        </is>
      </c>
      <c r="C396" s="97" t="inlineStr">
        <is>
          <t>35-69 Bulan</t>
        </is>
      </c>
      <c r="D396" s="97" t="n">
        <v>12.6</v>
      </c>
      <c r="E396" s="97" t="n">
        <v>91.5</v>
      </c>
      <c r="F396" s="97" t="inlineStr">
        <is>
          <t>Normal</t>
        </is>
      </c>
      <c r="G396" s="97" t="inlineStr">
        <is>
          <t>Pendek</t>
        </is>
      </c>
      <c r="H396" s="106" t="inlineStr">
        <is>
          <t>Gizi Baik</t>
        </is>
      </c>
      <c r="I396" s="97" t="inlineStr">
        <is>
          <t>Ya</t>
        </is>
      </c>
      <c r="J396" s="97" t="inlineStr">
        <is>
          <t>Potensi Stunting</t>
        </is>
      </c>
      <c r="K396" s="107" t="n"/>
    </row>
    <row r="397" ht="15.75" customHeight="1" s="95">
      <c r="A397" s="97" t="inlineStr">
        <is>
          <t>anonymus0396</t>
        </is>
      </c>
      <c r="B397" s="97" t="inlineStr">
        <is>
          <t>P</t>
        </is>
      </c>
      <c r="C397" s="97" t="inlineStr">
        <is>
          <t>35-69 Bulan</t>
        </is>
      </c>
      <c r="D397" s="97" t="n">
        <v>14.3</v>
      </c>
      <c r="E397" s="97" t="n">
        <v>102</v>
      </c>
      <c r="F397" s="97" t="inlineStr">
        <is>
          <t>Normal</t>
        </is>
      </c>
      <c r="G397" s="97" t="inlineStr">
        <is>
          <t>Normal</t>
        </is>
      </c>
      <c r="H397" s="106" t="inlineStr">
        <is>
          <t>Gizi Baik</t>
        </is>
      </c>
      <c r="I397" s="97" t="inlineStr">
        <is>
          <t>Ya</t>
        </is>
      </c>
      <c r="J397" s="97" t="inlineStr">
        <is>
          <t>Tidak</t>
        </is>
      </c>
      <c r="K397" s="107" t="n"/>
    </row>
    <row r="398" ht="15.75" customHeight="1" s="95">
      <c r="A398" s="97" t="inlineStr">
        <is>
          <t>anonymus0397</t>
        </is>
      </c>
      <c r="B398" s="97" t="inlineStr">
        <is>
          <t>L</t>
        </is>
      </c>
      <c r="C398" s="97" t="inlineStr">
        <is>
          <t>1-34 Bulan</t>
        </is>
      </c>
      <c r="D398" s="97" t="n">
        <v>9.35</v>
      </c>
      <c r="E398" s="97" t="n">
        <v>84</v>
      </c>
      <c r="F398" s="97" t="inlineStr">
        <is>
          <t>Normal</t>
        </is>
      </c>
      <c r="G398" s="97" t="inlineStr">
        <is>
          <t>Normal</t>
        </is>
      </c>
      <c r="H398" s="106" t="inlineStr">
        <is>
          <t>Gizi Kurang</t>
        </is>
      </c>
      <c r="I398" s="97" t="inlineStr">
        <is>
          <t>Ya</t>
        </is>
      </c>
      <c r="J398" s="97" t="inlineStr">
        <is>
          <t>Tidak</t>
        </is>
      </c>
      <c r="K398" s="107" t="n"/>
    </row>
    <row r="399" ht="15.75" customHeight="1" s="95">
      <c r="A399" s="97" t="inlineStr">
        <is>
          <t>anonymus0398</t>
        </is>
      </c>
      <c r="B399" s="97" t="inlineStr">
        <is>
          <t>L</t>
        </is>
      </c>
      <c r="C399" s="97" t="inlineStr">
        <is>
          <t>35-69 Bulan</t>
        </is>
      </c>
      <c r="D399" s="97" t="n">
        <v>14.4</v>
      </c>
      <c r="E399" s="97" t="n">
        <v>113</v>
      </c>
      <c r="F399" s="97" t="inlineStr">
        <is>
          <t>Normal</t>
        </is>
      </c>
      <c r="G399" s="97" t="inlineStr">
        <is>
          <t>Normal</t>
        </is>
      </c>
      <c r="H399" s="106" t="inlineStr">
        <is>
          <t>Gizi Baik</t>
        </is>
      </c>
      <c r="I399" s="97" t="inlineStr">
        <is>
          <t>Ya</t>
        </is>
      </c>
      <c r="J399" s="97" t="inlineStr">
        <is>
          <t>Tidak</t>
        </is>
      </c>
      <c r="K399" s="107" t="n"/>
    </row>
    <row r="400" ht="15.75" customHeight="1" s="95">
      <c r="A400" s="97" t="inlineStr">
        <is>
          <t>anonymus0399</t>
        </is>
      </c>
      <c r="B400" s="97" t="inlineStr">
        <is>
          <t>P</t>
        </is>
      </c>
      <c r="C400" s="97" t="inlineStr">
        <is>
          <t>1-34 Bulan</t>
        </is>
      </c>
      <c r="D400" s="97" t="inlineStr">
        <is>
          <t>8.3</t>
        </is>
      </c>
      <c r="E400" s="97" t="n">
        <v>74</v>
      </c>
      <c r="F400" s="97" t="inlineStr">
        <is>
          <t>Normal</t>
        </is>
      </c>
      <c r="G400" s="97" t="inlineStr">
        <is>
          <t>Normal</t>
        </is>
      </c>
      <c r="H400" s="106" t="inlineStr">
        <is>
          <t>Gizi Baik</t>
        </is>
      </c>
      <c r="I400" s="97" t="inlineStr">
        <is>
          <t>Ya</t>
        </is>
      </c>
      <c r="J400" s="97" t="inlineStr">
        <is>
          <t>Tidak</t>
        </is>
      </c>
      <c r="K400" s="107" t="n"/>
    </row>
    <row r="401" ht="15.75" customHeight="1" s="95">
      <c r="A401" s="97" t="inlineStr">
        <is>
          <t>anonymus0400</t>
        </is>
      </c>
      <c r="B401" s="97" t="inlineStr">
        <is>
          <t>L</t>
        </is>
      </c>
      <c r="C401" s="97" t="inlineStr">
        <is>
          <t>1-34 Bulan</t>
        </is>
      </c>
      <c r="D401" s="97" t="inlineStr">
        <is>
          <t>9.9</t>
        </is>
      </c>
      <c r="E401" s="97" t="n">
        <v>79</v>
      </c>
      <c r="F401" s="97" t="inlineStr">
        <is>
          <t>Normal</t>
        </is>
      </c>
      <c r="G401" s="97" t="inlineStr">
        <is>
          <t>Normal</t>
        </is>
      </c>
      <c r="H401" s="106" t="inlineStr">
        <is>
          <t>Gizi Baik</t>
        </is>
      </c>
      <c r="I401" s="97" t="inlineStr">
        <is>
          <t>Ya</t>
        </is>
      </c>
      <c r="J401" s="97" t="inlineStr">
        <is>
          <t>Tidak</t>
        </is>
      </c>
      <c r="K401" s="107" t="n"/>
    </row>
    <row r="402" ht="15.75" customHeight="1" s="95">
      <c r="A402" s="97" t="inlineStr">
        <is>
          <t>anonymus0401</t>
        </is>
      </c>
      <c r="B402" s="97" t="inlineStr">
        <is>
          <t>L</t>
        </is>
      </c>
      <c r="C402" s="97" t="inlineStr">
        <is>
          <t>35-69 Bulan</t>
        </is>
      </c>
      <c r="D402" s="97" t="n">
        <v>8.300000000000001</v>
      </c>
      <c r="E402" s="97" t="n">
        <v>71</v>
      </c>
      <c r="F402" s="97" t="inlineStr">
        <is>
          <t>Normal</t>
        </is>
      </c>
      <c r="G402" s="97" t="inlineStr">
        <is>
          <t>Pendek</t>
        </is>
      </c>
      <c r="H402" s="106" t="inlineStr">
        <is>
          <t>Gizi Baik</t>
        </is>
      </c>
      <c r="I402" s="97" t="inlineStr">
        <is>
          <t>Ya</t>
        </is>
      </c>
      <c r="J402" s="97" t="inlineStr">
        <is>
          <t>Potensi Stunting</t>
        </is>
      </c>
      <c r="K402" s="107" t="n"/>
    </row>
    <row r="403" ht="15.75" customHeight="1" s="95">
      <c r="A403" s="97" t="inlineStr">
        <is>
          <t>anonymus0402</t>
        </is>
      </c>
      <c r="B403" s="97" t="inlineStr">
        <is>
          <t>L</t>
        </is>
      </c>
      <c r="C403" s="97" t="inlineStr">
        <is>
          <t>1-34 Bulan</t>
        </is>
      </c>
      <c r="D403" s="97" t="n">
        <v>10.8</v>
      </c>
      <c r="E403" s="97" t="n">
        <v>90</v>
      </c>
      <c r="F403" s="97" t="inlineStr">
        <is>
          <t>Normal</t>
        </is>
      </c>
      <c r="G403" s="97" t="inlineStr">
        <is>
          <t>Normal</t>
        </is>
      </c>
      <c r="H403" s="106" t="inlineStr">
        <is>
          <t>Gizi Kurang</t>
        </is>
      </c>
      <c r="I403" s="97" t="inlineStr">
        <is>
          <t>Ya</t>
        </is>
      </c>
      <c r="J403" s="97" t="inlineStr">
        <is>
          <t>Tidak</t>
        </is>
      </c>
      <c r="K403" s="107" t="n"/>
    </row>
    <row r="404" ht="15.75" customHeight="1" s="95">
      <c r="A404" s="97" t="inlineStr">
        <is>
          <t>anonymus0403</t>
        </is>
      </c>
      <c r="B404" s="97" t="inlineStr">
        <is>
          <t>L</t>
        </is>
      </c>
      <c r="C404" s="97" t="inlineStr">
        <is>
          <t>1-34 Bulan</t>
        </is>
      </c>
      <c r="D404" s="97" t="inlineStr">
        <is>
          <t>10.2</t>
        </is>
      </c>
      <c r="E404" s="97" t="n">
        <v>79</v>
      </c>
      <c r="F404" s="97" t="inlineStr">
        <is>
          <t>Normal</t>
        </is>
      </c>
      <c r="G404" s="97" t="inlineStr">
        <is>
          <t>Normal</t>
        </is>
      </c>
      <c r="H404" s="106" t="inlineStr">
        <is>
          <t>Gizi Baik</t>
        </is>
      </c>
      <c r="I404" s="97" t="inlineStr">
        <is>
          <t>Ya</t>
        </is>
      </c>
      <c r="J404" s="97" t="inlineStr">
        <is>
          <t>Tidak</t>
        </is>
      </c>
      <c r="K404" s="107" t="n"/>
    </row>
    <row r="405" ht="15.75" customHeight="1" s="95">
      <c r="A405" s="97" t="inlineStr">
        <is>
          <t>anonymus0404</t>
        </is>
      </c>
      <c r="B405" s="97" t="inlineStr">
        <is>
          <t>P</t>
        </is>
      </c>
      <c r="C405" s="97" t="inlineStr">
        <is>
          <t>35-69 Bulan</t>
        </is>
      </c>
      <c r="D405" s="97" t="inlineStr">
        <is>
          <t>11.9</t>
        </is>
      </c>
      <c r="E405" s="97" t="n">
        <v>96</v>
      </c>
      <c r="F405" s="97" t="inlineStr">
        <is>
          <t>Kurang</t>
        </is>
      </c>
      <c r="G405" s="97" t="inlineStr">
        <is>
          <t>Pendek</t>
        </is>
      </c>
      <c r="H405" s="106" t="inlineStr">
        <is>
          <t>Gizi Baik</t>
        </is>
      </c>
      <c r="I405" s="97" t="inlineStr">
        <is>
          <t>Ya</t>
        </is>
      </c>
      <c r="J405" s="97" t="inlineStr">
        <is>
          <t>Potensi Stunting</t>
        </is>
      </c>
      <c r="K405" s="107" t="n"/>
    </row>
    <row r="406" ht="15.75" customHeight="1" s="95">
      <c r="A406" s="97" t="inlineStr">
        <is>
          <t>anonymus0405</t>
        </is>
      </c>
      <c r="B406" s="97" t="inlineStr">
        <is>
          <t>P</t>
        </is>
      </c>
      <c r="C406" s="97" t="inlineStr">
        <is>
          <t>1-34 Bulan</t>
        </is>
      </c>
      <c r="D406" s="97" t="n">
        <v>13.1</v>
      </c>
      <c r="E406" s="97" t="n">
        <v>92</v>
      </c>
      <c r="F406" s="97" t="inlineStr">
        <is>
          <t>Normal</t>
        </is>
      </c>
      <c r="G406" s="97" t="inlineStr">
        <is>
          <t>Normal</t>
        </is>
      </c>
      <c r="H406" s="106" t="inlineStr">
        <is>
          <t>Gizi Baik</t>
        </is>
      </c>
      <c r="I406" s="97" t="inlineStr">
        <is>
          <t>Ya</t>
        </is>
      </c>
      <c r="J406" s="97" t="inlineStr">
        <is>
          <t>Tidak</t>
        </is>
      </c>
      <c r="K406" s="107" t="n"/>
    </row>
    <row r="407" ht="15.75" customHeight="1" s="95">
      <c r="A407" s="97" t="inlineStr">
        <is>
          <t>anonymus0406</t>
        </is>
      </c>
      <c r="B407" s="97" t="inlineStr">
        <is>
          <t>L</t>
        </is>
      </c>
      <c r="C407" s="97" t="inlineStr">
        <is>
          <t>1-34 Bulan</t>
        </is>
      </c>
      <c r="D407" s="97" t="inlineStr">
        <is>
          <t>12.4</t>
        </is>
      </c>
      <c r="E407" s="97" t="n">
        <v>91</v>
      </c>
      <c r="F407" s="97" t="inlineStr">
        <is>
          <t>Normal</t>
        </is>
      </c>
      <c r="G407" s="97" t="inlineStr">
        <is>
          <t>Normal</t>
        </is>
      </c>
      <c r="H407" s="106" t="inlineStr">
        <is>
          <t>Gizi Baik</t>
        </is>
      </c>
      <c r="I407" s="97" t="inlineStr">
        <is>
          <t>Ya</t>
        </is>
      </c>
      <c r="J407" s="97" t="inlineStr">
        <is>
          <t>Tidak</t>
        </is>
      </c>
      <c r="K407" s="107" t="n"/>
    </row>
    <row r="408" ht="15.75" customHeight="1" s="95">
      <c r="A408" s="97" t="inlineStr">
        <is>
          <t>anonymus0407</t>
        </is>
      </c>
      <c r="B408" s="97" t="inlineStr">
        <is>
          <t>L</t>
        </is>
      </c>
      <c r="C408" s="97" t="inlineStr">
        <is>
          <t>35-69 Bulan</t>
        </is>
      </c>
      <c r="D408" s="97" t="inlineStr">
        <is>
          <t>17.3</t>
        </is>
      </c>
      <c r="E408" s="97" t="n">
        <v>104</v>
      </c>
      <c r="F408" s="97" t="inlineStr">
        <is>
          <t>Normal</t>
        </is>
      </c>
      <c r="G408" s="97" t="inlineStr">
        <is>
          <t>Normal</t>
        </is>
      </c>
      <c r="H408" s="106" t="inlineStr">
        <is>
          <t>Gizi Baik</t>
        </is>
      </c>
      <c r="I408" s="97" t="inlineStr">
        <is>
          <t>Ya</t>
        </is>
      </c>
      <c r="J408" s="97" t="inlineStr">
        <is>
          <t>Tidak</t>
        </is>
      </c>
      <c r="K408" s="107" t="n"/>
    </row>
    <row r="409" ht="15.75" customHeight="1" s="95">
      <c r="A409" s="97" t="inlineStr">
        <is>
          <t>anonymus0408</t>
        </is>
      </c>
      <c r="B409" s="97" t="inlineStr">
        <is>
          <t>P</t>
        </is>
      </c>
      <c r="C409" s="97" t="inlineStr">
        <is>
          <t>35-69 Bulan</t>
        </is>
      </c>
      <c r="D409" s="97" t="inlineStr">
        <is>
          <t>13.3</t>
        </is>
      </c>
      <c r="E409" s="97" t="n">
        <v>99</v>
      </c>
      <c r="F409" s="97" t="inlineStr">
        <is>
          <t>Normal</t>
        </is>
      </c>
      <c r="G409" s="97" t="inlineStr">
        <is>
          <t>Normal</t>
        </is>
      </c>
      <c r="H409" s="106" t="inlineStr">
        <is>
          <t>Gizi Baik</t>
        </is>
      </c>
      <c r="I409" s="97" t="inlineStr">
        <is>
          <t>Ya</t>
        </is>
      </c>
      <c r="J409" s="97" t="inlineStr">
        <is>
          <t>Tidak</t>
        </is>
      </c>
      <c r="K409" s="107" t="n"/>
    </row>
    <row r="410" ht="15.75" customHeight="1" s="95">
      <c r="A410" s="97" t="inlineStr">
        <is>
          <t>anonymus0409</t>
        </is>
      </c>
      <c r="B410" s="97" t="inlineStr">
        <is>
          <t>L</t>
        </is>
      </c>
      <c r="C410" s="97" t="inlineStr">
        <is>
          <t>35-69 Bulan</t>
        </is>
      </c>
      <c r="D410" s="97" t="n">
        <v>11.3</v>
      </c>
      <c r="E410" s="97" t="n">
        <v>84</v>
      </c>
      <c r="F410" s="97" t="inlineStr">
        <is>
          <t>Normal</t>
        </is>
      </c>
      <c r="G410" s="97" t="inlineStr">
        <is>
          <t>Pendek</t>
        </is>
      </c>
      <c r="H410" s="106" t="inlineStr">
        <is>
          <t>Gizi Baik</t>
        </is>
      </c>
      <c r="I410" s="97" t="inlineStr">
        <is>
          <t>Ya</t>
        </is>
      </c>
      <c r="J410" s="97" t="inlineStr">
        <is>
          <t>Potensi Stunting</t>
        </is>
      </c>
      <c r="K410" s="107" t="n"/>
    </row>
    <row r="411" ht="15.75" customHeight="1" s="95">
      <c r="A411" s="97" t="inlineStr">
        <is>
          <t>anonymus0410</t>
        </is>
      </c>
      <c r="B411" s="97" t="inlineStr">
        <is>
          <t>L</t>
        </is>
      </c>
      <c r="C411" s="97" t="inlineStr">
        <is>
          <t>35-69 Bulan</t>
        </is>
      </c>
      <c r="D411" s="97" t="n">
        <v>16.9</v>
      </c>
      <c r="E411" s="97" t="n">
        <v>111</v>
      </c>
      <c r="F411" s="97" t="inlineStr">
        <is>
          <t>Normal</t>
        </is>
      </c>
      <c r="G411" s="97" t="inlineStr">
        <is>
          <t>Normal</t>
        </is>
      </c>
      <c r="H411" s="106" t="inlineStr">
        <is>
          <t>Gizi Baik</t>
        </is>
      </c>
      <c r="I411" s="97" t="inlineStr">
        <is>
          <t>Ya</t>
        </is>
      </c>
      <c r="J411" s="97" t="inlineStr">
        <is>
          <t>Tidak</t>
        </is>
      </c>
      <c r="K411" s="107" t="n"/>
    </row>
    <row r="412" ht="15.75" customHeight="1" s="95">
      <c r="A412" s="97" t="inlineStr">
        <is>
          <t>anonymus0411</t>
        </is>
      </c>
      <c r="B412" s="97" t="inlineStr">
        <is>
          <t>L</t>
        </is>
      </c>
      <c r="C412" s="97" t="inlineStr">
        <is>
          <t>1-34 Bulan</t>
        </is>
      </c>
      <c r="D412" s="97" t="n">
        <v>9.800000000000001</v>
      </c>
      <c r="E412" s="97" t="n">
        <v>94</v>
      </c>
      <c r="F412" s="97" t="inlineStr">
        <is>
          <t>Normal</t>
        </is>
      </c>
      <c r="G412" s="97" t="inlineStr">
        <is>
          <t>Normal</t>
        </is>
      </c>
      <c r="H412" s="106" t="inlineStr">
        <is>
          <t>Gizi Baik</t>
        </is>
      </c>
      <c r="I412" s="97" t="inlineStr">
        <is>
          <t>Ya</t>
        </is>
      </c>
      <c r="J412" s="97" t="inlineStr">
        <is>
          <t>Tidak</t>
        </is>
      </c>
      <c r="K412" s="107" t="n"/>
    </row>
    <row r="413" ht="15.75" customHeight="1" s="95">
      <c r="A413" s="97" t="inlineStr">
        <is>
          <t>anonymus0412</t>
        </is>
      </c>
      <c r="B413" s="97" t="inlineStr">
        <is>
          <t>P</t>
        </is>
      </c>
      <c r="C413" s="97" t="inlineStr">
        <is>
          <t>35-69 Bulan</t>
        </is>
      </c>
      <c r="D413" s="97" t="inlineStr">
        <is>
          <t>14.1</t>
        </is>
      </c>
      <c r="E413" s="97" t="n">
        <v>100</v>
      </c>
      <c r="F413" s="97" t="inlineStr">
        <is>
          <t>Normal</t>
        </is>
      </c>
      <c r="G413" s="97" t="inlineStr">
        <is>
          <t>Normal</t>
        </is>
      </c>
      <c r="H413" s="106" t="inlineStr">
        <is>
          <t>Gizi Baik</t>
        </is>
      </c>
      <c r="I413" s="97" t="inlineStr">
        <is>
          <t>Ya</t>
        </is>
      </c>
      <c r="J413" s="97" t="inlineStr">
        <is>
          <t>Tidak</t>
        </is>
      </c>
      <c r="K413" s="107" t="n"/>
    </row>
    <row r="414" ht="15.75" customHeight="1" s="95">
      <c r="A414" s="97" t="inlineStr">
        <is>
          <t>anonymus0413</t>
        </is>
      </c>
      <c r="B414" s="97" t="inlineStr">
        <is>
          <t>P</t>
        </is>
      </c>
      <c r="C414" s="97" t="inlineStr">
        <is>
          <t>1-34 Bulan</t>
        </is>
      </c>
      <c r="D414" s="97" t="n">
        <v>11.7</v>
      </c>
      <c r="E414" s="97" t="n">
        <v>87</v>
      </c>
      <c r="F414" s="97" t="inlineStr">
        <is>
          <t>Normal</t>
        </is>
      </c>
      <c r="G414" s="97" t="inlineStr">
        <is>
          <t>Normal</t>
        </is>
      </c>
      <c r="H414" s="106" t="inlineStr">
        <is>
          <t>Gizi Baik</t>
        </is>
      </c>
      <c r="I414" s="97" t="inlineStr">
        <is>
          <t>Ya</t>
        </is>
      </c>
      <c r="J414" s="97" t="inlineStr">
        <is>
          <t>Tidak</t>
        </is>
      </c>
      <c r="K414" s="107" t="n"/>
    </row>
    <row r="415" ht="15.75" customHeight="1" s="95">
      <c r="A415" s="97" t="inlineStr">
        <is>
          <t>anonymus0414</t>
        </is>
      </c>
      <c r="B415" s="97" t="inlineStr">
        <is>
          <t>L</t>
        </is>
      </c>
      <c r="C415" s="97" t="inlineStr">
        <is>
          <t>35-69 Bulan</t>
        </is>
      </c>
      <c r="D415" s="97" t="inlineStr">
        <is>
          <t>13.5</t>
        </is>
      </c>
      <c r="E415" s="97" t="n">
        <v>97</v>
      </c>
      <c r="F415" s="97" t="inlineStr">
        <is>
          <t>Normal</t>
        </is>
      </c>
      <c r="G415" s="97" t="inlineStr">
        <is>
          <t>Normal</t>
        </is>
      </c>
      <c r="H415" s="106" t="inlineStr">
        <is>
          <t>Gizi Baik</t>
        </is>
      </c>
      <c r="I415" s="97" t="inlineStr">
        <is>
          <t>Ya</t>
        </is>
      </c>
      <c r="J415" s="97" t="inlineStr">
        <is>
          <t>Tidak</t>
        </is>
      </c>
      <c r="K415" s="107" t="n"/>
    </row>
    <row r="416" ht="15.75" customHeight="1" s="95">
      <c r="A416" s="97" t="inlineStr">
        <is>
          <t>anonymus0415</t>
        </is>
      </c>
      <c r="B416" s="97" t="inlineStr">
        <is>
          <t>L</t>
        </is>
      </c>
      <c r="C416" s="97" t="inlineStr">
        <is>
          <t>35-69 Bulan</t>
        </is>
      </c>
      <c r="D416" s="97" t="n">
        <v>10.4</v>
      </c>
      <c r="E416" s="97" t="n">
        <v>100</v>
      </c>
      <c r="F416" s="97" t="inlineStr">
        <is>
          <t>Normal</t>
        </is>
      </c>
      <c r="G416" s="97" t="inlineStr">
        <is>
          <t>Normal</t>
        </is>
      </c>
      <c r="H416" s="106" t="inlineStr">
        <is>
          <t>Gizi Baik</t>
        </is>
      </c>
      <c r="I416" s="97" t="inlineStr">
        <is>
          <t>Ya</t>
        </is>
      </c>
      <c r="J416" s="97" t="inlineStr">
        <is>
          <t>Tidak</t>
        </is>
      </c>
      <c r="K416" s="107" t="n"/>
    </row>
    <row r="417" ht="15.75" customHeight="1" s="95">
      <c r="A417" s="97" t="inlineStr">
        <is>
          <t>anonymus0416</t>
        </is>
      </c>
      <c r="B417" s="97" t="inlineStr">
        <is>
          <t>L</t>
        </is>
      </c>
      <c r="C417" s="97" t="inlineStr">
        <is>
          <t>1-34 Bulan</t>
        </is>
      </c>
      <c r="D417" s="97" t="n">
        <v>2.3</v>
      </c>
      <c r="E417" s="97" t="n">
        <v>47</v>
      </c>
      <c r="F417" s="97" t="inlineStr">
        <is>
          <t>Kurang</t>
        </is>
      </c>
      <c r="G417" s="97" t="inlineStr">
        <is>
          <t>Normal</t>
        </is>
      </c>
      <c r="H417" s="106" t="inlineStr">
        <is>
          <t>Gizi Kurang</t>
        </is>
      </c>
      <c r="I417" s="97" t="inlineStr">
        <is>
          <t>Ya</t>
        </is>
      </c>
      <c r="J417" s="97" t="inlineStr">
        <is>
          <t>Tidak</t>
        </is>
      </c>
      <c r="K417" s="107" t="n"/>
    </row>
    <row r="418" ht="15.75" customHeight="1" s="95">
      <c r="A418" s="97" t="inlineStr">
        <is>
          <t>anonymus0417</t>
        </is>
      </c>
      <c r="B418" s="97" t="inlineStr">
        <is>
          <t>L</t>
        </is>
      </c>
      <c r="C418" s="97" t="inlineStr">
        <is>
          <t>1-34 Bulan</t>
        </is>
      </c>
      <c r="D418" s="97" t="n">
        <v>12</v>
      </c>
      <c r="E418" s="97" t="n">
        <v>86</v>
      </c>
      <c r="F418" s="97" t="inlineStr">
        <is>
          <t>Normal</t>
        </is>
      </c>
      <c r="G418" s="97" t="inlineStr">
        <is>
          <t>Normal</t>
        </is>
      </c>
      <c r="H418" s="106" t="inlineStr">
        <is>
          <t>Gizi Baik</t>
        </is>
      </c>
      <c r="I418" s="97" t="inlineStr">
        <is>
          <t>Ya</t>
        </is>
      </c>
      <c r="J418" s="97" t="inlineStr">
        <is>
          <t>Tidak</t>
        </is>
      </c>
      <c r="K418" s="107" t="n"/>
    </row>
    <row r="419" ht="15.75" customHeight="1" s="95">
      <c r="A419" s="97" t="inlineStr">
        <is>
          <t>anonymus0418</t>
        </is>
      </c>
      <c r="B419" s="97" t="inlineStr">
        <is>
          <t>P</t>
        </is>
      </c>
      <c r="C419" s="97" t="inlineStr">
        <is>
          <t>35-69 Bulan</t>
        </is>
      </c>
      <c r="D419" s="97" t="n">
        <v>10.2</v>
      </c>
      <c r="E419" s="97" t="n">
        <v>85</v>
      </c>
      <c r="F419" s="97" t="inlineStr">
        <is>
          <t>Kurang</t>
        </is>
      </c>
      <c r="G419" s="97" t="inlineStr">
        <is>
          <t>Pendek</t>
        </is>
      </c>
      <c r="H419" s="106" t="inlineStr">
        <is>
          <t>Gizi Baik</t>
        </is>
      </c>
      <c r="I419" s="97" t="inlineStr">
        <is>
          <t>Ya</t>
        </is>
      </c>
      <c r="J419" s="97" t="inlineStr">
        <is>
          <t>Potensi Stunting</t>
        </is>
      </c>
      <c r="K419" s="107" t="n"/>
    </row>
    <row r="420" ht="15.75" customHeight="1" s="95">
      <c r="A420" s="97" t="inlineStr">
        <is>
          <t>anonymus0419</t>
        </is>
      </c>
      <c r="B420" s="97" t="inlineStr">
        <is>
          <t>P</t>
        </is>
      </c>
      <c r="C420" s="97" t="inlineStr">
        <is>
          <t>1-34 Bulan</t>
        </is>
      </c>
      <c r="D420" s="97" t="n">
        <v>13.3</v>
      </c>
      <c r="E420" s="97" t="n">
        <v>96</v>
      </c>
      <c r="F420" s="97" t="inlineStr">
        <is>
          <t>Normal</t>
        </is>
      </c>
      <c r="G420" s="97" t="inlineStr">
        <is>
          <t>Normal</t>
        </is>
      </c>
      <c r="H420" s="106" t="inlineStr">
        <is>
          <t>Gizi Baik</t>
        </is>
      </c>
      <c r="I420" s="97" t="inlineStr">
        <is>
          <t>Ya</t>
        </is>
      </c>
      <c r="J420" s="97" t="inlineStr">
        <is>
          <t>Tidak</t>
        </is>
      </c>
      <c r="K420" s="107" t="n"/>
    </row>
    <row r="421" ht="15.75" customHeight="1" s="95">
      <c r="A421" s="97" t="inlineStr">
        <is>
          <t>anonymus0420</t>
        </is>
      </c>
      <c r="B421" s="97" t="inlineStr">
        <is>
          <t>L</t>
        </is>
      </c>
      <c r="C421" s="97" t="inlineStr">
        <is>
          <t>1-34 Bulan</t>
        </is>
      </c>
      <c r="D421" s="97" t="n">
        <v>7.2</v>
      </c>
      <c r="E421" s="97" t="n">
        <v>88</v>
      </c>
      <c r="F421" s="97" t="inlineStr">
        <is>
          <t>Kurang</t>
        </is>
      </c>
      <c r="G421" s="97" t="inlineStr">
        <is>
          <t>Normal</t>
        </is>
      </c>
      <c r="H421" s="106" t="inlineStr">
        <is>
          <t>Gizi Kurang</t>
        </is>
      </c>
      <c r="I421" s="97" t="inlineStr">
        <is>
          <t>Ya</t>
        </is>
      </c>
      <c r="J421" s="97" t="inlineStr">
        <is>
          <t>Tidak</t>
        </is>
      </c>
      <c r="K421" s="107" t="n"/>
    </row>
    <row r="422" ht="15.75" customHeight="1" s="95">
      <c r="A422" s="97" t="inlineStr">
        <is>
          <t>anonymus0421</t>
        </is>
      </c>
      <c r="B422" s="97" t="inlineStr">
        <is>
          <t>P</t>
        </is>
      </c>
      <c r="C422" s="97" t="inlineStr">
        <is>
          <t>35-69 Bulan</t>
        </is>
      </c>
      <c r="D422" s="97" t="n">
        <v>14.3</v>
      </c>
      <c r="E422" s="97" t="n">
        <v>103</v>
      </c>
      <c r="F422" s="97" t="inlineStr">
        <is>
          <t>Normal</t>
        </is>
      </c>
      <c r="G422" s="97" t="inlineStr">
        <is>
          <t>Normal</t>
        </is>
      </c>
      <c r="H422" s="106" t="inlineStr">
        <is>
          <t>Gizi Baik</t>
        </is>
      </c>
      <c r="I422" s="97" t="inlineStr">
        <is>
          <t>Ya</t>
        </is>
      </c>
      <c r="J422" s="97" t="inlineStr">
        <is>
          <t>Tidak</t>
        </is>
      </c>
      <c r="K422" s="107" t="n"/>
    </row>
    <row r="423" ht="15.75" customHeight="1" s="95">
      <c r="A423" s="97" t="inlineStr">
        <is>
          <t>anonymus0422</t>
        </is>
      </c>
      <c r="B423" s="97" t="inlineStr">
        <is>
          <t>P</t>
        </is>
      </c>
      <c r="C423" s="97" t="inlineStr">
        <is>
          <t>35-69 Bulan</t>
        </is>
      </c>
      <c r="D423" s="97" t="n">
        <v>13.6</v>
      </c>
      <c r="E423" s="97" t="n">
        <v>103.4</v>
      </c>
      <c r="F423" s="97" t="inlineStr">
        <is>
          <t>Normal</t>
        </is>
      </c>
      <c r="G423" s="97" t="inlineStr">
        <is>
          <t>Normal</t>
        </is>
      </c>
      <c r="H423" s="106" t="inlineStr">
        <is>
          <t>Gizi Kurang</t>
        </is>
      </c>
      <c r="I423" s="97" t="inlineStr">
        <is>
          <t>Ya</t>
        </is>
      </c>
      <c r="J423" s="97" t="inlineStr">
        <is>
          <t>Tidak</t>
        </is>
      </c>
      <c r="K423" s="107" t="n"/>
    </row>
    <row r="424" ht="15.75" customHeight="1" s="95">
      <c r="A424" s="97" t="inlineStr">
        <is>
          <t>anonymus0423</t>
        </is>
      </c>
      <c r="B424" s="97" t="inlineStr">
        <is>
          <t>L</t>
        </is>
      </c>
      <c r="C424" s="97" t="inlineStr">
        <is>
          <t>35-69 Bulan</t>
        </is>
      </c>
      <c r="D424" s="97" t="n">
        <v>10.7</v>
      </c>
      <c r="E424" s="97" t="n">
        <v>76</v>
      </c>
      <c r="F424" s="97" t="inlineStr">
        <is>
          <t>Normal</t>
        </is>
      </c>
      <c r="G424" s="97" t="inlineStr">
        <is>
          <t>Sangat Pendek</t>
        </is>
      </c>
      <c r="H424" s="106" t="inlineStr">
        <is>
          <t>Risiko Gizi Lebih</t>
        </is>
      </c>
      <c r="I424" s="97" t="inlineStr">
        <is>
          <t>Ya</t>
        </is>
      </c>
      <c r="J424" s="97" t="inlineStr">
        <is>
          <t>Stunting</t>
        </is>
      </c>
      <c r="K424" s="107" t="n"/>
    </row>
    <row r="425" ht="15.75" customHeight="1" s="95">
      <c r="A425" s="97" t="inlineStr">
        <is>
          <t>anonymus0424</t>
        </is>
      </c>
      <c r="B425" s="97" t="inlineStr">
        <is>
          <t>L</t>
        </is>
      </c>
      <c r="C425" s="97" t="inlineStr">
        <is>
          <t>35-69 Bulan</t>
        </is>
      </c>
      <c r="D425" s="97" t="n">
        <v>12.4</v>
      </c>
      <c r="E425" s="97" t="n">
        <v>100</v>
      </c>
      <c r="F425" s="97" t="inlineStr">
        <is>
          <t>Kurang</t>
        </is>
      </c>
      <c r="G425" s="97" t="inlineStr">
        <is>
          <t>Normal</t>
        </is>
      </c>
      <c r="H425" s="106" t="inlineStr">
        <is>
          <t>Gizi Kurang</t>
        </is>
      </c>
      <c r="I425" s="97" t="inlineStr">
        <is>
          <t>Ya</t>
        </is>
      </c>
      <c r="J425" s="97" t="inlineStr">
        <is>
          <t>Tidak</t>
        </is>
      </c>
      <c r="K425" s="107" t="n"/>
    </row>
    <row r="426" ht="15.75" customHeight="1" s="95">
      <c r="A426" s="97" t="inlineStr">
        <is>
          <t>anonymus0425</t>
        </is>
      </c>
      <c r="B426" s="97" t="inlineStr">
        <is>
          <t>P</t>
        </is>
      </c>
      <c r="C426" s="97" t="inlineStr">
        <is>
          <t>35-69 Bulan</t>
        </is>
      </c>
      <c r="D426" s="97" t="n">
        <v>13.8</v>
      </c>
      <c r="E426" s="97" t="n">
        <v>107</v>
      </c>
      <c r="F426" s="97" t="inlineStr">
        <is>
          <t>Normal</t>
        </is>
      </c>
      <c r="G426" s="97" t="inlineStr">
        <is>
          <t>Normal</t>
        </is>
      </c>
      <c r="H426" s="106" t="inlineStr">
        <is>
          <t>Gizi Baik</t>
        </is>
      </c>
      <c r="I426" s="97" t="inlineStr">
        <is>
          <t>Ya</t>
        </is>
      </c>
      <c r="J426" s="97" t="inlineStr">
        <is>
          <t>Tidak</t>
        </is>
      </c>
      <c r="K426" s="107" t="n"/>
    </row>
    <row r="427" ht="15.75" customHeight="1" s="95">
      <c r="A427" s="97" t="inlineStr">
        <is>
          <t>anonymus0426</t>
        </is>
      </c>
      <c r="B427" s="97" t="inlineStr">
        <is>
          <t>P</t>
        </is>
      </c>
      <c r="C427" s="97" t="inlineStr">
        <is>
          <t>35-69 Bulan</t>
        </is>
      </c>
      <c r="D427" s="97" t="n">
        <v>15.7</v>
      </c>
      <c r="E427" s="97" t="n">
        <v>91</v>
      </c>
      <c r="F427" s="97" t="inlineStr">
        <is>
          <t>Normal</t>
        </is>
      </c>
      <c r="G427" s="97" t="inlineStr">
        <is>
          <t>Normal</t>
        </is>
      </c>
      <c r="H427" s="106" t="inlineStr">
        <is>
          <t>Gizi Baik</t>
        </is>
      </c>
      <c r="I427" s="97" t="inlineStr">
        <is>
          <t>Ya</t>
        </is>
      </c>
      <c r="J427" s="97" t="inlineStr">
        <is>
          <t>Tidak</t>
        </is>
      </c>
      <c r="K427" s="107" t="n"/>
    </row>
    <row r="428" ht="15.75" customHeight="1" s="95">
      <c r="A428" s="97" t="inlineStr">
        <is>
          <t>anonymus0427</t>
        </is>
      </c>
      <c r="B428" s="97" t="inlineStr">
        <is>
          <t>P</t>
        </is>
      </c>
      <c r="C428" s="97" t="inlineStr">
        <is>
          <t>35-69 Bulan</t>
        </is>
      </c>
      <c r="D428" s="97" t="n">
        <v>17.6</v>
      </c>
      <c r="E428" s="97" t="n">
        <v>109</v>
      </c>
      <c r="F428" s="97" t="inlineStr">
        <is>
          <t>Risiko Lebih</t>
        </is>
      </c>
      <c r="G428" s="97" t="inlineStr">
        <is>
          <t>Normal</t>
        </is>
      </c>
      <c r="H428" s="106" t="inlineStr">
        <is>
          <t>Gizi Lebih</t>
        </is>
      </c>
      <c r="I428" s="97" t="inlineStr">
        <is>
          <t>Ya</t>
        </is>
      </c>
      <c r="J428" s="97" t="inlineStr">
        <is>
          <t>Tidak</t>
        </is>
      </c>
      <c r="K428" s="107" t="n"/>
    </row>
    <row r="429" ht="15.75" customHeight="1" s="95">
      <c r="A429" s="97" t="inlineStr">
        <is>
          <t>anonymus0428</t>
        </is>
      </c>
      <c r="B429" s="97" t="inlineStr">
        <is>
          <t>P</t>
        </is>
      </c>
      <c r="C429" s="97" t="inlineStr">
        <is>
          <t>35-69 Bulan</t>
        </is>
      </c>
      <c r="D429" s="97" t="n">
        <v>17.9</v>
      </c>
      <c r="E429" s="97" t="n">
        <v>97</v>
      </c>
      <c r="F429" s="97" t="inlineStr">
        <is>
          <t>Risiko Lebih</t>
        </is>
      </c>
      <c r="G429" s="97" t="inlineStr">
        <is>
          <t>Normal</t>
        </is>
      </c>
      <c r="H429" s="106" t="inlineStr">
        <is>
          <t>Gizi Lebih</t>
        </is>
      </c>
      <c r="I429" s="97" t="inlineStr">
        <is>
          <t>Ya</t>
        </is>
      </c>
      <c r="J429" s="97" t="inlineStr">
        <is>
          <t>Tidak</t>
        </is>
      </c>
      <c r="K429" s="107" t="n"/>
    </row>
    <row r="430" ht="15.75" customHeight="1" s="95">
      <c r="A430" s="97" t="inlineStr">
        <is>
          <t>anonymus0429</t>
        </is>
      </c>
      <c r="B430" s="97" t="inlineStr">
        <is>
          <t>P</t>
        </is>
      </c>
      <c r="C430" s="97" t="inlineStr">
        <is>
          <t>35-69 Bulan</t>
        </is>
      </c>
      <c r="D430" s="97" t="n">
        <v>10.6</v>
      </c>
      <c r="E430" s="97" t="n">
        <v>73</v>
      </c>
      <c r="F430" s="97" t="inlineStr">
        <is>
          <t>Normal</t>
        </is>
      </c>
      <c r="G430" s="97" t="inlineStr">
        <is>
          <t>Sangat Pendek</t>
        </is>
      </c>
      <c r="H430" s="106" t="inlineStr">
        <is>
          <t>Risiko Gizi Lebih</t>
        </is>
      </c>
      <c r="I430" s="97" t="inlineStr">
        <is>
          <t>Ya</t>
        </is>
      </c>
      <c r="J430" s="97" t="inlineStr">
        <is>
          <t>Stunting</t>
        </is>
      </c>
      <c r="K430" s="107" t="n"/>
    </row>
    <row r="431" ht="15.75" customHeight="1" s="95">
      <c r="A431" s="97" t="inlineStr">
        <is>
          <t>anonymus0430</t>
        </is>
      </c>
      <c r="B431" s="97" t="inlineStr">
        <is>
          <t>L</t>
        </is>
      </c>
      <c r="C431" s="97" t="inlineStr">
        <is>
          <t>35-69 Bulan</t>
        </is>
      </c>
      <c r="D431" s="97" t="n">
        <v>11</v>
      </c>
      <c r="E431" s="97" t="n">
        <v>91.5</v>
      </c>
      <c r="F431" s="97" t="inlineStr">
        <is>
          <t>Kurang</t>
        </is>
      </c>
      <c r="G431" s="97" t="inlineStr">
        <is>
          <t>Pendek</t>
        </is>
      </c>
      <c r="H431" s="106" t="inlineStr">
        <is>
          <t>Gizi Kurang</t>
        </is>
      </c>
      <c r="I431" s="97" t="inlineStr">
        <is>
          <t>Ya</t>
        </is>
      </c>
      <c r="J431" s="97" t="inlineStr">
        <is>
          <t>Potensi Stunting</t>
        </is>
      </c>
      <c r="K431" s="107" t="n"/>
    </row>
    <row r="432" ht="15.75" customHeight="1" s="95">
      <c r="A432" s="97" t="inlineStr">
        <is>
          <t>anonymus0431</t>
        </is>
      </c>
      <c r="B432" s="97" t="inlineStr">
        <is>
          <t>L</t>
        </is>
      </c>
      <c r="C432" s="97" t="inlineStr">
        <is>
          <t>35-69 Bulan</t>
        </is>
      </c>
      <c r="D432" s="97" t="n">
        <v>10.3</v>
      </c>
      <c r="E432" s="97" t="n">
        <v>99</v>
      </c>
      <c r="F432" s="97" t="inlineStr">
        <is>
          <t>Normal</t>
        </is>
      </c>
      <c r="G432" s="97" t="inlineStr">
        <is>
          <t>Normal</t>
        </is>
      </c>
      <c r="H432" s="106" t="inlineStr">
        <is>
          <t>Gizi Baik</t>
        </is>
      </c>
      <c r="I432" s="97" t="inlineStr">
        <is>
          <t>Ya</t>
        </is>
      </c>
      <c r="J432" s="97" t="inlineStr">
        <is>
          <t>Tidak</t>
        </is>
      </c>
      <c r="K432" s="107" t="n"/>
    </row>
    <row r="433" ht="15.75" customHeight="1" s="95">
      <c r="A433" s="97" t="inlineStr">
        <is>
          <t>anonymus0432</t>
        </is>
      </c>
      <c r="B433" s="97" t="inlineStr">
        <is>
          <t>P</t>
        </is>
      </c>
      <c r="C433" s="97" t="inlineStr">
        <is>
          <t>1-34 Bulan</t>
        </is>
      </c>
      <c r="D433" s="97" t="n">
        <v>10.8</v>
      </c>
      <c r="E433" s="97" t="n">
        <v>96</v>
      </c>
      <c r="F433" s="97" t="inlineStr">
        <is>
          <t>Normal</t>
        </is>
      </c>
      <c r="G433" s="97" t="inlineStr">
        <is>
          <t>Normal</t>
        </is>
      </c>
      <c r="H433" s="106" t="inlineStr">
        <is>
          <t>Gizi Baik</t>
        </is>
      </c>
      <c r="I433" s="97" t="inlineStr">
        <is>
          <t>Ya</t>
        </is>
      </c>
      <c r="J433" s="97" t="inlineStr">
        <is>
          <t>Tidak</t>
        </is>
      </c>
      <c r="K433" s="107" t="n"/>
    </row>
    <row r="434" ht="15.75" customHeight="1" s="95">
      <c r="A434" s="97" t="inlineStr">
        <is>
          <t>anonymus0433</t>
        </is>
      </c>
      <c r="B434" s="97" t="inlineStr">
        <is>
          <t>P</t>
        </is>
      </c>
      <c r="C434" s="97" t="inlineStr">
        <is>
          <t>1-34 Bulan</t>
        </is>
      </c>
      <c r="D434" s="97" t="n">
        <v>10.6</v>
      </c>
      <c r="E434" s="97" t="n">
        <v>91</v>
      </c>
      <c r="F434" s="97" t="inlineStr">
        <is>
          <t>Normal</t>
        </is>
      </c>
      <c r="G434" s="97" t="inlineStr">
        <is>
          <t>Normal</t>
        </is>
      </c>
      <c r="H434" s="106" t="inlineStr">
        <is>
          <t>Gizi Kurang</t>
        </is>
      </c>
      <c r="I434" s="97" t="inlineStr">
        <is>
          <t>Ya</t>
        </is>
      </c>
      <c r="J434" s="97" t="inlineStr">
        <is>
          <t>Tidak</t>
        </is>
      </c>
      <c r="K434" s="107" t="n"/>
    </row>
    <row r="435" ht="15.75" customHeight="1" s="95">
      <c r="A435" s="97" t="inlineStr">
        <is>
          <t>anonymus0434</t>
        </is>
      </c>
      <c r="B435" s="97" t="inlineStr">
        <is>
          <t>L</t>
        </is>
      </c>
      <c r="C435" s="97" t="inlineStr">
        <is>
          <t>35-69 Bulan</t>
        </is>
      </c>
      <c r="D435" s="97" t="n">
        <v>11.3</v>
      </c>
      <c r="E435" s="97" t="n">
        <v>92</v>
      </c>
      <c r="F435" s="97" t="inlineStr">
        <is>
          <t>Kurang</t>
        </is>
      </c>
      <c r="G435" s="97" t="inlineStr">
        <is>
          <t>Pendek</t>
        </is>
      </c>
      <c r="H435" s="106" t="inlineStr">
        <is>
          <t>Gizi Baik</t>
        </is>
      </c>
      <c r="I435" s="97" t="inlineStr">
        <is>
          <t>Ya</t>
        </is>
      </c>
      <c r="J435" s="97" t="inlineStr">
        <is>
          <t>Potensi Stunting</t>
        </is>
      </c>
      <c r="K435" s="107" t="n"/>
    </row>
    <row r="436" ht="15.75" customHeight="1" s="95">
      <c r="A436" s="97" t="inlineStr">
        <is>
          <t>anonymus0435</t>
        </is>
      </c>
      <c r="B436" s="97" t="inlineStr">
        <is>
          <t>L</t>
        </is>
      </c>
      <c r="C436" s="97" t="inlineStr">
        <is>
          <t>1-34 Bulan</t>
        </is>
      </c>
      <c r="D436" s="97" t="n">
        <v>12.5</v>
      </c>
      <c r="E436" s="97" t="n">
        <v>96</v>
      </c>
      <c r="F436" s="97" t="inlineStr">
        <is>
          <t>Normal</t>
        </is>
      </c>
      <c r="G436" s="97" t="inlineStr">
        <is>
          <t>Normal</t>
        </is>
      </c>
      <c r="H436" s="106" t="inlineStr">
        <is>
          <t>Gizi Baik</t>
        </is>
      </c>
      <c r="I436" s="97" t="inlineStr">
        <is>
          <t>Ya</t>
        </is>
      </c>
      <c r="J436" s="97" t="inlineStr">
        <is>
          <t>Tidak</t>
        </is>
      </c>
      <c r="K436" s="107" t="n"/>
    </row>
    <row r="437" ht="15.75" customHeight="1" s="95">
      <c r="A437" s="97" t="inlineStr">
        <is>
          <t>anonymus0436</t>
        </is>
      </c>
      <c r="B437" s="97" t="inlineStr">
        <is>
          <t>P</t>
        </is>
      </c>
      <c r="C437" s="97" t="inlineStr">
        <is>
          <t>35-69 Bulan</t>
        </is>
      </c>
      <c r="D437" s="97" t="n">
        <v>13.3</v>
      </c>
      <c r="E437" s="97" t="n">
        <v>97</v>
      </c>
      <c r="F437" s="97" t="inlineStr">
        <is>
          <t>Normal</t>
        </is>
      </c>
      <c r="G437" s="97" t="inlineStr">
        <is>
          <t>Pendek</t>
        </is>
      </c>
      <c r="H437" s="106" t="inlineStr">
        <is>
          <t>Gizi Baik</t>
        </is>
      </c>
      <c r="I437" s="97" t="inlineStr">
        <is>
          <t>Ya</t>
        </is>
      </c>
      <c r="J437" s="97" t="inlineStr">
        <is>
          <t>Potensi Stunting</t>
        </is>
      </c>
      <c r="K437" s="107" t="n"/>
    </row>
    <row r="438" ht="15.75" customHeight="1" s="95">
      <c r="A438" s="97" t="inlineStr">
        <is>
          <t>anonymus0437</t>
        </is>
      </c>
      <c r="B438" s="97" t="inlineStr">
        <is>
          <t>P</t>
        </is>
      </c>
      <c r="C438" s="97" t="inlineStr">
        <is>
          <t>35-69 Bulan</t>
        </is>
      </c>
      <c r="D438" s="97" t="inlineStr">
        <is>
          <t>15.8</t>
        </is>
      </c>
      <c r="E438" s="97" t="n">
        <v>101</v>
      </c>
      <c r="F438" s="97" t="inlineStr">
        <is>
          <t>Normal</t>
        </is>
      </c>
      <c r="G438" s="97" t="inlineStr">
        <is>
          <t>Normal</t>
        </is>
      </c>
      <c r="H438" s="106" t="inlineStr">
        <is>
          <t>Gizi Baik</t>
        </is>
      </c>
      <c r="I438" s="97" t="inlineStr">
        <is>
          <t>Ya</t>
        </is>
      </c>
      <c r="J438" s="97" t="inlineStr">
        <is>
          <t>Tidak</t>
        </is>
      </c>
      <c r="K438" s="107" t="n"/>
    </row>
    <row r="439" ht="15.75" customHeight="1" s="95">
      <c r="A439" s="97" t="inlineStr">
        <is>
          <t>anonymus0438</t>
        </is>
      </c>
      <c r="B439" s="97" t="inlineStr">
        <is>
          <t>L</t>
        </is>
      </c>
      <c r="C439" s="97" t="inlineStr">
        <is>
          <t>1-34 Bulan</t>
        </is>
      </c>
      <c r="D439" s="97" t="inlineStr">
        <is>
          <t>7.5</t>
        </is>
      </c>
      <c r="E439" s="97" t="n">
        <v>64</v>
      </c>
      <c r="F439" s="97" t="inlineStr">
        <is>
          <t>Normal</t>
        </is>
      </c>
      <c r="G439" s="97" t="inlineStr">
        <is>
          <t>Normal</t>
        </is>
      </c>
      <c r="H439" s="106" t="inlineStr">
        <is>
          <t>Gizi Baik</t>
        </is>
      </c>
      <c r="I439" s="97" t="inlineStr">
        <is>
          <t>Ya</t>
        </is>
      </c>
      <c r="J439" s="97" t="inlineStr">
        <is>
          <t>Tidak</t>
        </is>
      </c>
      <c r="K439" s="107" t="n"/>
    </row>
    <row r="440" ht="15.75" customHeight="1" s="95">
      <c r="A440" s="97" t="inlineStr">
        <is>
          <t>anonymus0439</t>
        </is>
      </c>
      <c r="B440" s="97" t="inlineStr">
        <is>
          <t>P</t>
        </is>
      </c>
      <c r="C440" s="97" t="inlineStr">
        <is>
          <t>35-69 Bulan</t>
        </is>
      </c>
      <c r="D440" s="97" t="n">
        <v>16.2</v>
      </c>
      <c r="E440" s="97" t="n">
        <v>112</v>
      </c>
      <c r="F440" s="97" t="inlineStr">
        <is>
          <t>Normal</t>
        </is>
      </c>
      <c r="G440" s="97" t="inlineStr">
        <is>
          <t>Normal</t>
        </is>
      </c>
      <c r="H440" s="106" t="inlineStr">
        <is>
          <t>Gizi Baik</t>
        </is>
      </c>
      <c r="I440" s="97" t="inlineStr">
        <is>
          <t>Ya</t>
        </is>
      </c>
      <c r="J440" s="97" t="inlineStr">
        <is>
          <t>Tidak</t>
        </is>
      </c>
      <c r="K440" s="107" t="n"/>
    </row>
    <row r="441" ht="15.75" customHeight="1" s="95">
      <c r="A441" s="97" t="inlineStr">
        <is>
          <t>anonymus0440</t>
        </is>
      </c>
      <c r="B441" s="97" t="inlineStr">
        <is>
          <t>P</t>
        </is>
      </c>
      <c r="C441" s="97" t="inlineStr">
        <is>
          <t>35-69 Bulan</t>
        </is>
      </c>
      <c r="D441" s="97" t="n">
        <v>10</v>
      </c>
      <c r="E441" s="97" t="n">
        <v>83</v>
      </c>
      <c r="F441" s="97" t="inlineStr">
        <is>
          <t>Kurang</t>
        </is>
      </c>
      <c r="G441" s="97" t="inlineStr">
        <is>
          <t>Pendek</t>
        </is>
      </c>
      <c r="H441" s="106" t="inlineStr">
        <is>
          <t>Gizi Baik</t>
        </is>
      </c>
      <c r="I441" s="97" t="inlineStr">
        <is>
          <t>Ya</t>
        </is>
      </c>
      <c r="J441" s="97" t="inlineStr">
        <is>
          <t>Potensi Stunting</t>
        </is>
      </c>
      <c r="K441" s="107" t="n"/>
    </row>
    <row r="442" ht="15.75" customHeight="1" s="95">
      <c r="A442" s="97" t="inlineStr">
        <is>
          <t>anonymus0441</t>
        </is>
      </c>
      <c r="B442" s="97" t="inlineStr">
        <is>
          <t>L</t>
        </is>
      </c>
      <c r="C442" s="97" t="inlineStr">
        <is>
          <t>35-69 Bulan</t>
        </is>
      </c>
      <c r="D442" s="97" t="n">
        <v>17</v>
      </c>
      <c r="E442" s="97" t="n">
        <v>107</v>
      </c>
      <c r="F442" s="97" t="inlineStr">
        <is>
          <t>Normal</t>
        </is>
      </c>
      <c r="G442" s="97" t="inlineStr">
        <is>
          <t>Normal</t>
        </is>
      </c>
      <c r="H442" s="106" t="inlineStr">
        <is>
          <t>Gizi Baik</t>
        </is>
      </c>
      <c r="I442" s="97" t="inlineStr">
        <is>
          <t>Ya</t>
        </is>
      </c>
      <c r="J442" s="97" t="inlineStr">
        <is>
          <t>Tidak</t>
        </is>
      </c>
      <c r="K442" s="107" t="n"/>
    </row>
    <row r="443" ht="15.75" customHeight="1" s="95">
      <c r="A443" s="97" t="inlineStr">
        <is>
          <t>anonymus0442</t>
        </is>
      </c>
      <c r="B443" s="97" t="inlineStr">
        <is>
          <t>P</t>
        </is>
      </c>
      <c r="C443" s="97" t="inlineStr">
        <is>
          <t>1-34 Bulan</t>
        </is>
      </c>
      <c r="D443" s="97" t="n">
        <v>11.7</v>
      </c>
      <c r="E443" s="97" t="n">
        <v>95</v>
      </c>
      <c r="F443" s="97" t="inlineStr">
        <is>
          <t>Normal</t>
        </is>
      </c>
      <c r="G443" s="97" t="inlineStr">
        <is>
          <t>Normal</t>
        </is>
      </c>
      <c r="H443" s="106" t="inlineStr">
        <is>
          <t>Gizi Baik</t>
        </is>
      </c>
      <c r="I443" s="97" t="inlineStr">
        <is>
          <t>Ya</t>
        </is>
      </c>
      <c r="J443" s="97" t="inlineStr">
        <is>
          <t>Tidak</t>
        </is>
      </c>
      <c r="K443" s="107" t="n"/>
    </row>
    <row r="444" ht="15.75" customHeight="1" s="95">
      <c r="A444" s="97" t="inlineStr">
        <is>
          <t>anonymus0443</t>
        </is>
      </c>
      <c r="B444" s="97" t="inlineStr">
        <is>
          <t>P</t>
        </is>
      </c>
      <c r="C444" s="97" t="inlineStr">
        <is>
          <t>35-69 Bulan</t>
        </is>
      </c>
      <c r="D444" s="97" t="n">
        <v>13.4</v>
      </c>
      <c r="E444" s="97" t="n">
        <v>89.3</v>
      </c>
      <c r="F444" s="97" t="inlineStr">
        <is>
          <t>Normal</t>
        </is>
      </c>
      <c r="G444" s="97" t="inlineStr">
        <is>
          <t>Pendek</t>
        </is>
      </c>
      <c r="H444" s="106" t="inlineStr">
        <is>
          <t>Gizi Baik</t>
        </is>
      </c>
      <c r="I444" s="97" t="inlineStr">
        <is>
          <t>Ya</t>
        </is>
      </c>
      <c r="J444" s="97" t="inlineStr">
        <is>
          <t>Potensi Stunting</t>
        </is>
      </c>
      <c r="K444" s="107" t="n"/>
    </row>
    <row r="445" ht="15.75" customHeight="1" s="95">
      <c r="A445" s="97" t="inlineStr">
        <is>
          <t>anonymus0444</t>
        </is>
      </c>
      <c r="B445" s="97" t="inlineStr">
        <is>
          <t>L</t>
        </is>
      </c>
      <c r="C445" s="97" t="inlineStr">
        <is>
          <t>1-34 Bulan</t>
        </is>
      </c>
      <c r="D445" s="97" t="n">
        <v>9.4</v>
      </c>
      <c r="E445" s="97" t="n">
        <v>81</v>
      </c>
      <c r="F445" s="97" t="inlineStr">
        <is>
          <t>Normal</t>
        </is>
      </c>
      <c r="G445" s="97" t="inlineStr">
        <is>
          <t>Normal</t>
        </is>
      </c>
      <c r="H445" s="106" t="inlineStr">
        <is>
          <t>Gizi Baik</t>
        </is>
      </c>
      <c r="I445" s="97" t="inlineStr">
        <is>
          <t>Ya</t>
        </is>
      </c>
      <c r="J445" s="97" t="inlineStr">
        <is>
          <t>Tidak</t>
        </is>
      </c>
      <c r="K445" s="107" t="n"/>
    </row>
    <row r="446" ht="15.75" customHeight="1" s="95">
      <c r="A446" s="97" t="inlineStr">
        <is>
          <t>anonymus0445</t>
        </is>
      </c>
      <c r="B446" s="97" t="inlineStr">
        <is>
          <t>P</t>
        </is>
      </c>
      <c r="C446" s="97" t="inlineStr">
        <is>
          <t>35-69 Bulan</t>
        </is>
      </c>
      <c r="D446" s="97" t="inlineStr">
        <is>
          <t>16.7</t>
        </is>
      </c>
      <c r="E446" s="97" t="n">
        <v>98</v>
      </c>
      <c r="F446" s="97" t="inlineStr">
        <is>
          <t>Normal</t>
        </is>
      </c>
      <c r="G446" s="97" t="inlineStr">
        <is>
          <t>Normal</t>
        </is>
      </c>
      <c r="H446" s="106" t="inlineStr">
        <is>
          <t>Risiko Gizi Lebih</t>
        </is>
      </c>
      <c r="I446" s="97" t="inlineStr">
        <is>
          <t>Ya</t>
        </is>
      </c>
      <c r="J446" s="97" t="inlineStr">
        <is>
          <t>Tidak</t>
        </is>
      </c>
      <c r="K446" s="107" t="n"/>
    </row>
    <row r="447" ht="15.75" customHeight="1" s="95">
      <c r="A447" s="97" t="inlineStr">
        <is>
          <t>anonymus0446</t>
        </is>
      </c>
      <c r="B447" s="97" t="inlineStr">
        <is>
          <t>L</t>
        </is>
      </c>
      <c r="C447" s="97" t="inlineStr">
        <is>
          <t>35-69 Bulan</t>
        </is>
      </c>
      <c r="D447" s="97" t="n">
        <v>12.6</v>
      </c>
      <c r="E447" s="97" t="n">
        <v>112</v>
      </c>
      <c r="F447" s="97" t="inlineStr">
        <is>
          <t>Normal</t>
        </is>
      </c>
      <c r="G447" s="97" t="inlineStr">
        <is>
          <t>Normal</t>
        </is>
      </c>
      <c r="H447" s="106" t="inlineStr">
        <is>
          <t>Gizi Baik</t>
        </is>
      </c>
      <c r="I447" s="97" t="inlineStr">
        <is>
          <t>Ya</t>
        </is>
      </c>
      <c r="J447" s="97" t="inlineStr">
        <is>
          <t>Tidak</t>
        </is>
      </c>
      <c r="K447" s="107" t="n"/>
    </row>
    <row r="448" ht="15.75" customHeight="1" s="95">
      <c r="A448" s="97" t="inlineStr">
        <is>
          <t>anonymus0447</t>
        </is>
      </c>
      <c r="B448" s="97" t="inlineStr">
        <is>
          <t>L</t>
        </is>
      </c>
      <c r="C448" s="97" t="inlineStr">
        <is>
          <t>1-34 Bulan</t>
        </is>
      </c>
      <c r="D448" s="97" t="inlineStr">
        <is>
          <t>8.5</t>
        </is>
      </c>
      <c r="E448" s="97" t="n">
        <v>69</v>
      </c>
      <c r="F448" s="97" t="inlineStr">
        <is>
          <t>Normal</t>
        </is>
      </c>
      <c r="G448" s="97" t="inlineStr">
        <is>
          <t>Normal</t>
        </is>
      </c>
      <c r="H448" s="106" t="inlineStr">
        <is>
          <t>Gizi Baik</t>
        </is>
      </c>
      <c r="I448" s="97" t="inlineStr">
        <is>
          <t>Ya</t>
        </is>
      </c>
      <c r="J448" s="97" t="inlineStr">
        <is>
          <t>Tidak</t>
        </is>
      </c>
      <c r="K448" s="107" t="n"/>
    </row>
    <row r="449" ht="15.75" customHeight="1" s="95">
      <c r="A449" s="97" t="inlineStr">
        <is>
          <t>anonymus0448</t>
        </is>
      </c>
      <c r="B449" s="97" t="inlineStr">
        <is>
          <t>L</t>
        </is>
      </c>
      <c r="C449" s="97" t="inlineStr">
        <is>
          <t>35-69 Bulan</t>
        </is>
      </c>
      <c r="D449" s="97" t="inlineStr">
        <is>
          <t>18.9</t>
        </is>
      </c>
      <c r="E449" s="97" t="n">
        <v>105</v>
      </c>
      <c r="F449" s="97" t="inlineStr">
        <is>
          <t>Normal</t>
        </is>
      </c>
      <c r="G449" s="97" t="inlineStr">
        <is>
          <t>Normal</t>
        </is>
      </c>
      <c r="H449" s="106" t="inlineStr">
        <is>
          <t>Risiko Gizi Lebih</t>
        </is>
      </c>
      <c r="I449" s="97" t="inlineStr">
        <is>
          <t>Ya</t>
        </is>
      </c>
      <c r="J449" s="97" t="inlineStr">
        <is>
          <t>Tidak</t>
        </is>
      </c>
      <c r="K449" s="107" t="n"/>
    </row>
    <row r="450" ht="15.75" customHeight="1" s="95">
      <c r="A450" s="97" t="inlineStr">
        <is>
          <t>anonymus0449</t>
        </is>
      </c>
      <c r="B450" s="97" t="inlineStr">
        <is>
          <t>L</t>
        </is>
      </c>
      <c r="C450" s="97" t="inlineStr">
        <is>
          <t>35-69 Bulan</t>
        </is>
      </c>
      <c r="D450" s="97" t="n">
        <v>10.9</v>
      </c>
      <c r="E450" s="97" t="n">
        <v>82</v>
      </c>
      <c r="F450" s="97" t="inlineStr">
        <is>
          <t>Normal</t>
        </is>
      </c>
      <c r="G450" s="97" t="inlineStr">
        <is>
          <t>Sangat Pendek</t>
        </is>
      </c>
      <c r="H450" s="106" t="inlineStr">
        <is>
          <t>Gizi Baik</t>
        </is>
      </c>
      <c r="I450" s="97" t="inlineStr">
        <is>
          <t>Ya</t>
        </is>
      </c>
      <c r="J450" s="97" t="inlineStr">
        <is>
          <t>Stunting</t>
        </is>
      </c>
      <c r="K450" s="107" t="n"/>
    </row>
    <row r="451" ht="15.75" customHeight="1" s="95">
      <c r="A451" s="97" t="inlineStr">
        <is>
          <t>anonymus0450</t>
        </is>
      </c>
      <c r="B451" s="97" t="inlineStr">
        <is>
          <t>L</t>
        </is>
      </c>
      <c r="C451" s="97" t="inlineStr">
        <is>
          <t>35-69 Bulan</t>
        </is>
      </c>
      <c r="D451" s="97" t="n">
        <v>12.2</v>
      </c>
      <c r="E451" s="97" t="n">
        <v>95</v>
      </c>
      <c r="F451" s="97" t="inlineStr">
        <is>
          <t>Kurang</t>
        </is>
      </c>
      <c r="G451" s="97" t="inlineStr">
        <is>
          <t>Pendek</t>
        </is>
      </c>
      <c r="H451" s="106" t="inlineStr">
        <is>
          <t>Gizi Baik</t>
        </is>
      </c>
      <c r="I451" s="97" t="inlineStr">
        <is>
          <t>Ya</t>
        </is>
      </c>
      <c r="J451" s="97" t="inlineStr">
        <is>
          <t>Potensi Stunting</t>
        </is>
      </c>
      <c r="K451" s="107" t="n"/>
    </row>
    <row r="452" ht="15.75" customHeight="1" s="95">
      <c r="A452" s="97" t="inlineStr">
        <is>
          <t>anonymus0451</t>
        </is>
      </c>
      <c r="B452" s="97" t="inlineStr">
        <is>
          <t>L</t>
        </is>
      </c>
      <c r="C452" s="97" t="inlineStr">
        <is>
          <t>35-69 Bulan</t>
        </is>
      </c>
      <c r="D452" s="97" t="n">
        <v>10.1</v>
      </c>
      <c r="E452" s="97" t="n">
        <v>81</v>
      </c>
      <c r="F452" s="97" t="inlineStr">
        <is>
          <t>Kurang</t>
        </is>
      </c>
      <c r="G452" s="97" t="inlineStr">
        <is>
          <t>Pendek</t>
        </is>
      </c>
      <c r="H452" s="106" t="inlineStr">
        <is>
          <t>Gizi Baik</t>
        </is>
      </c>
      <c r="I452" s="97" t="inlineStr">
        <is>
          <t>Ya</t>
        </is>
      </c>
      <c r="J452" s="97" t="inlineStr">
        <is>
          <t>Potensi Stunting</t>
        </is>
      </c>
      <c r="K452" s="107" t="n"/>
    </row>
    <row r="453" ht="15.75" customHeight="1" s="95">
      <c r="A453" s="97" t="inlineStr">
        <is>
          <t>anonymus0452</t>
        </is>
      </c>
      <c r="B453" s="97" t="inlineStr">
        <is>
          <t>L</t>
        </is>
      </c>
      <c r="C453" s="97" t="inlineStr">
        <is>
          <t>35-69 Bulan</t>
        </is>
      </c>
      <c r="D453" s="97" t="n">
        <v>10.6</v>
      </c>
      <c r="E453" s="97" t="n">
        <v>87</v>
      </c>
      <c r="F453" s="97" t="inlineStr">
        <is>
          <t>Kurang</t>
        </is>
      </c>
      <c r="G453" s="97" t="inlineStr">
        <is>
          <t>Pendek</t>
        </is>
      </c>
      <c r="H453" s="106" t="inlineStr">
        <is>
          <t>Gizi Baik</t>
        </is>
      </c>
      <c r="I453" s="97" t="inlineStr">
        <is>
          <t>Ya</t>
        </is>
      </c>
      <c r="J453" s="97" t="inlineStr">
        <is>
          <t>Potensi Stunting</t>
        </is>
      </c>
      <c r="K453" s="107" t="n"/>
    </row>
    <row r="454" ht="15.75" customHeight="1" s="95">
      <c r="A454" s="97" t="inlineStr">
        <is>
          <t>anonymus0453</t>
        </is>
      </c>
      <c r="B454" s="97" t="inlineStr">
        <is>
          <t>P</t>
        </is>
      </c>
      <c r="C454" s="97" t="inlineStr">
        <is>
          <t>35-69 Bulan</t>
        </is>
      </c>
      <c r="D454" s="97" t="n">
        <v>9</v>
      </c>
      <c r="E454" s="97" t="n">
        <v>82</v>
      </c>
      <c r="F454" s="97" t="inlineStr">
        <is>
          <t>Kurang</t>
        </is>
      </c>
      <c r="G454" s="97" t="inlineStr">
        <is>
          <t>Pendek</t>
        </is>
      </c>
      <c r="H454" s="106" t="inlineStr">
        <is>
          <t>Gizi Baik</t>
        </is>
      </c>
      <c r="I454" s="97" t="inlineStr">
        <is>
          <t>Ya</t>
        </is>
      </c>
      <c r="J454" s="97" t="inlineStr">
        <is>
          <t>Potensi Stunting</t>
        </is>
      </c>
      <c r="K454" s="107" t="n"/>
    </row>
    <row r="455" ht="15.75" customHeight="1" s="95">
      <c r="A455" s="97" t="inlineStr">
        <is>
          <t>anonymus0454</t>
        </is>
      </c>
      <c r="B455" s="97" t="inlineStr">
        <is>
          <t>P</t>
        </is>
      </c>
      <c r="C455" s="97" t="inlineStr">
        <is>
          <t>35-69 Bulan</t>
        </is>
      </c>
      <c r="D455" s="97" t="n">
        <v>7.4</v>
      </c>
      <c r="E455" s="97" t="n">
        <v>71</v>
      </c>
      <c r="F455" s="97" t="inlineStr">
        <is>
          <t>Sangat Kurang</t>
        </is>
      </c>
      <c r="G455" s="97" t="inlineStr">
        <is>
          <t>Sangat Pendek</t>
        </is>
      </c>
      <c r="H455" s="106" t="inlineStr">
        <is>
          <t>Gizi Baik</t>
        </is>
      </c>
      <c r="I455" s="97" t="inlineStr">
        <is>
          <t>Ya</t>
        </is>
      </c>
      <c r="J455" s="97" t="inlineStr">
        <is>
          <t>Stunting</t>
        </is>
      </c>
      <c r="K455" s="107" t="n"/>
    </row>
    <row r="456" ht="15.75" customHeight="1" s="95">
      <c r="A456" s="97" t="inlineStr">
        <is>
          <t>anonymus0455</t>
        </is>
      </c>
      <c r="B456" s="97" t="inlineStr">
        <is>
          <t>P</t>
        </is>
      </c>
      <c r="C456" s="97" t="inlineStr">
        <is>
          <t>35-69 Bulan</t>
        </is>
      </c>
      <c r="D456" s="97" t="n">
        <v>8.9</v>
      </c>
      <c r="E456" s="97" t="n">
        <v>80</v>
      </c>
      <c r="F456" s="97" t="inlineStr">
        <is>
          <t>Kurang</t>
        </is>
      </c>
      <c r="G456" s="97" t="inlineStr">
        <is>
          <t>Pendek</t>
        </is>
      </c>
      <c r="H456" s="106" t="inlineStr">
        <is>
          <t>Gizi Baik</t>
        </is>
      </c>
      <c r="I456" s="97" t="inlineStr">
        <is>
          <t>Ya</t>
        </is>
      </c>
      <c r="J456" s="97" t="inlineStr">
        <is>
          <t>Potensi Stunting</t>
        </is>
      </c>
      <c r="K456" s="107" t="n"/>
    </row>
    <row r="457" ht="15.75" customHeight="1" s="95">
      <c r="A457" s="97" t="inlineStr">
        <is>
          <t>anonymus0456</t>
        </is>
      </c>
      <c r="B457" s="97" t="inlineStr">
        <is>
          <t>L</t>
        </is>
      </c>
      <c r="C457" s="97" t="inlineStr">
        <is>
          <t>1-34 Bulan</t>
        </is>
      </c>
      <c r="D457" s="97" t="n">
        <v>10</v>
      </c>
      <c r="E457" s="97" t="n">
        <v>82</v>
      </c>
      <c r="F457" s="97" t="inlineStr">
        <is>
          <t>Normal</t>
        </is>
      </c>
      <c r="G457" s="97" t="inlineStr">
        <is>
          <t>Normal</t>
        </is>
      </c>
      <c r="H457" s="106" t="inlineStr">
        <is>
          <t>Gizi Baik</t>
        </is>
      </c>
      <c r="I457" s="97" t="inlineStr">
        <is>
          <t>Ya</t>
        </is>
      </c>
      <c r="J457" s="97" t="inlineStr">
        <is>
          <t>Tidak</t>
        </is>
      </c>
      <c r="K457" s="107" t="n"/>
    </row>
    <row r="458" ht="15.75" customHeight="1" s="95">
      <c r="A458" s="97" t="inlineStr">
        <is>
          <t>anonymus0457</t>
        </is>
      </c>
      <c r="B458" s="97" t="inlineStr">
        <is>
          <t>L</t>
        </is>
      </c>
      <c r="C458" s="97" t="inlineStr">
        <is>
          <t>35-69 Bulan</t>
        </is>
      </c>
      <c r="D458" s="97" t="n">
        <v>8.300000000000001</v>
      </c>
      <c r="E458" s="97" t="n">
        <v>71.09999999999999</v>
      </c>
      <c r="F458" s="97" t="inlineStr">
        <is>
          <t>Kurang</t>
        </is>
      </c>
      <c r="G458" s="97" t="inlineStr">
        <is>
          <t>Sangat Pendek</t>
        </is>
      </c>
      <c r="H458" s="106" t="inlineStr">
        <is>
          <t>Gizi Baik</t>
        </is>
      </c>
      <c r="I458" s="97" t="inlineStr">
        <is>
          <t>Ya</t>
        </is>
      </c>
      <c r="J458" s="97" t="inlineStr">
        <is>
          <t>Stunting</t>
        </is>
      </c>
      <c r="K458" s="107" t="n"/>
    </row>
    <row r="459" ht="15.75" customHeight="1" s="95">
      <c r="A459" s="97" t="inlineStr">
        <is>
          <t>anonymus0458</t>
        </is>
      </c>
      <c r="B459" s="97" t="inlineStr">
        <is>
          <t>P</t>
        </is>
      </c>
      <c r="C459" s="97" t="inlineStr">
        <is>
          <t>35-69 Bulan</t>
        </is>
      </c>
      <c r="D459" s="97" t="n">
        <v>19.5</v>
      </c>
      <c r="E459" s="97" t="n">
        <v>118</v>
      </c>
      <c r="F459" s="97" t="inlineStr">
        <is>
          <t>Risiko Lebih</t>
        </is>
      </c>
      <c r="G459" s="97" t="inlineStr">
        <is>
          <t>Normal</t>
        </is>
      </c>
      <c r="H459" s="106" t="inlineStr">
        <is>
          <t>Gizi Lebih</t>
        </is>
      </c>
      <c r="I459" s="97" t="inlineStr">
        <is>
          <t>Ya</t>
        </is>
      </c>
      <c r="J459" s="97" t="inlineStr">
        <is>
          <t>Tidak</t>
        </is>
      </c>
      <c r="K459" s="107" t="n"/>
    </row>
    <row r="460" ht="15.75" customHeight="1" s="95">
      <c r="A460" s="97" t="inlineStr">
        <is>
          <t>anonymus0459</t>
        </is>
      </c>
      <c r="B460" s="97" t="inlineStr">
        <is>
          <t>P</t>
        </is>
      </c>
      <c r="C460" s="97" t="inlineStr">
        <is>
          <t>1-34 Bulan</t>
        </is>
      </c>
      <c r="D460" s="97" t="n">
        <v>14</v>
      </c>
      <c r="E460" s="97" t="n">
        <v>77</v>
      </c>
      <c r="F460" s="97" t="inlineStr">
        <is>
          <t>Normal</t>
        </is>
      </c>
      <c r="G460" s="97" t="inlineStr">
        <is>
          <t>Normal</t>
        </is>
      </c>
      <c r="H460" s="106" t="inlineStr">
        <is>
          <t>Gizi Baik</t>
        </is>
      </c>
      <c r="I460" s="97" t="inlineStr">
        <is>
          <t>Ya</t>
        </is>
      </c>
      <c r="J460" s="97" t="inlineStr">
        <is>
          <t>Tidak</t>
        </is>
      </c>
      <c r="K460" s="107" t="n"/>
    </row>
    <row r="461" ht="15.75" customHeight="1" s="95">
      <c r="A461" s="97" t="inlineStr">
        <is>
          <t>anonymus0460</t>
        </is>
      </c>
      <c r="B461" s="97" t="inlineStr">
        <is>
          <t>L</t>
        </is>
      </c>
      <c r="C461" s="97" t="inlineStr">
        <is>
          <t>35-69 Bulan</t>
        </is>
      </c>
      <c r="D461" s="97" t="inlineStr">
        <is>
          <t>17.9</t>
        </is>
      </c>
      <c r="E461" s="97" t="n">
        <v>104</v>
      </c>
      <c r="F461" s="97" t="inlineStr">
        <is>
          <t>Normal</t>
        </is>
      </c>
      <c r="G461" s="97" t="inlineStr">
        <is>
          <t>Normal</t>
        </is>
      </c>
      <c r="H461" s="106" t="inlineStr">
        <is>
          <t>Gizi Baik</t>
        </is>
      </c>
      <c r="I461" s="97" t="inlineStr">
        <is>
          <t>Ya</t>
        </is>
      </c>
      <c r="J461" s="97" t="inlineStr">
        <is>
          <t>Tidak</t>
        </is>
      </c>
      <c r="K461" s="107" t="n"/>
    </row>
    <row r="462" ht="15.75" customHeight="1" s="95">
      <c r="A462" s="97" t="inlineStr">
        <is>
          <t>anonymus0461</t>
        </is>
      </c>
      <c r="B462" s="97" t="inlineStr">
        <is>
          <t>L</t>
        </is>
      </c>
      <c r="C462" s="97" t="inlineStr">
        <is>
          <t>1-34 Bulan</t>
        </is>
      </c>
      <c r="D462" s="97" t="n">
        <v>7.9</v>
      </c>
      <c r="E462" s="97" t="n">
        <v>73</v>
      </c>
      <c r="F462" s="97" t="inlineStr">
        <is>
          <t>Kurang</t>
        </is>
      </c>
      <c r="G462" s="97" t="inlineStr">
        <is>
          <t>Pendek</t>
        </is>
      </c>
      <c r="H462" s="106" t="inlineStr">
        <is>
          <t>Gizi Baik</t>
        </is>
      </c>
      <c r="I462" s="97" t="inlineStr">
        <is>
          <t>Ya</t>
        </is>
      </c>
      <c r="J462" s="97" t="inlineStr">
        <is>
          <t>Potensi Stunting</t>
        </is>
      </c>
      <c r="K462" s="107" t="n"/>
    </row>
    <row r="463" ht="15.75" customHeight="1" s="95">
      <c r="A463" s="97" t="inlineStr">
        <is>
          <t>anonymus0462</t>
        </is>
      </c>
      <c r="B463" s="97" t="inlineStr">
        <is>
          <t>L</t>
        </is>
      </c>
      <c r="C463" s="97" t="inlineStr">
        <is>
          <t>1-34 Bulan</t>
        </is>
      </c>
      <c r="D463" s="97" t="n">
        <v>6.3</v>
      </c>
      <c r="E463" s="97" t="n">
        <v>87</v>
      </c>
      <c r="F463" s="97" t="inlineStr">
        <is>
          <t>Kurang</t>
        </is>
      </c>
      <c r="G463" s="97" t="inlineStr">
        <is>
          <t>Normal</t>
        </is>
      </c>
      <c r="H463" s="106" t="inlineStr">
        <is>
          <t>Gizi Kurang</t>
        </is>
      </c>
      <c r="I463" s="97" t="inlineStr">
        <is>
          <t>Ya</t>
        </is>
      </c>
      <c r="J463" s="97" t="inlineStr">
        <is>
          <t>Tidak</t>
        </is>
      </c>
      <c r="K463" s="107" t="n"/>
    </row>
    <row r="464" ht="15.75" customHeight="1" s="95">
      <c r="A464" s="97" t="inlineStr">
        <is>
          <t>anonymus0463</t>
        </is>
      </c>
      <c r="B464" s="97" t="inlineStr">
        <is>
          <t>L</t>
        </is>
      </c>
      <c r="C464" s="97" t="inlineStr">
        <is>
          <t>1-34 Bulan</t>
        </is>
      </c>
      <c r="D464" s="97" t="n">
        <v>14.5</v>
      </c>
      <c r="E464" s="97" t="n">
        <v>96</v>
      </c>
      <c r="F464" s="97" t="inlineStr">
        <is>
          <t>Normal</t>
        </is>
      </c>
      <c r="G464" s="97" t="inlineStr">
        <is>
          <t>Normal</t>
        </is>
      </c>
      <c r="H464" s="106" t="inlineStr">
        <is>
          <t>Gizi Baik</t>
        </is>
      </c>
      <c r="I464" s="97" t="inlineStr">
        <is>
          <t>Ya</t>
        </is>
      </c>
      <c r="J464" s="97" t="inlineStr">
        <is>
          <t>Tidak</t>
        </is>
      </c>
      <c r="K464" s="107" t="n"/>
    </row>
    <row r="465" ht="15.75" customHeight="1" s="95">
      <c r="A465" s="97" t="inlineStr">
        <is>
          <t>anonymus0464</t>
        </is>
      </c>
      <c r="B465" s="97" t="inlineStr">
        <is>
          <t>L</t>
        </is>
      </c>
      <c r="C465" s="97" t="inlineStr">
        <is>
          <t>1-34 Bulan</t>
        </is>
      </c>
      <c r="D465" s="97" t="n">
        <v>3</v>
      </c>
      <c r="E465" s="97" t="n">
        <v>52</v>
      </c>
      <c r="F465" s="97" t="inlineStr">
        <is>
          <t>Normal</t>
        </is>
      </c>
      <c r="G465" s="97" t="inlineStr">
        <is>
          <t>Normal</t>
        </is>
      </c>
      <c r="H465" s="106" t="inlineStr">
        <is>
          <t>Gizi Kurang</t>
        </is>
      </c>
      <c r="I465" s="97" t="inlineStr">
        <is>
          <t>Ya</t>
        </is>
      </c>
      <c r="J465" s="97" t="inlineStr">
        <is>
          <t>Tidak</t>
        </is>
      </c>
      <c r="K465" s="107" t="n"/>
    </row>
    <row r="466" ht="15.75" customHeight="1" s="95">
      <c r="A466" s="97" t="inlineStr">
        <is>
          <t>anonymus0465</t>
        </is>
      </c>
      <c r="B466" s="97" t="inlineStr">
        <is>
          <t>L</t>
        </is>
      </c>
      <c r="C466" s="97" t="inlineStr">
        <is>
          <t>35-69 Bulan</t>
        </is>
      </c>
      <c r="D466" s="97" t="n">
        <v>12.6</v>
      </c>
      <c r="E466" s="97" t="n">
        <v>99</v>
      </c>
      <c r="F466" s="97" t="inlineStr">
        <is>
          <t>Kurang</t>
        </is>
      </c>
      <c r="G466" s="97" t="inlineStr">
        <is>
          <t>Pendek</t>
        </is>
      </c>
      <c r="H466" s="106" t="inlineStr">
        <is>
          <t>Gizi Kurang</t>
        </is>
      </c>
      <c r="I466" s="97" t="inlineStr">
        <is>
          <t>Ya</t>
        </is>
      </c>
      <c r="J466" s="97" t="inlineStr">
        <is>
          <t>Potensi Stunting</t>
        </is>
      </c>
      <c r="K466" s="107" t="n"/>
    </row>
    <row r="467" ht="15.75" customHeight="1" s="95">
      <c r="A467" s="97" t="inlineStr">
        <is>
          <t>anonymus0466</t>
        </is>
      </c>
      <c r="B467" s="97" t="inlineStr">
        <is>
          <t>L</t>
        </is>
      </c>
      <c r="C467" s="97" t="inlineStr">
        <is>
          <t>35-69 Bulan</t>
        </is>
      </c>
      <c r="D467" s="97" t="n">
        <v>11.5</v>
      </c>
      <c r="E467" s="97" t="n">
        <v>89</v>
      </c>
      <c r="F467" s="97" t="inlineStr">
        <is>
          <t>Kurang</t>
        </is>
      </c>
      <c r="G467" s="97" t="inlineStr">
        <is>
          <t>Pendek</t>
        </is>
      </c>
      <c r="H467" s="106" t="inlineStr">
        <is>
          <t>Gizi Baik</t>
        </is>
      </c>
      <c r="I467" s="97" t="inlineStr">
        <is>
          <t>Ya</t>
        </is>
      </c>
      <c r="J467" s="97" t="inlineStr">
        <is>
          <t>Potensi Stunting</t>
        </is>
      </c>
      <c r="K467" s="107" t="n"/>
    </row>
    <row r="468" ht="15.75" customHeight="1" s="95">
      <c r="A468" s="97" t="inlineStr">
        <is>
          <t>anonymus0467</t>
        </is>
      </c>
      <c r="B468" s="97" t="inlineStr">
        <is>
          <t>L</t>
        </is>
      </c>
      <c r="C468" s="97" t="inlineStr">
        <is>
          <t>35-69 Bulan</t>
        </is>
      </c>
      <c r="D468" s="97" t="n">
        <v>12.2</v>
      </c>
      <c r="E468" s="97" t="n">
        <v>97.2</v>
      </c>
      <c r="F468" s="97" t="inlineStr">
        <is>
          <t>Normal</t>
        </is>
      </c>
      <c r="G468" s="97" t="inlineStr">
        <is>
          <t>Normal</t>
        </is>
      </c>
      <c r="H468" s="106" t="inlineStr">
        <is>
          <t>Gizi Kurang</t>
        </is>
      </c>
      <c r="I468" s="97" t="inlineStr">
        <is>
          <t>Ya</t>
        </is>
      </c>
      <c r="J468" s="97" t="inlineStr">
        <is>
          <t>Tidak</t>
        </is>
      </c>
      <c r="K468" s="107" t="n"/>
    </row>
    <row r="469" ht="15.75" customHeight="1" s="95">
      <c r="A469" s="97" t="inlineStr">
        <is>
          <t>anonymus0468</t>
        </is>
      </c>
      <c r="B469" s="97" t="inlineStr">
        <is>
          <t>L</t>
        </is>
      </c>
      <c r="C469" s="97" t="inlineStr">
        <is>
          <t>1-34 Bulan</t>
        </is>
      </c>
      <c r="D469" s="97" t="n">
        <v>13.9</v>
      </c>
      <c r="E469" s="97" t="n">
        <v>77</v>
      </c>
      <c r="F469" s="97" t="inlineStr">
        <is>
          <t>Normal</t>
        </is>
      </c>
      <c r="G469" s="97" t="inlineStr">
        <is>
          <t>Normal</t>
        </is>
      </c>
      <c r="H469" s="106" t="inlineStr">
        <is>
          <t>Gizi Baik</t>
        </is>
      </c>
      <c r="I469" s="97" t="inlineStr">
        <is>
          <t>Ya</t>
        </is>
      </c>
      <c r="J469" s="97" t="inlineStr">
        <is>
          <t>Tidak</t>
        </is>
      </c>
      <c r="K469" s="107" t="n"/>
    </row>
    <row r="470" ht="15.75" customHeight="1" s="95">
      <c r="A470" s="97" t="inlineStr">
        <is>
          <t>anonymus0469</t>
        </is>
      </c>
      <c r="B470" s="97" t="inlineStr">
        <is>
          <t>L</t>
        </is>
      </c>
      <c r="C470" s="97" t="inlineStr">
        <is>
          <t>35-69 Bulan</t>
        </is>
      </c>
      <c r="D470" s="97" t="n">
        <v>16</v>
      </c>
      <c r="E470" s="97" t="n">
        <v>114</v>
      </c>
      <c r="F470" s="97" t="inlineStr">
        <is>
          <t>Normal</t>
        </is>
      </c>
      <c r="G470" s="97" t="inlineStr">
        <is>
          <t>Normal</t>
        </is>
      </c>
      <c r="H470" s="106" t="inlineStr">
        <is>
          <t>Gizi Kurang</t>
        </is>
      </c>
      <c r="I470" s="97" t="inlineStr">
        <is>
          <t>Ya</t>
        </is>
      </c>
      <c r="J470" s="97" t="inlineStr">
        <is>
          <t>Tidak</t>
        </is>
      </c>
      <c r="K470" s="107" t="n"/>
    </row>
    <row r="471" ht="15.75" customHeight="1" s="95">
      <c r="A471" s="97" t="inlineStr">
        <is>
          <t>anonymus0470</t>
        </is>
      </c>
      <c r="B471" s="97" t="inlineStr">
        <is>
          <t>P</t>
        </is>
      </c>
      <c r="C471" s="97" t="inlineStr">
        <is>
          <t>1-34 Bulan</t>
        </is>
      </c>
      <c r="D471" s="97" t="inlineStr">
        <is>
          <t>13.4</t>
        </is>
      </c>
      <c r="E471" s="97" t="n">
        <v>96</v>
      </c>
      <c r="F471" s="97" t="inlineStr">
        <is>
          <t>Normal</t>
        </is>
      </c>
      <c r="G471" s="97" t="inlineStr">
        <is>
          <t>Normal</t>
        </is>
      </c>
      <c r="H471" s="106" t="inlineStr">
        <is>
          <t>Gizi Baik</t>
        </is>
      </c>
      <c r="I471" s="97" t="inlineStr">
        <is>
          <t>Ya</t>
        </is>
      </c>
      <c r="J471" s="97" t="inlineStr">
        <is>
          <t>Tidak</t>
        </is>
      </c>
      <c r="K471" s="107" t="n"/>
    </row>
    <row r="472" ht="15.75" customHeight="1" s="95">
      <c r="A472" s="97" t="inlineStr">
        <is>
          <t>anonymus0471</t>
        </is>
      </c>
      <c r="B472" s="97" t="inlineStr">
        <is>
          <t>P</t>
        </is>
      </c>
      <c r="C472" s="97" t="inlineStr">
        <is>
          <t>35-69 Bulan</t>
        </is>
      </c>
      <c r="D472" s="97" t="n">
        <v>16</v>
      </c>
      <c r="E472" s="97" t="n">
        <v>103</v>
      </c>
      <c r="F472" s="97" t="inlineStr">
        <is>
          <t>Normal</t>
        </is>
      </c>
      <c r="G472" s="97" t="inlineStr">
        <is>
          <t>Normal</t>
        </is>
      </c>
      <c r="H472" s="106" t="inlineStr">
        <is>
          <t>Gizi Baik</t>
        </is>
      </c>
      <c r="I472" s="97" t="inlineStr">
        <is>
          <t>Ya</t>
        </is>
      </c>
      <c r="J472" s="97" t="inlineStr">
        <is>
          <t>Tidak</t>
        </is>
      </c>
      <c r="K472" s="107" t="n"/>
    </row>
    <row r="473" ht="15.75" customHeight="1" s="95">
      <c r="A473" s="97" t="inlineStr">
        <is>
          <t>anonymus0472</t>
        </is>
      </c>
      <c r="B473" s="97" t="inlineStr">
        <is>
          <t>P</t>
        </is>
      </c>
      <c r="C473" s="97" t="inlineStr">
        <is>
          <t>35-69 Bulan</t>
        </is>
      </c>
      <c r="D473" s="97" t="inlineStr">
        <is>
          <t>16.1</t>
        </is>
      </c>
      <c r="E473" s="97" t="n">
        <v>100</v>
      </c>
      <c r="F473" s="97" t="inlineStr">
        <is>
          <t>Normal</t>
        </is>
      </c>
      <c r="G473" s="97" t="inlineStr">
        <is>
          <t>Normal</t>
        </is>
      </c>
      <c r="H473" s="106" t="inlineStr">
        <is>
          <t>Gizi Baik</t>
        </is>
      </c>
      <c r="I473" s="97" t="inlineStr">
        <is>
          <t>Ya</t>
        </is>
      </c>
      <c r="J473" s="97" t="inlineStr">
        <is>
          <t>Tidak</t>
        </is>
      </c>
      <c r="K473" s="107" t="n"/>
    </row>
    <row r="474" ht="15.75" customHeight="1" s="95">
      <c r="A474" s="97" t="inlineStr">
        <is>
          <t>anonymus0473</t>
        </is>
      </c>
      <c r="B474" s="97" t="inlineStr">
        <is>
          <t>L</t>
        </is>
      </c>
      <c r="C474" s="97" t="inlineStr">
        <is>
          <t>35-69 Bulan</t>
        </is>
      </c>
      <c r="D474" s="97" t="n">
        <v>10.1</v>
      </c>
      <c r="E474" s="97" t="n">
        <v>98</v>
      </c>
      <c r="F474" s="97" t="inlineStr">
        <is>
          <t>Normal</t>
        </is>
      </c>
      <c r="G474" s="97" t="inlineStr">
        <is>
          <t>Normal</t>
        </is>
      </c>
      <c r="H474" s="106" t="inlineStr">
        <is>
          <t>Gizi Baik</t>
        </is>
      </c>
      <c r="I474" s="97" t="inlineStr">
        <is>
          <t>Ya</t>
        </is>
      </c>
      <c r="J474" s="97" t="inlineStr">
        <is>
          <t>Tidak</t>
        </is>
      </c>
      <c r="K474" s="107" t="n"/>
    </row>
    <row r="475" ht="15.75" customHeight="1" s="95">
      <c r="A475" s="97" t="inlineStr">
        <is>
          <t>anonymus0474</t>
        </is>
      </c>
      <c r="B475" s="97" t="inlineStr">
        <is>
          <t>L</t>
        </is>
      </c>
      <c r="C475" s="97" t="inlineStr">
        <is>
          <t>35-69 Bulan</t>
        </is>
      </c>
      <c r="D475" s="97" t="inlineStr">
        <is>
          <t>14.7</t>
        </is>
      </c>
      <c r="E475" s="97" t="n">
        <v>97</v>
      </c>
      <c r="F475" s="97" t="inlineStr">
        <is>
          <t>Normal</t>
        </is>
      </c>
      <c r="G475" s="97" t="inlineStr">
        <is>
          <t>Normal</t>
        </is>
      </c>
      <c r="H475" s="106" t="inlineStr">
        <is>
          <t>Gizi Baik</t>
        </is>
      </c>
      <c r="I475" s="97" t="inlineStr">
        <is>
          <t>Ya</t>
        </is>
      </c>
      <c r="J475" s="97" t="inlineStr">
        <is>
          <t>Tidak</t>
        </is>
      </c>
      <c r="K475" s="107" t="n"/>
    </row>
    <row r="476" ht="15.75" customHeight="1" s="95">
      <c r="A476" s="97" t="inlineStr">
        <is>
          <t>anonymus0475</t>
        </is>
      </c>
      <c r="B476" s="97" t="inlineStr">
        <is>
          <t>P</t>
        </is>
      </c>
      <c r="C476" s="97" t="inlineStr">
        <is>
          <t>35-69 Bulan</t>
        </is>
      </c>
      <c r="D476" s="97" t="n">
        <v>16.5</v>
      </c>
      <c r="E476" s="97" t="n">
        <v>96</v>
      </c>
      <c r="F476" s="97" t="inlineStr">
        <is>
          <t>Normal</t>
        </is>
      </c>
      <c r="G476" s="97" t="inlineStr">
        <is>
          <t>Normal</t>
        </is>
      </c>
      <c r="H476" s="106" t="inlineStr">
        <is>
          <t>Gizi Baik</t>
        </is>
      </c>
      <c r="I476" s="97" t="inlineStr">
        <is>
          <t>Ya</t>
        </is>
      </c>
      <c r="J476" s="97" t="inlineStr">
        <is>
          <t>Tidak</t>
        </is>
      </c>
      <c r="K476" s="107" t="n"/>
    </row>
    <row r="477" ht="15.75" customHeight="1" s="95">
      <c r="A477" s="97" t="inlineStr">
        <is>
          <t>anonymus0476</t>
        </is>
      </c>
      <c r="B477" s="97" t="inlineStr">
        <is>
          <t>P</t>
        </is>
      </c>
      <c r="C477" s="97" t="inlineStr">
        <is>
          <t>35-69 Bulan</t>
        </is>
      </c>
      <c r="D477" s="97" t="n">
        <v>13.6</v>
      </c>
      <c r="E477" s="97" t="n">
        <v>89</v>
      </c>
      <c r="F477" s="97" t="inlineStr">
        <is>
          <t>Normal</t>
        </is>
      </c>
      <c r="G477" s="97" t="inlineStr">
        <is>
          <t>Pendek</t>
        </is>
      </c>
      <c r="H477" s="106" t="inlineStr">
        <is>
          <t>Risiko Gizi Lebih</t>
        </is>
      </c>
      <c r="I477" s="97" t="inlineStr">
        <is>
          <t>Ya</t>
        </is>
      </c>
      <c r="J477" s="97" t="inlineStr">
        <is>
          <t>Potensi Stunting</t>
        </is>
      </c>
      <c r="K477" s="107" t="n"/>
    </row>
    <row r="478" ht="15.75" customHeight="1" s="95">
      <c r="A478" s="97" t="inlineStr">
        <is>
          <t>anonymus0477</t>
        </is>
      </c>
      <c r="B478" s="97" t="inlineStr">
        <is>
          <t>P</t>
        </is>
      </c>
      <c r="C478" s="97" t="inlineStr">
        <is>
          <t>35-69 Bulan</t>
        </is>
      </c>
      <c r="D478" s="97" t="n">
        <v>13.2</v>
      </c>
      <c r="E478" s="97" t="n">
        <v>119</v>
      </c>
      <c r="F478" s="97" t="inlineStr">
        <is>
          <t>Normal</t>
        </is>
      </c>
      <c r="G478" s="97" t="inlineStr">
        <is>
          <t>Normal</t>
        </is>
      </c>
      <c r="H478" s="106" t="inlineStr">
        <is>
          <t>Gizi Baik</t>
        </is>
      </c>
      <c r="I478" s="97" t="inlineStr">
        <is>
          <t>Ya</t>
        </is>
      </c>
      <c r="J478" s="97" t="inlineStr">
        <is>
          <t>Tidak</t>
        </is>
      </c>
      <c r="K478" s="107" t="n"/>
    </row>
    <row r="479" ht="15.75" customHeight="1" s="95">
      <c r="A479" s="97" t="inlineStr">
        <is>
          <t>anonymus0478</t>
        </is>
      </c>
      <c r="B479" s="97" t="inlineStr">
        <is>
          <t>P</t>
        </is>
      </c>
      <c r="C479" s="97" t="inlineStr">
        <is>
          <t>1-34 Bulan</t>
        </is>
      </c>
      <c r="D479" s="97" t="inlineStr">
        <is>
          <t>6.4</t>
        </is>
      </c>
      <c r="E479" s="97" t="n">
        <v>65</v>
      </c>
      <c r="F479" s="97" t="inlineStr">
        <is>
          <t>Normal</t>
        </is>
      </c>
      <c r="G479" s="97" t="inlineStr">
        <is>
          <t>Normal</t>
        </is>
      </c>
      <c r="H479" s="106" t="inlineStr">
        <is>
          <t>Gizi Baik</t>
        </is>
      </c>
      <c r="I479" s="97" t="inlineStr">
        <is>
          <t>Ya</t>
        </is>
      </c>
      <c r="J479" s="97" t="inlineStr">
        <is>
          <t>Tidak</t>
        </is>
      </c>
      <c r="K479" s="107" t="n"/>
    </row>
    <row r="480" ht="15.75" customHeight="1" s="95">
      <c r="A480" s="97" t="inlineStr">
        <is>
          <t>anonymus0479</t>
        </is>
      </c>
      <c r="B480" s="97" t="inlineStr">
        <is>
          <t>P</t>
        </is>
      </c>
      <c r="C480" s="97" t="inlineStr">
        <is>
          <t>35-69 Bulan</t>
        </is>
      </c>
      <c r="D480" s="97" t="n">
        <v>10.5</v>
      </c>
      <c r="E480" s="97" t="n">
        <v>90</v>
      </c>
      <c r="F480" s="97" t="inlineStr">
        <is>
          <t>Kurang</t>
        </is>
      </c>
      <c r="G480" s="97" t="inlineStr">
        <is>
          <t>Normal</t>
        </is>
      </c>
      <c r="H480" s="106" t="inlineStr">
        <is>
          <t>Gizi Kurang</t>
        </is>
      </c>
      <c r="I480" s="97" t="inlineStr">
        <is>
          <t>Ya</t>
        </is>
      </c>
      <c r="J480" s="97" t="inlineStr">
        <is>
          <t>Tidak</t>
        </is>
      </c>
      <c r="K480" s="107" t="n"/>
    </row>
    <row r="481" ht="15.75" customHeight="1" s="95">
      <c r="A481" s="97" t="inlineStr">
        <is>
          <t>anonymus0480</t>
        </is>
      </c>
      <c r="B481" s="97" t="inlineStr">
        <is>
          <t>P</t>
        </is>
      </c>
      <c r="C481" s="97" t="inlineStr">
        <is>
          <t>1-34 Bulan</t>
        </is>
      </c>
      <c r="D481" s="97" t="inlineStr">
        <is>
          <t>7.5</t>
        </is>
      </c>
      <c r="E481" s="97" t="n">
        <v>70</v>
      </c>
      <c r="F481" s="97" t="inlineStr">
        <is>
          <t>Normal</t>
        </is>
      </c>
      <c r="G481" s="97" t="inlineStr">
        <is>
          <t>Pendek</t>
        </is>
      </c>
      <c r="H481" s="106" t="inlineStr">
        <is>
          <t>Gizi Baik</t>
        </is>
      </c>
      <c r="I481" s="97" t="inlineStr">
        <is>
          <t>Ya</t>
        </is>
      </c>
      <c r="J481" s="97" t="inlineStr">
        <is>
          <t>Potensi Stunting</t>
        </is>
      </c>
      <c r="K481" s="107" t="n"/>
    </row>
    <row r="482" ht="15.75" customHeight="1" s="95">
      <c r="A482" s="97" t="inlineStr">
        <is>
          <t>anonymus0481</t>
        </is>
      </c>
      <c r="B482" s="97" t="inlineStr">
        <is>
          <t>P</t>
        </is>
      </c>
      <c r="C482" s="97" t="inlineStr">
        <is>
          <t>35-69 Bulan</t>
        </is>
      </c>
      <c r="D482" s="97" t="n">
        <v>12.5</v>
      </c>
      <c r="E482" s="97" t="n">
        <v>99.3</v>
      </c>
      <c r="F482" s="97" t="inlineStr">
        <is>
          <t>Kurang</t>
        </is>
      </c>
      <c r="G482" s="97" t="inlineStr">
        <is>
          <t>Normal</t>
        </is>
      </c>
      <c r="H482" s="106" t="inlineStr">
        <is>
          <t>Gizi Kurang</t>
        </is>
      </c>
      <c r="I482" s="97" t="inlineStr">
        <is>
          <t>Ya</t>
        </is>
      </c>
      <c r="J482" s="97" t="inlineStr">
        <is>
          <t>Tidak</t>
        </is>
      </c>
      <c r="K482" s="107" t="n"/>
    </row>
    <row r="483" ht="15.75" customHeight="1" s="95">
      <c r="A483" s="97" t="inlineStr">
        <is>
          <t>anonymus0482</t>
        </is>
      </c>
      <c r="B483" s="97" t="inlineStr">
        <is>
          <t>P</t>
        </is>
      </c>
      <c r="C483" s="97" t="inlineStr">
        <is>
          <t>35-69 Bulan</t>
        </is>
      </c>
      <c r="D483" s="97" t="inlineStr">
        <is>
          <t>12.7</t>
        </is>
      </c>
      <c r="E483" s="97" t="n">
        <v>97</v>
      </c>
      <c r="F483" s="97" t="inlineStr">
        <is>
          <t>Normal</t>
        </is>
      </c>
      <c r="G483" s="97" t="inlineStr">
        <is>
          <t>Normal</t>
        </is>
      </c>
      <c r="H483" s="106" t="inlineStr">
        <is>
          <t>Gizi Baik</t>
        </is>
      </c>
      <c r="I483" s="97" t="inlineStr">
        <is>
          <t>Ya</t>
        </is>
      </c>
      <c r="J483" s="97" t="inlineStr">
        <is>
          <t>Tidak</t>
        </is>
      </c>
      <c r="K483" s="107" t="n"/>
    </row>
    <row r="484" ht="15.75" customHeight="1" s="95">
      <c r="A484" s="97" t="inlineStr">
        <is>
          <t>anonymus0483</t>
        </is>
      </c>
      <c r="B484" s="97" t="inlineStr">
        <is>
          <t>P</t>
        </is>
      </c>
      <c r="C484" s="97" t="inlineStr">
        <is>
          <t>35-69 Bulan</t>
        </is>
      </c>
      <c r="D484" s="97" t="n">
        <v>11.7</v>
      </c>
      <c r="E484" s="97" t="n">
        <v>102</v>
      </c>
      <c r="F484" s="97" t="inlineStr">
        <is>
          <t>Normal</t>
        </is>
      </c>
      <c r="G484" s="97" t="inlineStr">
        <is>
          <t>Normal</t>
        </is>
      </c>
      <c r="H484" s="106" t="inlineStr">
        <is>
          <t>Gizi Baik</t>
        </is>
      </c>
      <c r="I484" s="97" t="inlineStr">
        <is>
          <t>Ya</t>
        </is>
      </c>
      <c r="J484" s="97" t="inlineStr">
        <is>
          <t>Tidak</t>
        </is>
      </c>
      <c r="K484" s="107" t="n"/>
    </row>
    <row r="485" ht="15.75" customHeight="1" s="95">
      <c r="A485" s="97" t="inlineStr">
        <is>
          <t>anonymus0484</t>
        </is>
      </c>
      <c r="B485" s="97" t="inlineStr">
        <is>
          <t>L</t>
        </is>
      </c>
      <c r="C485" s="97" t="inlineStr">
        <is>
          <t>1-34 Bulan</t>
        </is>
      </c>
      <c r="D485" s="97" t="n">
        <v>11</v>
      </c>
      <c r="E485" s="97" t="n">
        <v>81</v>
      </c>
      <c r="F485" s="97" t="inlineStr">
        <is>
          <t>Normal</t>
        </is>
      </c>
      <c r="G485" s="97" t="inlineStr">
        <is>
          <t>Normal</t>
        </is>
      </c>
      <c r="H485" s="106" t="inlineStr">
        <is>
          <t>Gizi Baik</t>
        </is>
      </c>
      <c r="I485" s="97" t="inlineStr">
        <is>
          <t>Ya</t>
        </is>
      </c>
      <c r="J485" s="97" t="inlineStr">
        <is>
          <t>Tidak</t>
        </is>
      </c>
      <c r="K485" s="107" t="n"/>
    </row>
    <row r="486" ht="15.75" customHeight="1" s="95">
      <c r="A486" s="97" t="inlineStr">
        <is>
          <t>anonymus0485</t>
        </is>
      </c>
      <c r="B486" s="97" t="inlineStr">
        <is>
          <t>P</t>
        </is>
      </c>
      <c r="C486" s="97" t="inlineStr">
        <is>
          <t>35-69 Bulan</t>
        </is>
      </c>
      <c r="D486" s="97" t="n">
        <v>17.5</v>
      </c>
      <c r="E486" s="97" t="n">
        <v>113</v>
      </c>
      <c r="F486" s="97" t="inlineStr">
        <is>
          <t>Risiko Lebih</t>
        </is>
      </c>
      <c r="G486" s="97" t="inlineStr">
        <is>
          <t>Normal</t>
        </is>
      </c>
      <c r="H486" s="106" t="inlineStr">
        <is>
          <t>Gizi Lebih</t>
        </is>
      </c>
      <c r="I486" s="97" t="inlineStr">
        <is>
          <t>Ya</t>
        </is>
      </c>
      <c r="J486" s="97" t="inlineStr">
        <is>
          <t>Tidak</t>
        </is>
      </c>
      <c r="K486" s="107" t="n"/>
    </row>
    <row r="487" ht="15.75" customHeight="1" s="95">
      <c r="A487" s="97" t="inlineStr">
        <is>
          <t>anonymus0486</t>
        </is>
      </c>
      <c r="B487" s="97" t="inlineStr">
        <is>
          <t>P</t>
        </is>
      </c>
      <c r="C487" s="97" t="inlineStr">
        <is>
          <t>1-34 Bulan</t>
        </is>
      </c>
      <c r="D487" s="97" t="n">
        <v>6.4</v>
      </c>
      <c r="E487" s="97" t="n">
        <v>95</v>
      </c>
      <c r="F487" s="97" t="inlineStr">
        <is>
          <t>Kurang</t>
        </is>
      </c>
      <c r="G487" s="97" t="inlineStr">
        <is>
          <t>Normal</t>
        </is>
      </c>
      <c r="H487" s="106" t="inlineStr">
        <is>
          <t>Gizi Kurang</t>
        </is>
      </c>
      <c r="I487" s="97" t="inlineStr">
        <is>
          <t>Ya</t>
        </is>
      </c>
      <c r="J487" s="97" t="inlineStr">
        <is>
          <t>Tidak</t>
        </is>
      </c>
      <c r="K487" s="107" t="n"/>
    </row>
    <row r="488" ht="15.75" customHeight="1" s="95">
      <c r="A488" s="97" t="inlineStr">
        <is>
          <t>anonymus0487</t>
        </is>
      </c>
      <c r="B488" s="97" t="inlineStr">
        <is>
          <t>P</t>
        </is>
      </c>
      <c r="C488" s="97" t="inlineStr">
        <is>
          <t>1-34 Bulan</t>
        </is>
      </c>
      <c r="D488" s="97" t="inlineStr">
        <is>
          <t>9.3</t>
        </is>
      </c>
      <c r="E488" s="97" t="n">
        <v>76</v>
      </c>
      <c r="F488" s="97" t="inlineStr">
        <is>
          <t>Normal</t>
        </is>
      </c>
      <c r="G488" s="97" t="inlineStr">
        <is>
          <t>Normal</t>
        </is>
      </c>
      <c r="H488" s="106" t="inlineStr">
        <is>
          <t>Gizi Baik</t>
        </is>
      </c>
      <c r="I488" s="97" t="inlineStr">
        <is>
          <t>Ya</t>
        </is>
      </c>
      <c r="J488" s="97" t="inlineStr">
        <is>
          <t>Tidak</t>
        </is>
      </c>
      <c r="K488" s="107" t="n"/>
    </row>
    <row r="489" ht="15.75" customHeight="1" s="95">
      <c r="A489" s="97" t="inlineStr">
        <is>
          <t>anonymus0488</t>
        </is>
      </c>
      <c r="B489" s="97" t="inlineStr">
        <is>
          <t>P</t>
        </is>
      </c>
      <c r="C489" s="97" t="inlineStr">
        <is>
          <t>35-69 Bulan</t>
        </is>
      </c>
      <c r="D489" s="97" t="n">
        <v>15</v>
      </c>
      <c r="E489" s="97" t="n">
        <v>96</v>
      </c>
      <c r="F489" s="97" t="inlineStr">
        <is>
          <t>Normal</t>
        </is>
      </c>
      <c r="G489" s="97" t="inlineStr">
        <is>
          <t>Normal</t>
        </is>
      </c>
      <c r="H489" s="106" t="inlineStr">
        <is>
          <t>Gizi Baik</t>
        </is>
      </c>
      <c r="I489" s="97" t="inlineStr">
        <is>
          <t>Ya</t>
        </is>
      </c>
      <c r="J489" s="97" t="inlineStr">
        <is>
          <t>Tidak</t>
        </is>
      </c>
      <c r="K489" s="107" t="n"/>
    </row>
    <row r="490" ht="15.75" customHeight="1" s="95">
      <c r="A490" s="97" t="inlineStr">
        <is>
          <t>anonymus0489</t>
        </is>
      </c>
      <c r="B490" s="97" t="inlineStr">
        <is>
          <t>L</t>
        </is>
      </c>
      <c r="C490" s="97" t="inlineStr">
        <is>
          <t>1-34 Bulan</t>
        </is>
      </c>
      <c r="D490" s="97" t="n">
        <v>7.7</v>
      </c>
      <c r="E490" s="97" t="n">
        <v>96</v>
      </c>
      <c r="F490" s="97" t="inlineStr">
        <is>
          <t>Kurang</t>
        </is>
      </c>
      <c r="G490" s="97" t="inlineStr">
        <is>
          <t>Normal</t>
        </is>
      </c>
      <c r="H490" s="106" t="inlineStr">
        <is>
          <t>Gizi Kurang</t>
        </is>
      </c>
      <c r="I490" s="97" t="inlineStr">
        <is>
          <t>Ya</t>
        </is>
      </c>
      <c r="J490" s="97" t="inlineStr">
        <is>
          <t>Tidak</t>
        </is>
      </c>
      <c r="K490" s="107" t="n"/>
    </row>
    <row r="491" ht="15.75" customHeight="1" s="95">
      <c r="A491" s="97" t="inlineStr">
        <is>
          <t>anonymus0490</t>
        </is>
      </c>
      <c r="B491" s="97" t="inlineStr">
        <is>
          <t>P</t>
        </is>
      </c>
      <c r="C491" s="97" t="inlineStr">
        <is>
          <t>35-69 Bulan</t>
        </is>
      </c>
      <c r="D491" s="97" t="n">
        <v>11</v>
      </c>
      <c r="E491" s="97" t="n">
        <v>85</v>
      </c>
      <c r="F491" s="97" t="inlineStr">
        <is>
          <t>Normal</t>
        </is>
      </c>
      <c r="G491" s="97" t="inlineStr">
        <is>
          <t>Pendek</t>
        </is>
      </c>
      <c r="H491" s="106" t="inlineStr">
        <is>
          <t>Gizi Baik</t>
        </is>
      </c>
      <c r="I491" s="97" t="inlineStr">
        <is>
          <t>Ya</t>
        </is>
      </c>
      <c r="J491" s="97" t="inlineStr">
        <is>
          <t>Potensi Stunting</t>
        </is>
      </c>
      <c r="K491" s="107" t="n"/>
    </row>
    <row r="492" ht="15.75" customHeight="1" s="95">
      <c r="A492" s="97" t="inlineStr">
        <is>
          <t>anonymus0491</t>
        </is>
      </c>
      <c r="B492" s="97" t="inlineStr">
        <is>
          <t>P</t>
        </is>
      </c>
      <c r="C492" s="97" t="inlineStr">
        <is>
          <t>1-34 Bulan</t>
        </is>
      </c>
      <c r="D492" s="97" t="inlineStr">
        <is>
          <t>8.9</t>
        </is>
      </c>
      <c r="E492" s="97" t="n">
        <v>72</v>
      </c>
      <c r="F492" s="97" t="inlineStr">
        <is>
          <t>Normal</t>
        </is>
      </c>
      <c r="G492" s="97" t="inlineStr">
        <is>
          <t>Normal</t>
        </is>
      </c>
      <c r="H492" s="106" t="inlineStr">
        <is>
          <t>Gizi Baik</t>
        </is>
      </c>
      <c r="I492" s="97" t="inlineStr">
        <is>
          <t>Ya</t>
        </is>
      </c>
      <c r="J492" s="97" t="inlineStr">
        <is>
          <t>Tidak</t>
        </is>
      </c>
      <c r="K492" s="107" t="n"/>
    </row>
    <row r="493" ht="15.75" customHeight="1" s="95">
      <c r="A493" s="97" t="inlineStr">
        <is>
          <t>anonymus0492</t>
        </is>
      </c>
      <c r="B493" s="97" t="inlineStr">
        <is>
          <t>P</t>
        </is>
      </c>
      <c r="C493" s="97" t="inlineStr">
        <is>
          <t>1-34 Bulan</t>
        </is>
      </c>
      <c r="D493" s="97" t="n">
        <v>12.4</v>
      </c>
      <c r="E493" s="97" t="n">
        <v>99</v>
      </c>
      <c r="F493" s="97" t="inlineStr">
        <is>
          <t>Normal</t>
        </is>
      </c>
      <c r="G493" s="97" t="inlineStr">
        <is>
          <t>Normal</t>
        </is>
      </c>
      <c r="H493" s="106" t="inlineStr">
        <is>
          <t>Gizi Baik</t>
        </is>
      </c>
      <c r="I493" s="97" t="inlineStr">
        <is>
          <t>Ya</t>
        </is>
      </c>
      <c r="J493" s="97" t="inlineStr">
        <is>
          <t>Tidak</t>
        </is>
      </c>
      <c r="K493" s="107" t="n"/>
    </row>
    <row r="494" ht="15.75" customHeight="1" s="95">
      <c r="A494" s="97" t="inlineStr">
        <is>
          <t>anonymus0493</t>
        </is>
      </c>
      <c r="B494" s="97" t="inlineStr">
        <is>
          <t>L</t>
        </is>
      </c>
      <c r="C494" s="97" t="inlineStr">
        <is>
          <t>35-69 Bulan</t>
        </is>
      </c>
      <c r="D494" s="97" t="n">
        <v>17.8</v>
      </c>
      <c r="E494" s="97" t="n">
        <v>118</v>
      </c>
      <c r="F494" s="97" t="inlineStr">
        <is>
          <t>Risiko Lebih</t>
        </is>
      </c>
      <c r="G494" s="97" t="inlineStr">
        <is>
          <t>Normal</t>
        </is>
      </c>
      <c r="H494" s="106" t="inlineStr">
        <is>
          <t>Gizi Lebih</t>
        </is>
      </c>
      <c r="I494" s="97" t="inlineStr">
        <is>
          <t>Ya</t>
        </is>
      </c>
      <c r="J494" s="97" t="inlineStr">
        <is>
          <t>Tidak</t>
        </is>
      </c>
      <c r="K494" s="107" t="n"/>
    </row>
    <row r="495" ht="15.75" customHeight="1" s="95">
      <c r="A495" s="97" t="inlineStr">
        <is>
          <t>anonymus0494</t>
        </is>
      </c>
      <c r="B495" s="97" t="inlineStr">
        <is>
          <t>P</t>
        </is>
      </c>
      <c r="C495" s="97" t="inlineStr">
        <is>
          <t>35-69 Bulan</t>
        </is>
      </c>
      <c r="D495" s="97" t="n">
        <v>13</v>
      </c>
      <c r="E495" s="97" t="n">
        <v>97</v>
      </c>
      <c r="F495" s="97" t="inlineStr">
        <is>
          <t>Normal</t>
        </is>
      </c>
      <c r="G495" s="97" t="inlineStr">
        <is>
          <t>Normal</t>
        </is>
      </c>
      <c r="H495" s="106" t="inlineStr">
        <is>
          <t>Gizi Baik</t>
        </is>
      </c>
      <c r="I495" s="97" t="inlineStr">
        <is>
          <t>Ya</t>
        </is>
      </c>
      <c r="J495" s="97" t="inlineStr">
        <is>
          <t>Tidak</t>
        </is>
      </c>
      <c r="K495" s="107" t="n"/>
    </row>
    <row r="496" ht="15.75" customHeight="1" s="95">
      <c r="A496" s="97" t="inlineStr">
        <is>
          <t>anonymus0495</t>
        </is>
      </c>
      <c r="B496" s="97" t="inlineStr">
        <is>
          <t>P</t>
        </is>
      </c>
      <c r="C496" s="97" t="inlineStr">
        <is>
          <t>1-34 Bulan</t>
        </is>
      </c>
      <c r="D496" s="97" t="n">
        <v>12.3</v>
      </c>
      <c r="E496" s="97" t="n">
        <v>91</v>
      </c>
      <c r="F496" s="97" t="inlineStr">
        <is>
          <t>Normal</t>
        </is>
      </c>
      <c r="G496" s="97" t="inlineStr">
        <is>
          <t>Normal</t>
        </is>
      </c>
      <c r="H496" s="106" t="inlineStr">
        <is>
          <t>Gizi Baik</t>
        </is>
      </c>
      <c r="I496" s="97" t="inlineStr">
        <is>
          <t>Ya</t>
        </is>
      </c>
      <c r="J496" s="97" t="inlineStr">
        <is>
          <t>Tidak</t>
        </is>
      </c>
      <c r="K496" s="107" t="n"/>
    </row>
    <row r="497" ht="15.75" customHeight="1" s="95">
      <c r="A497" s="97" t="inlineStr">
        <is>
          <t>anonymus0496</t>
        </is>
      </c>
      <c r="B497" s="97" t="inlineStr">
        <is>
          <t>L</t>
        </is>
      </c>
      <c r="C497" s="97" t="inlineStr">
        <is>
          <t>35-69 Bulan</t>
        </is>
      </c>
      <c r="D497" s="97" t="inlineStr">
        <is>
          <t>19.8</t>
        </is>
      </c>
      <c r="E497" s="97" t="n">
        <v>105</v>
      </c>
      <c r="F497" s="97" t="inlineStr">
        <is>
          <t>Normal</t>
        </is>
      </c>
      <c r="G497" s="97" t="inlineStr">
        <is>
          <t>Normal</t>
        </is>
      </c>
      <c r="H497" s="106" t="inlineStr">
        <is>
          <t>Risiko Gizi Lebih</t>
        </is>
      </c>
      <c r="I497" s="97" t="inlineStr">
        <is>
          <t>Ya</t>
        </is>
      </c>
      <c r="J497" s="97" t="inlineStr">
        <is>
          <t>Tidak</t>
        </is>
      </c>
      <c r="K497" s="107" t="n"/>
    </row>
    <row r="498" ht="15.75" customHeight="1" s="95">
      <c r="A498" s="97" t="inlineStr">
        <is>
          <t>anonymus0497</t>
        </is>
      </c>
      <c r="B498" s="97" t="inlineStr">
        <is>
          <t>P</t>
        </is>
      </c>
      <c r="C498" s="97" t="inlineStr">
        <is>
          <t>35-69 Bulan</t>
        </is>
      </c>
      <c r="D498" s="97" t="n">
        <v>11.7</v>
      </c>
      <c r="E498" s="97" t="n">
        <v>80</v>
      </c>
      <c r="F498" s="97" t="inlineStr">
        <is>
          <t>Normal</t>
        </is>
      </c>
      <c r="G498" s="97" t="inlineStr">
        <is>
          <t>Pendek</t>
        </is>
      </c>
      <c r="H498" s="106" t="inlineStr">
        <is>
          <t>Risiko Gizi Lebih</t>
        </is>
      </c>
      <c r="I498" s="97" t="inlineStr">
        <is>
          <t>Ya</t>
        </is>
      </c>
      <c r="J498" s="97" t="inlineStr">
        <is>
          <t>Potensi Stunting</t>
        </is>
      </c>
      <c r="K498" s="107" t="n"/>
    </row>
    <row r="499" ht="15.75" customHeight="1" s="95">
      <c r="A499" s="97" t="inlineStr">
        <is>
          <t>anonymus0498</t>
        </is>
      </c>
      <c r="B499" s="97" t="inlineStr">
        <is>
          <t>L</t>
        </is>
      </c>
      <c r="C499" s="97" t="inlineStr">
        <is>
          <t>35-69 Bulan</t>
        </is>
      </c>
      <c r="D499" s="97" t="n">
        <v>10</v>
      </c>
      <c r="E499" s="97" t="n">
        <v>101</v>
      </c>
      <c r="F499" s="97" t="inlineStr">
        <is>
          <t>Normal</t>
        </is>
      </c>
      <c r="G499" s="97" t="inlineStr">
        <is>
          <t>Normal</t>
        </is>
      </c>
      <c r="H499" s="106" t="inlineStr">
        <is>
          <t>Gizi Baik</t>
        </is>
      </c>
      <c r="I499" s="97" t="inlineStr">
        <is>
          <t>Ya</t>
        </is>
      </c>
      <c r="J499" s="97" t="inlineStr">
        <is>
          <t>Tidak</t>
        </is>
      </c>
      <c r="K499" s="107" t="n"/>
    </row>
    <row r="500" ht="15.75" customHeight="1" s="95">
      <c r="A500" s="97" t="inlineStr">
        <is>
          <t>anonymus0499</t>
        </is>
      </c>
      <c r="B500" s="97" t="inlineStr">
        <is>
          <t>P</t>
        </is>
      </c>
      <c r="C500" s="97" t="inlineStr">
        <is>
          <t>35-69 Bulan</t>
        </is>
      </c>
      <c r="D500" s="97" t="n">
        <v>11.6</v>
      </c>
      <c r="E500" s="97" t="n">
        <v>86.5</v>
      </c>
      <c r="F500" s="97" t="inlineStr">
        <is>
          <t>Sangat Kurang</t>
        </is>
      </c>
      <c r="G500" s="97" t="inlineStr">
        <is>
          <t>Sangat Pendek</t>
        </is>
      </c>
      <c r="H500" s="106" t="inlineStr">
        <is>
          <t>Gizi Baik</t>
        </is>
      </c>
      <c r="I500" s="97" t="inlineStr">
        <is>
          <t>Ya</t>
        </is>
      </c>
      <c r="J500" s="97" t="inlineStr">
        <is>
          <t>Stunting</t>
        </is>
      </c>
      <c r="K500" s="107" t="n"/>
    </row>
    <row r="501" ht="15.75" customHeight="1" s="95">
      <c r="A501" s="97" t="inlineStr">
        <is>
          <t>anonymus0500</t>
        </is>
      </c>
      <c r="B501" s="97" t="inlineStr">
        <is>
          <t>L</t>
        </is>
      </c>
      <c r="C501" s="97" t="inlineStr">
        <is>
          <t>1-34 Bulan</t>
        </is>
      </c>
      <c r="D501" s="97" t="n">
        <v>10.8</v>
      </c>
      <c r="E501" s="97" t="n">
        <v>91</v>
      </c>
      <c r="F501" s="97" t="inlineStr">
        <is>
          <t>Normal</t>
        </is>
      </c>
      <c r="G501" s="97" t="inlineStr">
        <is>
          <t>Normal</t>
        </is>
      </c>
      <c r="H501" s="106" t="inlineStr">
        <is>
          <t>Gizi Baik</t>
        </is>
      </c>
      <c r="I501" s="97" t="inlineStr">
        <is>
          <t>Ya</t>
        </is>
      </c>
      <c r="J501" s="97" t="inlineStr">
        <is>
          <t>Tidak</t>
        </is>
      </c>
      <c r="K501" s="107" t="n"/>
    </row>
    <row r="502" ht="15.75" customHeight="1" s="95">
      <c r="A502" s="97" t="inlineStr">
        <is>
          <t>anonymus0501</t>
        </is>
      </c>
      <c r="B502" s="97" t="inlineStr">
        <is>
          <t>L</t>
        </is>
      </c>
      <c r="C502" s="97" t="inlineStr">
        <is>
          <t>35-69 Bulan</t>
        </is>
      </c>
      <c r="D502" s="97" t="n">
        <v>14.8</v>
      </c>
      <c r="E502" s="97" t="n">
        <v>90</v>
      </c>
      <c r="F502" s="97" t="inlineStr">
        <is>
          <t>Normal</t>
        </is>
      </c>
      <c r="G502" s="97" t="inlineStr">
        <is>
          <t>Pendek</t>
        </is>
      </c>
      <c r="H502" s="106" t="inlineStr">
        <is>
          <t>Risiko Gizi Lebih</t>
        </is>
      </c>
      <c r="I502" s="97" t="inlineStr">
        <is>
          <t>Ya</t>
        </is>
      </c>
      <c r="J502" s="97" t="inlineStr">
        <is>
          <t>Potensi Stunting</t>
        </is>
      </c>
      <c r="K502" s="107" t="n"/>
    </row>
    <row r="503" ht="15.75" customHeight="1" s="95">
      <c r="A503" s="97" t="inlineStr">
        <is>
          <t>anonymus0502</t>
        </is>
      </c>
      <c r="B503" s="97" t="inlineStr">
        <is>
          <t>L</t>
        </is>
      </c>
      <c r="C503" s="97" t="inlineStr">
        <is>
          <t>35-69 Bulan</t>
        </is>
      </c>
      <c r="D503" s="97" t="n">
        <v>16.1</v>
      </c>
      <c r="E503" s="97" t="n">
        <v>92</v>
      </c>
      <c r="F503" s="97" t="inlineStr">
        <is>
          <t>Normal</t>
        </is>
      </c>
      <c r="G503" s="97" t="inlineStr">
        <is>
          <t>Normal</t>
        </is>
      </c>
      <c r="H503" s="106" t="inlineStr">
        <is>
          <t>Gizi Baik</t>
        </is>
      </c>
      <c r="I503" s="97" t="inlineStr">
        <is>
          <t>Ya</t>
        </is>
      </c>
      <c r="J503" s="97" t="inlineStr">
        <is>
          <t>Tidak</t>
        </is>
      </c>
      <c r="K503" s="107" t="n"/>
    </row>
    <row r="504" ht="15.75" customHeight="1" s="95">
      <c r="A504" s="97" t="inlineStr">
        <is>
          <t>anonymus0503</t>
        </is>
      </c>
      <c r="B504" s="97" t="inlineStr">
        <is>
          <t>P</t>
        </is>
      </c>
      <c r="C504" s="97" t="inlineStr">
        <is>
          <t>1-34 Bulan</t>
        </is>
      </c>
      <c r="D504" s="97" t="n">
        <v>7.6</v>
      </c>
      <c r="E504" s="97" t="n">
        <v>74</v>
      </c>
      <c r="F504" s="97" t="inlineStr">
        <is>
          <t>Kurang</t>
        </is>
      </c>
      <c r="G504" s="97" t="inlineStr">
        <is>
          <t>Pendek</t>
        </is>
      </c>
      <c r="H504" s="106" t="inlineStr">
        <is>
          <t>Gizi Baik</t>
        </is>
      </c>
      <c r="I504" s="97" t="inlineStr">
        <is>
          <t>Ya</t>
        </is>
      </c>
      <c r="J504" s="97" t="inlineStr">
        <is>
          <t>Potensi Stunting</t>
        </is>
      </c>
      <c r="K504" s="107" t="n"/>
    </row>
    <row r="505" ht="15.75" customHeight="1" s="95">
      <c r="A505" s="97" t="inlineStr">
        <is>
          <t>anonymus0504</t>
        </is>
      </c>
      <c r="B505" s="97" t="inlineStr">
        <is>
          <t>L</t>
        </is>
      </c>
      <c r="C505" s="97" t="inlineStr">
        <is>
          <t>1-34 Bulan</t>
        </is>
      </c>
      <c r="D505" s="97" t="inlineStr">
        <is>
          <t>12.7</t>
        </is>
      </c>
      <c r="E505" s="97" t="n">
        <v>84</v>
      </c>
      <c r="F505" s="97" t="inlineStr">
        <is>
          <t>Risiko Lebih</t>
        </is>
      </c>
      <c r="G505" s="97" t="inlineStr">
        <is>
          <t>Normal</t>
        </is>
      </c>
      <c r="H505" s="106" t="inlineStr">
        <is>
          <t>Risiko Gizi Lebih</t>
        </is>
      </c>
      <c r="I505" s="97" t="inlineStr">
        <is>
          <t>Ya</t>
        </is>
      </c>
      <c r="J505" s="97" t="inlineStr">
        <is>
          <t>Tidak</t>
        </is>
      </c>
      <c r="K505" s="107" t="n"/>
    </row>
    <row r="506" ht="15.75" customHeight="1" s="95">
      <c r="A506" s="97" t="inlineStr">
        <is>
          <t>anonymus0505</t>
        </is>
      </c>
      <c r="B506" s="97" t="inlineStr">
        <is>
          <t>P</t>
        </is>
      </c>
      <c r="C506" s="97" t="inlineStr">
        <is>
          <t>1-34 Bulan</t>
        </is>
      </c>
      <c r="D506" s="97" t="n">
        <v>11.4</v>
      </c>
      <c r="E506" s="97" t="n">
        <v>74</v>
      </c>
      <c r="F506" s="97" t="inlineStr">
        <is>
          <t>Normal</t>
        </is>
      </c>
      <c r="G506" s="97" t="inlineStr">
        <is>
          <t>Normal</t>
        </is>
      </c>
      <c r="H506" s="106" t="inlineStr">
        <is>
          <t>Gizi Baik</t>
        </is>
      </c>
      <c r="I506" s="97" t="inlineStr">
        <is>
          <t>Ya</t>
        </is>
      </c>
      <c r="J506" s="97" t="inlineStr">
        <is>
          <t>Tidak</t>
        </is>
      </c>
      <c r="K506" s="107" t="n"/>
    </row>
    <row r="507" ht="15.75" customHeight="1" s="95">
      <c r="A507" s="97" t="inlineStr">
        <is>
          <t>anonymus0506</t>
        </is>
      </c>
      <c r="B507" s="97" t="inlineStr">
        <is>
          <t>P</t>
        </is>
      </c>
      <c r="C507" s="97" t="inlineStr">
        <is>
          <t>35-69 Bulan</t>
        </is>
      </c>
      <c r="D507" s="97" t="n">
        <v>13.5</v>
      </c>
      <c r="E507" s="97" t="n">
        <v>106</v>
      </c>
      <c r="F507" s="97" t="inlineStr">
        <is>
          <t>Normal</t>
        </is>
      </c>
      <c r="G507" s="97" t="inlineStr">
        <is>
          <t>Normal</t>
        </is>
      </c>
      <c r="H507" s="106" t="inlineStr">
        <is>
          <t>Gizi Baik</t>
        </is>
      </c>
      <c r="I507" s="97" t="inlineStr">
        <is>
          <t>Ya</t>
        </is>
      </c>
      <c r="J507" s="97" t="inlineStr">
        <is>
          <t>Tidak</t>
        </is>
      </c>
      <c r="K507" s="107" t="n"/>
    </row>
    <row r="508" ht="15.75" customHeight="1" s="95">
      <c r="A508" s="97" t="inlineStr">
        <is>
          <t>anonymus0507</t>
        </is>
      </c>
      <c r="B508" s="97" t="inlineStr">
        <is>
          <t>L</t>
        </is>
      </c>
      <c r="C508" s="97" t="inlineStr">
        <is>
          <t>1-34 Bulan</t>
        </is>
      </c>
      <c r="D508" s="97" t="n">
        <v>7</v>
      </c>
      <c r="E508" s="97" t="n">
        <v>72</v>
      </c>
      <c r="F508" s="97" t="inlineStr">
        <is>
          <t>Kurang</t>
        </is>
      </c>
      <c r="G508" s="97" t="inlineStr">
        <is>
          <t>Normal</t>
        </is>
      </c>
      <c r="H508" s="106" t="inlineStr">
        <is>
          <t>Gizi Kurang</t>
        </is>
      </c>
      <c r="I508" s="97" t="inlineStr">
        <is>
          <t>Ya</t>
        </is>
      </c>
      <c r="J508" s="97" t="inlineStr">
        <is>
          <t>Tidak</t>
        </is>
      </c>
      <c r="K508" s="107" t="n"/>
    </row>
    <row r="509" ht="15.75" customHeight="1" s="95">
      <c r="A509" s="97" t="inlineStr">
        <is>
          <t>anonymus0508</t>
        </is>
      </c>
      <c r="B509" s="97" t="inlineStr">
        <is>
          <t>P</t>
        </is>
      </c>
      <c r="C509" s="97" t="inlineStr">
        <is>
          <t>35-69 Bulan</t>
        </is>
      </c>
      <c r="D509" s="97" t="n">
        <v>12</v>
      </c>
      <c r="E509" s="97" t="n">
        <v>94</v>
      </c>
      <c r="F509" s="97" t="inlineStr">
        <is>
          <t>Kurang</t>
        </is>
      </c>
      <c r="G509" s="97" t="inlineStr">
        <is>
          <t>Pendek</t>
        </is>
      </c>
      <c r="H509" s="106" t="inlineStr">
        <is>
          <t>Gizi Baik</t>
        </is>
      </c>
      <c r="I509" s="97" t="inlineStr">
        <is>
          <t>Ya</t>
        </is>
      </c>
      <c r="J509" s="97" t="inlineStr">
        <is>
          <t>Potensi Stunting</t>
        </is>
      </c>
      <c r="K509" s="107" t="n"/>
    </row>
    <row r="510" ht="15.75" customHeight="1" s="95">
      <c r="A510" s="97" t="inlineStr">
        <is>
          <t>anonymus0509</t>
        </is>
      </c>
      <c r="B510" s="97" t="inlineStr">
        <is>
          <t>L</t>
        </is>
      </c>
      <c r="C510" s="97" t="inlineStr">
        <is>
          <t>1-34 Bulan</t>
        </is>
      </c>
      <c r="D510" s="97" t="n">
        <v>8.300000000000001</v>
      </c>
      <c r="E510" s="97" t="n">
        <v>72.5</v>
      </c>
      <c r="F510" s="97" t="inlineStr">
        <is>
          <t>Normal</t>
        </is>
      </c>
      <c r="G510" s="97" t="inlineStr">
        <is>
          <t>Pendek</t>
        </is>
      </c>
      <c r="H510" s="106" t="inlineStr">
        <is>
          <t>Gizi Baik</t>
        </is>
      </c>
      <c r="I510" s="97" t="inlineStr">
        <is>
          <t>Ya</t>
        </is>
      </c>
      <c r="J510" s="97" t="inlineStr">
        <is>
          <t>Potensi Stunting</t>
        </is>
      </c>
      <c r="K510" s="107" t="n"/>
    </row>
    <row r="511" ht="15.75" customHeight="1" s="95">
      <c r="A511" s="97" t="inlineStr">
        <is>
          <t>anonymus0510</t>
        </is>
      </c>
      <c r="B511" s="97" t="inlineStr">
        <is>
          <t>L</t>
        </is>
      </c>
      <c r="C511" s="97" t="inlineStr">
        <is>
          <t>35-69 Bulan</t>
        </is>
      </c>
      <c r="D511" s="97" t="n">
        <v>11</v>
      </c>
      <c r="E511" s="97" t="n">
        <v>89</v>
      </c>
      <c r="F511" s="97" t="inlineStr">
        <is>
          <t>Kurang</t>
        </is>
      </c>
      <c r="G511" s="97" t="inlineStr">
        <is>
          <t>Pendek</t>
        </is>
      </c>
      <c r="H511" s="106" t="inlineStr">
        <is>
          <t>Gizi Baik</t>
        </is>
      </c>
      <c r="I511" s="97" t="inlineStr">
        <is>
          <t>Ya</t>
        </is>
      </c>
      <c r="J511" s="97" t="inlineStr">
        <is>
          <t>Potensi Stunting</t>
        </is>
      </c>
      <c r="K511" s="107" t="n"/>
    </row>
    <row r="512" ht="15.75" customHeight="1" s="95">
      <c r="A512" s="97" t="inlineStr">
        <is>
          <t>anonymus0511</t>
        </is>
      </c>
      <c r="B512" s="97" t="inlineStr">
        <is>
          <t>P</t>
        </is>
      </c>
      <c r="C512" s="97" t="inlineStr">
        <is>
          <t>1-34 Bulan</t>
        </is>
      </c>
      <c r="D512" s="97" t="n">
        <v>8</v>
      </c>
      <c r="E512" s="97" t="n">
        <v>71</v>
      </c>
      <c r="F512" s="97" t="inlineStr">
        <is>
          <t>Normal</t>
        </is>
      </c>
      <c r="G512" s="97" t="inlineStr">
        <is>
          <t>Normal</t>
        </is>
      </c>
      <c r="H512" s="106" t="inlineStr">
        <is>
          <t>Gizi Baik</t>
        </is>
      </c>
      <c r="I512" s="97" t="inlineStr">
        <is>
          <t>Ya</t>
        </is>
      </c>
      <c r="J512" s="97" t="inlineStr">
        <is>
          <t>Tidak</t>
        </is>
      </c>
      <c r="K512" s="107" t="n"/>
    </row>
    <row r="513" ht="15.75" customHeight="1" s="95">
      <c r="A513" s="97" t="inlineStr">
        <is>
          <t>anonymus0512</t>
        </is>
      </c>
      <c r="B513" s="97" t="inlineStr">
        <is>
          <t>P</t>
        </is>
      </c>
      <c r="C513" s="97" t="inlineStr">
        <is>
          <t>1-34 Bulan</t>
        </is>
      </c>
      <c r="D513" s="97" t="n">
        <v>13.9</v>
      </c>
      <c r="E513" s="97" t="n">
        <v>83</v>
      </c>
      <c r="F513" s="97" t="inlineStr">
        <is>
          <t>Normal</t>
        </is>
      </c>
      <c r="G513" s="97" t="inlineStr">
        <is>
          <t>Normal</t>
        </is>
      </c>
      <c r="H513" s="106" t="inlineStr">
        <is>
          <t>Gizi Baik</t>
        </is>
      </c>
      <c r="I513" s="97" t="inlineStr">
        <is>
          <t>Ya</t>
        </is>
      </c>
      <c r="J513" s="97" t="inlineStr">
        <is>
          <t>Tidak</t>
        </is>
      </c>
      <c r="K513" s="107" t="n"/>
    </row>
    <row r="514" ht="15.75" customHeight="1" s="95">
      <c r="A514" s="97" t="inlineStr">
        <is>
          <t>anonymus0513</t>
        </is>
      </c>
      <c r="B514" s="97" t="inlineStr">
        <is>
          <t>L</t>
        </is>
      </c>
      <c r="C514" s="97" t="inlineStr">
        <is>
          <t>1-34 Bulan</t>
        </is>
      </c>
      <c r="D514" s="97" t="inlineStr">
        <is>
          <t>9.2</t>
        </is>
      </c>
      <c r="E514" s="97" t="n">
        <v>81</v>
      </c>
      <c r="F514" s="97" t="inlineStr">
        <is>
          <t>Normal</t>
        </is>
      </c>
      <c r="G514" s="97" t="inlineStr">
        <is>
          <t>Normal</t>
        </is>
      </c>
      <c r="H514" s="106" t="inlineStr">
        <is>
          <t>Gizi Baik</t>
        </is>
      </c>
      <c r="I514" s="97" t="inlineStr">
        <is>
          <t>Ya</t>
        </is>
      </c>
      <c r="J514" s="97" t="inlineStr">
        <is>
          <t>Tidak</t>
        </is>
      </c>
      <c r="K514" s="107" t="n"/>
    </row>
    <row r="515" ht="15.75" customHeight="1" s="95">
      <c r="A515" s="97" t="inlineStr">
        <is>
          <t>anonymus0514</t>
        </is>
      </c>
      <c r="B515" s="97" t="inlineStr">
        <is>
          <t>L</t>
        </is>
      </c>
      <c r="C515" s="97" t="inlineStr">
        <is>
          <t>35-69 Bulan</t>
        </is>
      </c>
      <c r="D515" s="97" t="n">
        <v>13.6</v>
      </c>
      <c r="E515" s="97" t="n">
        <v>87.3</v>
      </c>
      <c r="F515" s="97" t="inlineStr">
        <is>
          <t>Kurang</t>
        </is>
      </c>
      <c r="G515" s="97" t="inlineStr">
        <is>
          <t>Sangat Pendek</t>
        </is>
      </c>
      <c r="H515" s="106" t="inlineStr">
        <is>
          <t>Risiko Gizi Lebih</t>
        </is>
      </c>
      <c r="I515" s="97" t="inlineStr">
        <is>
          <t>Ya</t>
        </is>
      </c>
      <c r="J515" s="97" t="inlineStr">
        <is>
          <t>Stunting</t>
        </is>
      </c>
      <c r="K515" s="107" t="n"/>
    </row>
    <row r="516" ht="15.75" customHeight="1" s="95">
      <c r="A516" s="97" t="inlineStr">
        <is>
          <t>anonymus0515</t>
        </is>
      </c>
      <c r="B516" s="97" t="inlineStr">
        <is>
          <t>P</t>
        </is>
      </c>
      <c r="C516" s="97" t="inlineStr">
        <is>
          <t>35-69 Bulan</t>
        </is>
      </c>
      <c r="D516" s="97" t="n">
        <v>11.4</v>
      </c>
      <c r="E516" s="97" t="n">
        <v>94</v>
      </c>
      <c r="F516" s="97" t="inlineStr">
        <is>
          <t>Normal</t>
        </is>
      </c>
      <c r="G516" s="97" t="inlineStr">
        <is>
          <t>Normal</t>
        </is>
      </c>
      <c r="H516" s="106" t="inlineStr">
        <is>
          <t>Gizi Kurang</t>
        </is>
      </c>
      <c r="I516" s="97" t="inlineStr">
        <is>
          <t>Ya</t>
        </is>
      </c>
      <c r="J516" s="97" t="inlineStr">
        <is>
          <t>Tidak</t>
        </is>
      </c>
      <c r="K516" s="107" t="n"/>
    </row>
    <row r="517" ht="15.75" customHeight="1" s="95">
      <c r="A517" s="97" t="inlineStr">
        <is>
          <t>anonymus0516</t>
        </is>
      </c>
      <c r="B517" s="97" t="inlineStr">
        <is>
          <t>P</t>
        </is>
      </c>
      <c r="C517" s="97" t="inlineStr">
        <is>
          <t>35-69 Bulan</t>
        </is>
      </c>
      <c r="D517" s="97" t="n">
        <v>9.199999999999999</v>
      </c>
      <c r="E517" s="97" t="n">
        <v>81</v>
      </c>
      <c r="F517" s="97" t="inlineStr">
        <is>
          <t>Kurang</t>
        </is>
      </c>
      <c r="G517" s="97" t="inlineStr">
        <is>
          <t>Pendek</t>
        </is>
      </c>
      <c r="H517" s="106" t="inlineStr">
        <is>
          <t>Gizi Baik</t>
        </is>
      </c>
      <c r="I517" s="97" t="inlineStr">
        <is>
          <t>Ya</t>
        </is>
      </c>
      <c r="J517" s="97" t="inlineStr">
        <is>
          <t>Potensi Stunting</t>
        </is>
      </c>
      <c r="K517" s="107" t="n"/>
    </row>
    <row r="518" ht="15.75" customHeight="1" s="95">
      <c r="A518" s="97" t="inlineStr">
        <is>
          <t>anonymus0517</t>
        </is>
      </c>
      <c r="B518" s="97" t="inlineStr">
        <is>
          <t>L</t>
        </is>
      </c>
      <c r="C518" s="97" t="inlineStr">
        <is>
          <t>35-69 Bulan</t>
        </is>
      </c>
      <c r="D518" s="97" t="inlineStr">
        <is>
          <t>16.3</t>
        </is>
      </c>
      <c r="E518" s="97" t="n">
        <v>101</v>
      </c>
      <c r="F518" s="97" t="inlineStr">
        <is>
          <t>Normal</t>
        </is>
      </c>
      <c r="G518" s="97" t="inlineStr">
        <is>
          <t>Normal</t>
        </is>
      </c>
      <c r="H518" s="106" t="inlineStr">
        <is>
          <t>Gizi Baik</t>
        </is>
      </c>
      <c r="I518" s="97" t="inlineStr">
        <is>
          <t>Ya</t>
        </is>
      </c>
      <c r="J518" s="97" t="inlineStr">
        <is>
          <t>Tidak</t>
        </is>
      </c>
      <c r="K518" s="107" t="n"/>
    </row>
    <row r="519" ht="15.75" customHeight="1" s="95">
      <c r="A519" s="97" t="inlineStr">
        <is>
          <t>anonymus0518</t>
        </is>
      </c>
      <c r="B519" s="97" t="inlineStr">
        <is>
          <t>L</t>
        </is>
      </c>
      <c r="C519" s="97" t="inlineStr">
        <is>
          <t>1-34 Bulan</t>
        </is>
      </c>
      <c r="D519" s="97" t="n">
        <v>12.4</v>
      </c>
      <c r="E519" s="97" t="n">
        <v>92</v>
      </c>
      <c r="F519" s="97" t="inlineStr">
        <is>
          <t>Normal</t>
        </is>
      </c>
      <c r="G519" s="97" t="inlineStr">
        <is>
          <t>Normal</t>
        </is>
      </c>
      <c r="H519" s="106" t="inlineStr">
        <is>
          <t>Gizi Baik</t>
        </is>
      </c>
      <c r="I519" s="97" t="inlineStr">
        <is>
          <t>Ya</t>
        </is>
      </c>
      <c r="J519" s="97" t="inlineStr">
        <is>
          <t>Tidak</t>
        </is>
      </c>
      <c r="K519" s="107" t="n"/>
    </row>
    <row r="520" ht="15.75" customHeight="1" s="95">
      <c r="A520" s="97" t="inlineStr">
        <is>
          <t>anonymus0519</t>
        </is>
      </c>
      <c r="B520" s="97" t="inlineStr">
        <is>
          <t>L</t>
        </is>
      </c>
      <c r="C520" s="97" t="inlineStr">
        <is>
          <t>35-69 Bulan</t>
        </is>
      </c>
      <c r="D520" s="97" t="n">
        <v>12.2</v>
      </c>
      <c r="E520" s="97" t="n">
        <v>97</v>
      </c>
      <c r="F520" s="97" t="inlineStr">
        <is>
          <t>Normal</t>
        </is>
      </c>
      <c r="G520" s="97" t="inlineStr">
        <is>
          <t>Normal</t>
        </is>
      </c>
      <c r="H520" s="106" t="inlineStr">
        <is>
          <t>Gizi Baik</t>
        </is>
      </c>
      <c r="I520" s="97" t="inlineStr">
        <is>
          <t>Ya</t>
        </is>
      </c>
      <c r="J520" s="97" t="inlineStr">
        <is>
          <t>Tidak</t>
        </is>
      </c>
      <c r="K520" s="107" t="n"/>
    </row>
    <row r="521" ht="15.75" customHeight="1" s="95">
      <c r="A521" s="97" t="inlineStr">
        <is>
          <t>anonymus0520</t>
        </is>
      </c>
      <c r="B521" s="97" t="inlineStr">
        <is>
          <t>P</t>
        </is>
      </c>
      <c r="C521" s="97" t="inlineStr">
        <is>
          <t>35-69 Bulan</t>
        </is>
      </c>
      <c r="D521" s="97" t="n">
        <v>11.1</v>
      </c>
      <c r="E521" s="97" t="n">
        <v>109</v>
      </c>
      <c r="F521" s="97" t="inlineStr">
        <is>
          <t>Normal</t>
        </is>
      </c>
      <c r="G521" s="97" t="inlineStr">
        <is>
          <t>Normal</t>
        </is>
      </c>
      <c r="H521" s="106" t="inlineStr">
        <is>
          <t>Gizi Baik</t>
        </is>
      </c>
      <c r="I521" s="97" t="inlineStr">
        <is>
          <t>Ya</t>
        </is>
      </c>
      <c r="J521" s="97" t="inlineStr">
        <is>
          <t>Tidak</t>
        </is>
      </c>
      <c r="K521" s="107" t="n"/>
    </row>
    <row r="522" ht="15.75" customHeight="1" s="95">
      <c r="A522" s="97" t="inlineStr">
        <is>
          <t>anonymus0521</t>
        </is>
      </c>
      <c r="B522" s="97" t="inlineStr">
        <is>
          <t>P</t>
        </is>
      </c>
      <c r="C522" s="97" t="inlineStr">
        <is>
          <t>35-69 Bulan</t>
        </is>
      </c>
      <c r="D522" s="97" t="n">
        <v>10.5</v>
      </c>
      <c r="E522" s="97" t="n">
        <v>88.3</v>
      </c>
      <c r="F522" s="97" t="inlineStr">
        <is>
          <t>Kurang</t>
        </is>
      </c>
      <c r="G522" s="97" t="inlineStr">
        <is>
          <t>Pendek</t>
        </is>
      </c>
      <c r="H522" s="106" t="inlineStr">
        <is>
          <t>Gizi Baik</t>
        </is>
      </c>
      <c r="I522" s="97" t="inlineStr">
        <is>
          <t>Ya</t>
        </is>
      </c>
      <c r="J522" s="97" t="inlineStr">
        <is>
          <t>Potensi Stunting</t>
        </is>
      </c>
      <c r="K522" s="107" t="n"/>
    </row>
    <row r="523" ht="15.75" customHeight="1" s="95">
      <c r="A523" s="97" t="inlineStr">
        <is>
          <t>anonymus0522</t>
        </is>
      </c>
      <c r="B523" s="97" t="inlineStr">
        <is>
          <t>L</t>
        </is>
      </c>
      <c r="C523" s="97" t="inlineStr">
        <is>
          <t>1-34 Bulan</t>
        </is>
      </c>
      <c r="D523" s="97" t="inlineStr">
        <is>
          <t>8.6</t>
        </is>
      </c>
      <c r="E523" s="97" t="n">
        <v>72</v>
      </c>
      <c r="F523" s="97" t="inlineStr">
        <is>
          <t>Normal</t>
        </is>
      </c>
      <c r="G523" s="97" t="inlineStr">
        <is>
          <t>Normal</t>
        </is>
      </c>
      <c r="H523" s="106" t="inlineStr">
        <is>
          <t>Gizi Baik</t>
        </is>
      </c>
      <c r="I523" s="97" t="inlineStr">
        <is>
          <t>Ya</t>
        </is>
      </c>
      <c r="J523" s="97" t="inlineStr">
        <is>
          <t>Tidak</t>
        </is>
      </c>
      <c r="K523" s="107" t="n"/>
    </row>
    <row r="524" ht="15.75" customHeight="1" s="95">
      <c r="A524" s="97" t="inlineStr">
        <is>
          <t>anonymus0523</t>
        </is>
      </c>
      <c r="B524" s="97" t="inlineStr">
        <is>
          <t>P</t>
        </is>
      </c>
      <c r="C524" s="97" t="inlineStr">
        <is>
          <t>35-69 Bulan</t>
        </is>
      </c>
      <c r="D524" s="97" t="n">
        <v>14</v>
      </c>
      <c r="E524" s="97" t="n">
        <v>105</v>
      </c>
      <c r="F524" s="97" t="inlineStr">
        <is>
          <t>Normal</t>
        </is>
      </c>
      <c r="G524" s="97" t="inlineStr">
        <is>
          <t>Normal</t>
        </is>
      </c>
      <c r="H524" s="106" t="inlineStr">
        <is>
          <t>Gizi Kurang</t>
        </is>
      </c>
      <c r="I524" s="97" t="inlineStr">
        <is>
          <t>Ya</t>
        </is>
      </c>
      <c r="J524" s="97" t="inlineStr">
        <is>
          <t>Tidak</t>
        </is>
      </c>
      <c r="K524" s="107" t="n"/>
    </row>
    <row r="525" ht="15.75" customHeight="1" s="95">
      <c r="A525" s="97" t="inlineStr">
        <is>
          <t>anonymus0524</t>
        </is>
      </c>
      <c r="B525" s="97" t="inlineStr">
        <is>
          <t>P</t>
        </is>
      </c>
      <c r="C525" s="97" t="inlineStr">
        <is>
          <t>35-69 Bulan</t>
        </is>
      </c>
      <c r="D525" s="97" t="n">
        <v>10.7</v>
      </c>
      <c r="E525" s="97" t="n">
        <v>99</v>
      </c>
      <c r="F525" s="97" t="inlineStr">
        <is>
          <t>Normal</t>
        </is>
      </c>
      <c r="G525" s="97" t="inlineStr">
        <is>
          <t>Normal</t>
        </is>
      </c>
      <c r="H525" s="106" t="inlineStr">
        <is>
          <t>Gizi Baik</t>
        </is>
      </c>
      <c r="I525" s="97" t="inlineStr">
        <is>
          <t>Ya</t>
        </is>
      </c>
      <c r="J525" s="97" t="inlineStr">
        <is>
          <t>Tidak</t>
        </is>
      </c>
      <c r="K525" s="107" t="n"/>
    </row>
    <row r="526" ht="15.75" customHeight="1" s="95">
      <c r="A526" s="97" t="inlineStr">
        <is>
          <t>anonymus0525</t>
        </is>
      </c>
      <c r="B526" s="97" t="inlineStr">
        <is>
          <t>L</t>
        </is>
      </c>
      <c r="C526" s="97" t="inlineStr">
        <is>
          <t>1-34 Bulan</t>
        </is>
      </c>
      <c r="D526" s="97" t="n">
        <v>13.2</v>
      </c>
      <c r="E526" s="97" t="n">
        <v>80</v>
      </c>
      <c r="F526" s="97" t="inlineStr">
        <is>
          <t>Normal</t>
        </is>
      </c>
      <c r="G526" s="97" t="inlineStr">
        <is>
          <t>Normal</t>
        </is>
      </c>
      <c r="H526" s="106" t="inlineStr">
        <is>
          <t>Gizi Baik</t>
        </is>
      </c>
      <c r="I526" s="97" t="inlineStr">
        <is>
          <t>Ya</t>
        </is>
      </c>
      <c r="J526" s="97" t="inlineStr">
        <is>
          <t>Tidak</t>
        </is>
      </c>
      <c r="K526" s="107" t="n"/>
    </row>
    <row r="527" ht="15.75" customHeight="1" s="95">
      <c r="A527" s="97" t="inlineStr">
        <is>
          <t>anonymus0526</t>
        </is>
      </c>
      <c r="B527" s="97" t="inlineStr">
        <is>
          <t>L</t>
        </is>
      </c>
      <c r="C527" s="97" t="inlineStr">
        <is>
          <t>35-69 Bulan</t>
        </is>
      </c>
      <c r="D527" s="97" t="n">
        <v>10.4</v>
      </c>
      <c r="E527" s="97" t="n">
        <v>82</v>
      </c>
      <c r="F527" s="97" t="inlineStr">
        <is>
          <t>Normal</t>
        </is>
      </c>
      <c r="G527" s="97" t="inlineStr">
        <is>
          <t>Pendek</t>
        </is>
      </c>
      <c r="H527" s="106" t="inlineStr">
        <is>
          <t>Gizi Baik</t>
        </is>
      </c>
      <c r="I527" s="97" t="inlineStr">
        <is>
          <t>Ya</t>
        </is>
      </c>
      <c r="J527" s="97" t="inlineStr">
        <is>
          <t>Potensi Stunting</t>
        </is>
      </c>
      <c r="K527" s="107" t="n"/>
    </row>
    <row r="528" ht="15.75" customHeight="1" s="95">
      <c r="A528" s="97" t="inlineStr">
        <is>
          <t>anonymus0527</t>
        </is>
      </c>
      <c r="B528" s="97" t="inlineStr">
        <is>
          <t>P</t>
        </is>
      </c>
      <c r="C528" s="97" t="inlineStr">
        <is>
          <t>1-34 Bulan</t>
        </is>
      </c>
      <c r="D528" s="97" t="n">
        <v>10</v>
      </c>
      <c r="E528" s="97" t="n">
        <v>88.59999999999999</v>
      </c>
      <c r="F528" s="97" t="inlineStr">
        <is>
          <t>Normal</t>
        </is>
      </c>
      <c r="G528" s="97" t="inlineStr">
        <is>
          <t>Normal</t>
        </is>
      </c>
      <c r="H528" s="106" t="inlineStr">
        <is>
          <t>Gizi Kurang</t>
        </is>
      </c>
      <c r="I528" s="97" t="inlineStr">
        <is>
          <t>Ya</t>
        </is>
      </c>
      <c r="J528" s="97" t="inlineStr">
        <is>
          <t>Tidak</t>
        </is>
      </c>
      <c r="K528" s="107" t="n"/>
    </row>
    <row r="529" ht="15.75" customHeight="1" s="95">
      <c r="A529" s="97" t="inlineStr">
        <is>
          <t>anonymus0528</t>
        </is>
      </c>
      <c r="B529" s="97" t="inlineStr">
        <is>
          <t>P</t>
        </is>
      </c>
      <c r="C529" s="97" t="inlineStr">
        <is>
          <t>35-69 Bulan</t>
        </is>
      </c>
      <c r="D529" s="97" t="inlineStr">
        <is>
          <t>11.3</t>
        </is>
      </c>
      <c r="E529" s="97" t="n">
        <v>92</v>
      </c>
      <c r="F529" s="97" t="inlineStr">
        <is>
          <t>Kurang</t>
        </is>
      </c>
      <c r="G529" s="97" t="inlineStr">
        <is>
          <t>Normal</t>
        </is>
      </c>
      <c r="H529" s="106" t="inlineStr">
        <is>
          <t>Gizi Baik</t>
        </is>
      </c>
      <c r="I529" s="97" t="inlineStr">
        <is>
          <t>Ya</t>
        </is>
      </c>
      <c r="J529" s="97" t="inlineStr">
        <is>
          <t>Tidak</t>
        </is>
      </c>
      <c r="K529" s="107" t="n"/>
    </row>
    <row r="530" ht="15.75" customHeight="1" s="95">
      <c r="A530" s="97" t="inlineStr">
        <is>
          <t>anonymus0529</t>
        </is>
      </c>
      <c r="B530" s="97" t="inlineStr">
        <is>
          <t>P</t>
        </is>
      </c>
      <c r="C530" s="97" t="inlineStr">
        <is>
          <t>35-69 Bulan</t>
        </is>
      </c>
      <c r="D530" s="97" t="n">
        <v>8.9</v>
      </c>
      <c r="E530" s="97" t="n">
        <v>76</v>
      </c>
      <c r="F530" s="97" t="inlineStr">
        <is>
          <t>Kurang</t>
        </is>
      </c>
      <c r="G530" s="97" t="inlineStr">
        <is>
          <t>Sangat Pendek</t>
        </is>
      </c>
      <c r="H530" s="106" t="inlineStr">
        <is>
          <t>Gizi Baik</t>
        </is>
      </c>
      <c r="I530" s="97" t="inlineStr">
        <is>
          <t>Ya</t>
        </is>
      </c>
      <c r="J530" s="97" t="inlineStr">
        <is>
          <t>Stunting</t>
        </is>
      </c>
      <c r="K530" s="107" t="n"/>
    </row>
    <row r="531" ht="15.75" customHeight="1" s="95">
      <c r="A531" s="97" t="inlineStr">
        <is>
          <t>anonymus0530</t>
        </is>
      </c>
      <c r="B531" s="97" t="inlineStr">
        <is>
          <t>L</t>
        </is>
      </c>
      <c r="C531" s="97" t="inlineStr">
        <is>
          <t>1-34 Bulan</t>
        </is>
      </c>
      <c r="D531" s="97" t="n">
        <v>14.7</v>
      </c>
      <c r="E531" s="97" t="n">
        <v>92</v>
      </c>
      <c r="F531" s="97" t="inlineStr">
        <is>
          <t>Normal</t>
        </is>
      </c>
      <c r="G531" s="97" t="inlineStr">
        <is>
          <t>Normal</t>
        </is>
      </c>
      <c r="H531" s="106" t="inlineStr">
        <is>
          <t>Gizi Baik</t>
        </is>
      </c>
      <c r="I531" s="97" t="inlineStr">
        <is>
          <t>Ya</t>
        </is>
      </c>
      <c r="J531" s="97" t="inlineStr">
        <is>
          <t>Tidak</t>
        </is>
      </c>
      <c r="K531" s="107" t="n"/>
    </row>
    <row r="532" ht="15.75" customHeight="1" s="95">
      <c r="A532" s="97" t="inlineStr">
        <is>
          <t>anonymus0531</t>
        </is>
      </c>
      <c r="B532" s="97" t="inlineStr">
        <is>
          <t>P</t>
        </is>
      </c>
      <c r="C532" s="97" t="inlineStr">
        <is>
          <t>35-69 Bulan</t>
        </is>
      </c>
      <c r="D532" s="97" t="inlineStr">
        <is>
          <t>13.4</t>
        </is>
      </c>
      <c r="E532" s="97" t="n">
        <v>97</v>
      </c>
      <c r="F532" s="97" t="inlineStr">
        <is>
          <t>Normal</t>
        </is>
      </c>
      <c r="G532" s="97" t="inlineStr">
        <is>
          <t>Normal</t>
        </is>
      </c>
      <c r="H532" s="106" t="inlineStr">
        <is>
          <t>Gizi Baik</t>
        </is>
      </c>
      <c r="I532" s="97" t="inlineStr">
        <is>
          <t>Ya</t>
        </is>
      </c>
      <c r="J532" s="97" t="inlineStr">
        <is>
          <t>Tidak</t>
        </is>
      </c>
      <c r="K532" s="107" t="n"/>
    </row>
    <row r="533" ht="15.75" customHeight="1" s="95">
      <c r="A533" s="97" t="inlineStr">
        <is>
          <t>anonymus0532</t>
        </is>
      </c>
      <c r="B533" s="97" t="inlineStr">
        <is>
          <t>L</t>
        </is>
      </c>
      <c r="C533" s="97" t="inlineStr">
        <is>
          <t>35-69 Bulan</t>
        </is>
      </c>
      <c r="D533" s="97" t="n">
        <v>18.3</v>
      </c>
      <c r="E533" s="97" t="n">
        <v>101</v>
      </c>
      <c r="F533" s="97" t="inlineStr">
        <is>
          <t>Risiko Lebih</t>
        </is>
      </c>
      <c r="G533" s="97" t="inlineStr">
        <is>
          <t>Normal</t>
        </is>
      </c>
      <c r="H533" s="106" t="inlineStr">
        <is>
          <t>Gizi Lebih</t>
        </is>
      </c>
      <c r="I533" s="97" t="inlineStr">
        <is>
          <t>Ya</t>
        </is>
      </c>
      <c r="J533" s="97" t="inlineStr">
        <is>
          <t>Tidak</t>
        </is>
      </c>
      <c r="K533" s="107" t="n"/>
    </row>
    <row r="534" ht="15.75" customHeight="1" s="95">
      <c r="A534" s="97" t="inlineStr">
        <is>
          <t>anonymus0533</t>
        </is>
      </c>
      <c r="B534" s="97" t="inlineStr">
        <is>
          <t>P</t>
        </is>
      </c>
      <c r="C534" s="97" t="inlineStr">
        <is>
          <t>35-69 Bulan</t>
        </is>
      </c>
      <c r="D534" s="97" t="n">
        <v>10</v>
      </c>
      <c r="E534" s="97" t="n">
        <v>88</v>
      </c>
      <c r="F534" s="97" t="inlineStr">
        <is>
          <t>Kurang</t>
        </is>
      </c>
      <c r="G534" s="97" t="inlineStr">
        <is>
          <t>Normal</t>
        </is>
      </c>
      <c r="H534" s="106" t="inlineStr">
        <is>
          <t>Gizi Kurang</t>
        </is>
      </c>
      <c r="I534" s="97" t="inlineStr">
        <is>
          <t>Ya</t>
        </is>
      </c>
      <c r="J534" s="97" t="inlineStr">
        <is>
          <t>Tidak</t>
        </is>
      </c>
      <c r="K534" s="107" t="n"/>
    </row>
    <row r="535" ht="15.75" customHeight="1" s="95">
      <c r="A535" s="97" t="inlineStr">
        <is>
          <t>anonymus0534</t>
        </is>
      </c>
      <c r="B535" s="97" t="inlineStr">
        <is>
          <t>P</t>
        </is>
      </c>
      <c r="C535" s="97" t="inlineStr">
        <is>
          <t>1-34 Bulan</t>
        </is>
      </c>
      <c r="D535" s="97" t="n">
        <v>14.8</v>
      </c>
      <c r="E535" s="97" t="n">
        <v>78</v>
      </c>
      <c r="F535" s="97" t="inlineStr">
        <is>
          <t>Normal</t>
        </is>
      </c>
      <c r="G535" s="97" t="inlineStr">
        <is>
          <t>Normal</t>
        </is>
      </c>
      <c r="H535" s="106" t="inlineStr">
        <is>
          <t>Gizi Baik</t>
        </is>
      </c>
      <c r="I535" s="97" t="inlineStr">
        <is>
          <t>Ya</t>
        </is>
      </c>
      <c r="J535" s="97" t="inlineStr">
        <is>
          <t>Tidak</t>
        </is>
      </c>
      <c r="K535" s="107" t="n"/>
    </row>
    <row r="536" ht="15.75" customHeight="1" s="95">
      <c r="A536" s="97" t="inlineStr">
        <is>
          <t>anonymus0535</t>
        </is>
      </c>
      <c r="B536" s="97" t="inlineStr">
        <is>
          <t>L</t>
        </is>
      </c>
      <c r="C536" s="97" t="inlineStr">
        <is>
          <t>1-34 Bulan</t>
        </is>
      </c>
      <c r="D536" s="97" t="n">
        <v>7.1</v>
      </c>
      <c r="E536" s="97" t="n">
        <v>88</v>
      </c>
      <c r="F536" s="97" t="inlineStr">
        <is>
          <t>Kurang</t>
        </is>
      </c>
      <c r="G536" s="97" t="inlineStr">
        <is>
          <t>Normal</t>
        </is>
      </c>
      <c r="H536" s="106" t="inlineStr">
        <is>
          <t>Gizi Kurang</t>
        </is>
      </c>
      <c r="I536" s="97" t="inlineStr">
        <is>
          <t>Ya</t>
        </is>
      </c>
      <c r="J536" s="97" t="inlineStr">
        <is>
          <t>Tidak</t>
        </is>
      </c>
      <c r="K536" s="107" t="n"/>
    </row>
    <row r="537" ht="15.75" customHeight="1" s="95">
      <c r="A537" s="97" t="inlineStr">
        <is>
          <t>anonymus0536</t>
        </is>
      </c>
      <c r="B537" s="97" t="inlineStr">
        <is>
          <t>P</t>
        </is>
      </c>
      <c r="C537" s="97" t="inlineStr">
        <is>
          <t>1-34 Bulan</t>
        </is>
      </c>
      <c r="D537" s="97" t="n">
        <v>14.6</v>
      </c>
      <c r="E537" s="97" t="n">
        <v>76</v>
      </c>
      <c r="F537" s="97" t="inlineStr">
        <is>
          <t>Normal</t>
        </is>
      </c>
      <c r="G537" s="97" t="inlineStr">
        <is>
          <t>Normal</t>
        </is>
      </c>
      <c r="H537" s="106" t="inlineStr">
        <is>
          <t>Gizi Baik</t>
        </is>
      </c>
      <c r="I537" s="97" t="inlineStr">
        <is>
          <t>Ya</t>
        </is>
      </c>
      <c r="J537" s="97" t="inlineStr">
        <is>
          <t>Tidak</t>
        </is>
      </c>
      <c r="K537" s="107" t="n"/>
    </row>
    <row r="538" ht="15.75" customHeight="1" s="95">
      <c r="A538" s="97" t="inlineStr">
        <is>
          <t>anonymus0537</t>
        </is>
      </c>
      <c r="B538" s="97" t="inlineStr">
        <is>
          <t>L</t>
        </is>
      </c>
      <c r="C538" s="97" t="inlineStr">
        <is>
          <t>1-34 Bulan</t>
        </is>
      </c>
      <c r="D538" s="97" t="n">
        <v>3.5</v>
      </c>
      <c r="E538" s="97" t="n">
        <v>50</v>
      </c>
      <c r="F538" s="97" t="inlineStr">
        <is>
          <t>Normal</t>
        </is>
      </c>
      <c r="G538" s="97" t="inlineStr">
        <is>
          <t>Pendek</t>
        </is>
      </c>
      <c r="H538" s="106" t="inlineStr">
        <is>
          <t>Gizi Baik</t>
        </is>
      </c>
      <c r="I538" s="97" t="inlineStr">
        <is>
          <t>Ya</t>
        </is>
      </c>
      <c r="J538" s="97" t="inlineStr">
        <is>
          <t>Potensi Stunting</t>
        </is>
      </c>
      <c r="K538" s="107" t="n"/>
    </row>
    <row r="539" ht="15.75" customHeight="1" s="95">
      <c r="A539" s="97" t="inlineStr">
        <is>
          <t>anonymus0538</t>
        </is>
      </c>
      <c r="B539" s="97" t="inlineStr">
        <is>
          <t>P</t>
        </is>
      </c>
      <c r="C539" s="97" t="inlineStr">
        <is>
          <t>1-34 Bulan</t>
        </is>
      </c>
      <c r="D539" s="97" t="n">
        <v>12.8</v>
      </c>
      <c r="E539" s="97" t="n">
        <v>78</v>
      </c>
      <c r="F539" s="97" t="inlineStr">
        <is>
          <t>Normal</t>
        </is>
      </c>
      <c r="G539" s="97" t="inlineStr">
        <is>
          <t>Normal</t>
        </is>
      </c>
      <c r="H539" s="106" t="inlineStr">
        <is>
          <t>Gizi Baik</t>
        </is>
      </c>
      <c r="I539" s="97" t="inlineStr">
        <is>
          <t>Ya</t>
        </is>
      </c>
      <c r="J539" s="97" t="inlineStr">
        <is>
          <t>Tidak</t>
        </is>
      </c>
      <c r="K539" s="107" t="n"/>
    </row>
    <row r="540" ht="15.75" customHeight="1" s="95">
      <c r="A540" s="97" t="inlineStr">
        <is>
          <t>anonymus0539</t>
        </is>
      </c>
      <c r="B540" s="97" t="inlineStr">
        <is>
          <t>P</t>
        </is>
      </c>
      <c r="C540" s="97" t="inlineStr">
        <is>
          <t>1-34 Bulan</t>
        </is>
      </c>
      <c r="D540" s="97" t="inlineStr">
        <is>
          <t>8.2</t>
        </is>
      </c>
      <c r="E540" s="97" t="n">
        <v>67</v>
      </c>
      <c r="F540" s="97" t="inlineStr">
        <is>
          <t>Normal</t>
        </is>
      </c>
      <c r="G540" s="97" t="inlineStr">
        <is>
          <t>Normal</t>
        </is>
      </c>
      <c r="H540" s="106" t="inlineStr">
        <is>
          <t>Gizi Baik</t>
        </is>
      </c>
      <c r="I540" s="97" t="inlineStr">
        <is>
          <t>Ya</t>
        </is>
      </c>
      <c r="J540" s="97" t="inlineStr">
        <is>
          <t>Tidak</t>
        </is>
      </c>
      <c r="K540" s="107" t="n"/>
    </row>
    <row r="541" ht="15.75" customHeight="1" s="95">
      <c r="A541" s="97" t="inlineStr">
        <is>
          <t>anonymus0540</t>
        </is>
      </c>
      <c r="B541" s="97" t="inlineStr">
        <is>
          <t>L</t>
        </is>
      </c>
      <c r="C541" s="97" t="inlineStr">
        <is>
          <t>1-34 Bulan</t>
        </is>
      </c>
      <c r="D541" s="97" t="n">
        <v>14.6</v>
      </c>
      <c r="E541" s="97" t="n">
        <v>92</v>
      </c>
      <c r="F541" s="97" t="inlineStr">
        <is>
          <t>Normal</t>
        </is>
      </c>
      <c r="G541" s="97" t="inlineStr">
        <is>
          <t>Normal</t>
        </is>
      </c>
      <c r="H541" s="106" t="inlineStr">
        <is>
          <t>Gizi Baik</t>
        </is>
      </c>
      <c r="I541" s="97" t="inlineStr">
        <is>
          <t>Ya</t>
        </is>
      </c>
      <c r="J541" s="97" t="inlineStr">
        <is>
          <t>Tidak</t>
        </is>
      </c>
      <c r="K541" s="107" t="n"/>
    </row>
    <row r="542" ht="15.75" customHeight="1" s="95">
      <c r="A542" s="97" t="inlineStr">
        <is>
          <t>anonymus0541</t>
        </is>
      </c>
      <c r="B542" s="97" t="inlineStr">
        <is>
          <t>P</t>
        </is>
      </c>
      <c r="C542" s="97" t="inlineStr">
        <is>
          <t>35-69 Bulan</t>
        </is>
      </c>
      <c r="D542" s="97" t="n">
        <v>12.9</v>
      </c>
      <c r="E542" s="97" t="n">
        <v>95.5</v>
      </c>
      <c r="F542" s="97" t="inlineStr">
        <is>
          <t>Kurang</t>
        </is>
      </c>
      <c r="G542" s="97" t="inlineStr">
        <is>
          <t>Pendek</t>
        </is>
      </c>
      <c r="H542" s="106" t="inlineStr">
        <is>
          <t>Gizi Baik</t>
        </is>
      </c>
      <c r="I542" s="97" t="inlineStr">
        <is>
          <t>Ya</t>
        </is>
      </c>
      <c r="J542" s="97" t="inlineStr">
        <is>
          <t>Potensi Stunting</t>
        </is>
      </c>
      <c r="K542" s="107" t="n"/>
    </row>
    <row r="543" ht="15.75" customHeight="1" s="95">
      <c r="A543" s="97" t="inlineStr">
        <is>
          <t>anonymus0542</t>
        </is>
      </c>
      <c r="B543" s="97" t="inlineStr">
        <is>
          <t>L</t>
        </is>
      </c>
      <c r="C543" s="97" t="inlineStr">
        <is>
          <t>1-34 Bulan</t>
        </is>
      </c>
      <c r="D543" s="97" t="n">
        <v>12.7</v>
      </c>
      <c r="E543" s="97" t="n">
        <v>80</v>
      </c>
      <c r="F543" s="97" t="inlineStr">
        <is>
          <t>Normal</t>
        </is>
      </c>
      <c r="G543" s="97" t="inlineStr">
        <is>
          <t>Normal</t>
        </is>
      </c>
      <c r="H543" s="106" t="inlineStr">
        <is>
          <t>Gizi Baik</t>
        </is>
      </c>
      <c r="I543" s="97" t="inlineStr">
        <is>
          <t>Ya</t>
        </is>
      </c>
      <c r="J543" s="97" t="inlineStr">
        <is>
          <t>Tidak</t>
        </is>
      </c>
      <c r="K543" s="107" t="n"/>
    </row>
    <row r="544" ht="15.75" customHeight="1" s="95">
      <c r="A544" s="97" t="inlineStr">
        <is>
          <t>anonymus0543</t>
        </is>
      </c>
      <c r="B544" s="97" t="inlineStr">
        <is>
          <t>L</t>
        </is>
      </c>
      <c r="C544" s="97" t="inlineStr">
        <is>
          <t>35-69 Bulan</t>
        </is>
      </c>
      <c r="D544" s="97" t="n">
        <v>17.2</v>
      </c>
      <c r="E544" s="97" t="n">
        <v>97</v>
      </c>
      <c r="F544" s="97" t="inlineStr">
        <is>
          <t>Risiko Lebih</t>
        </is>
      </c>
      <c r="G544" s="97" t="inlineStr">
        <is>
          <t>Normal</t>
        </is>
      </c>
      <c r="H544" s="106" t="inlineStr">
        <is>
          <t>Gizi Lebih</t>
        </is>
      </c>
      <c r="I544" s="97" t="inlineStr">
        <is>
          <t>Ya</t>
        </is>
      </c>
      <c r="J544" s="97" t="inlineStr">
        <is>
          <t>Tidak</t>
        </is>
      </c>
      <c r="K544" s="107" t="n"/>
    </row>
    <row r="545" ht="15.75" customHeight="1" s="95">
      <c r="A545" s="97" t="inlineStr">
        <is>
          <t>anonymus0544</t>
        </is>
      </c>
      <c r="B545" s="97" t="inlineStr">
        <is>
          <t>P</t>
        </is>
      </c>
      <c r="C545" s="97" t="inlineStr">
        <is>
          <t>1-34 Bulan</t>
        </is>
      </c>
      <c r="D545" s="97" t="inlineStr">
        <is>
          <t>7.2</t>
        </is>
      </c>
      <c r="E545" s="97" t="n">
        <v>75</v>
      </c>
      <c r="F545" s="97" t="inlineStr">
        <is>
          <t>Kurang</t>
        </is>
      </c>
      <c r="G545" s="97" t="inlineStr">
        <is>
          <t>Normal</t>
        </is>
      </c>
      <c r="H545" s="106" t="inlineStr">
        <is>
          <t>Gizi Kurang</t>
        </is>
      </c>
      <c r="I545" s="97" t="inlineStr">
        <is>
          <t>Ya</t>
        </is>
      </c>
      <c r="J545" s="97" t="inlineStr">
        <is>
          <t>Tidak</t>
        </is>
      </c>
      <c r="K545" s="107" t="n"/>
    </row>
    <row r="546" ht="15.75" customHeight="1" s="95">
      <c r="A546" s="97" t="inlineStr">
        <is>
          <t>anonymus0545</t>
        </is>
      </c>
      <c r="B546" s="97" t="inlineStr">
        <is>
          <t>P</t>
        </is>
      </c>
      <c r="C546" s="97" t="inlineStr">
        <is>
          <t>35-69 Bulan</t>
        </is>
      </c>
      <c r="D546" s="97" t="n">
        <v>17.3</v>
      </c>
      <c r="E546" s="97" t="n">
        <v>109</v>
      </c>
      <c r="F546" s="97" t="inlineStr">
        <is>
          <t>Risiko Lebih</t>
        </is>
      </c>
      <c r="G546" s="97" t="inlineStr">
        <is>
          <t>Normal</t>
        </is>
      </c>
      <c r="H546" s="106" t="inlineStr">
        <is>
          <t>Gizi Lebih</t>
        </is>
      </c>
      <c r="I546" s="97" t="inlineStr">
        <is>
          <t>Ya</t>
        </is>
      </c>
      <c r="J546" s="97" t="inlineStr">
        <is>
          <t>Tidak</t>
        </is>
      </c>
      <c r="K546" s="107" t="n"/>
    </row>
    <row r="547" ht="15.75" customHeight="1" s="95">
      <c r="A547" s="97" t="inlineStr">
        <is>
          <t>anonymus0546</t>
        </is>
      </c>
      <c r="B547" s="97" t="inlineStr">
        <is>
          <t>P</t>
        </is>
      </c>
      <c r="C547" s="97" t="inlineStr">
        <is>
          <t>35-69 Bulan</t>
        </is>
      </c>
      <c r="D547" s="97" t="n">
        <v>15.5</v>
      </c>
      <c r="E547" s="97" t="n">
        <v>108</v>
      </c>
      <c r="F547" s="97" t="inlineStr">
        <is>
          <t>Normal</t>
        </is>
      </c>
      <c r="G547" s="97" t="inlineStr">
        <is>
          <t>Normal</t>
        </is>
      </c>
      <c r="H547" s="106" t="inlineStr">
        <is>
          <t>Gizi Baik</t>
        </is>
      </c>
      <c r="I547" s="97" t="inlineStr">
        <is>
          <t>Ya</t>
        </is>
      </c>
      <c r="J547" s="97" t="inlineStr">
        <is>
          <t>Tidak</t>
        </is>
      </c>
      <c r="K547" s="107" t="n"/>
    </row>
    <row r="548" ht="15.75" customHeight="1" s="95">
      <c r="A548" s="97" t="inlineStr">
        <is>
          <t>anonymus0547</t>
        </is>
      </c>
      <c r="B548" s="97" t="inlineStr">
        <is>
          <t>P</t>
        </is>
      </c>
      <c r="C548" s="97" t="inlineStr">
        <is>
          <t>1-34 Bulan</t>
        </is>
      </c>
      <c r="D548" s="97" t="n">
        <v>10</v>
      </c>
      <c r="E548" s="97" t="n">
        <v>88</v>
      </c>
      <c r="F548" s="97" t="inlineStr">
        <is>
          <t>Normal</t>
        </is>
      </c>
      <c r="G548" s="97" t="inlineStr">
        <is>
          <t>Normal</t>
        </is>
      </c>
      <c r="H548" s="106" t="inlineStr">
        <is>
          <t>Gizi Kurang</t>
        </is>
      </c>
      <c r="I548" s="97" t="inlineStr">
        <is>
          <t>Ya</t>
        </is>
      </c>
      <c r="J548" s="97" t="inlineStr">
        <is>
          <t>Tidak</t>
        </is>
      </c>
      <c r="K548" s="107" t="n"/>
    </row>
    <row r="549" ht="15.75" customHeight="1" s="95">
      <c r="A549" s="97" t="inlineStr">
        <is>
          <t>anonymus0548</t>
        </is>
      </c>
      <c r="B549" s="97" t="inlineStr">
        <is>
          <t>P</t>
        </is>
      </c>
      <c r="C549" s="97" t="inlineStr">
        <is>
          <t>1-34 Bulan</t>
        </is>
      </c>
      <c r="D549" s="97" t="n">
        <v>11.2</v>
      </c>
      <c r="E549" s="97" t="n">
        <v>96</v>
      </c>
      <c r="F549" s="97" t="inlineStr">
        <is>
          <t>Normal</t>
        </is>
      </c>
      <c r="G549" s="97" t="inlineStr">
        <is>
          <t>Normal</t>
        </is>
      </c>
      <c r="H549" s="106" t="inlineStr">
        <is>
          <t>Gizi Baik</t>
        </is>
      </c>
      <c r="I549" s="97" t="inlineStr">
        <is>
          <t>Ya</t>
        </is>
      </c>
      <c r="J549" s="97" t="inlineStr">
        <is>
          <t>Tidak</t>
        </is>
      </c>
      <c r="K549" s="107" t="n"/>
    </row>
    <row r="550" ht="15.75" customHeight="1" s="95">
      <c r="A550" s="97" t="inlineStr">
        <is>
          <t>anonymus0549</t>
        </is>
      </c>
      <c r="B550" s="97" t="inlineStr">
        <is>
          <t>L</t>
        </is>
      </c>
      <c r="C550" s="97" t="inlineStr">
        <is>
          <t>1-34 Bulan</t>
        </is>
      </c>
      <c r="D550" s="97" t="n">
        <v>8.4</v>
      </c>
      <c r="E550" s="97" t="n">
        <v>85</v>
      </c>
      <c r="F550" s="97" t="inlineStr">
        <is>
          <t>Kurang</t>
        </is>
      </c>
      <c r="G550" s="97" t="inlineStr">
        <is>
          <t>Normal</t>
        </is>
      </c>
      <c r="H550" s="106" t="inlineStr">
        <is>
          <t>Gizi Kurang</t>
        </is>
      </c>
      <c r="I550" s="97" t="inlineStr">
        <is>
          <t>Ya</t>
        </is>
      </c>
      <c r="J550" s="97" t="inlineStr">
        <is>
          <t>Tidak</t>
        </is>
      </c>
      <c r="K550" s="107" t="n"/>
    </row>
    <row r="551" ht="15.75" customHeight="1" s="95">
      <c r="A551" s="97" t="inlineStr">
        <is>
          <t>anonymus0550</t>
        </is>
      </c>
      <c r="B551" s="97" t="inlineStr">
        <is>
          <t>P</t>
        </is>
      </c>
      <c r="C551" s="97" t="inlineStr">
        <is>
          <t>1-34 Bulan</t>
        </is>
      </c>
      <c r="D551" s="97" t="inlineStr">
        <is>
          <t>9.5</t>
        </is>
      </c>
      <c r="E551" s="97" t="n">
        <v>79</v>
      </c>
      <c r="F551" s="97" t="inlineStr">
        <is>
          <t>Normal</t>
        </is>
      </c>
      <c r="G551" s="97" t="inlineStr">
        <is>
          <t>Normal</t>
        </is>
      </c>
      <c r="H551" s="106" t="inlineStr">
        <is>
          <t>Gizi Baik</t>
        </is>
      </c>
      <c r="I551" s="97" t="inlineStr">
        <is>
          <t>Ya</t>
        </is>
      </c>
      <c r="J551" s="97" t="inlineStr">
        <is>
          <t>Tidak</t>
        </is>
      </c>
      <c r="K551" s="107" t="n"/>
    </row>
    <row r="552" ht="15.75" customHeight="1" s="95">
      <c r="A552" s="97" t="inlineStr">
        <is>
          <t>anonymus0551</t>
        </is>
      </c>
      <c r="B552" s="97" t="inlineStr">
        <is>
          <t>P</t>
        </is>
      </c>
      <c r="C552" s="97" t="inlineStr">
        <is>
          <t>35-69 Bulan</t>
        </is>
      </c>
      <c r="D552" s="97" t="n">
        <v>11.5</v>
      </c>
      <c r="E552" s="97" t="n">
        <v>112</v>
      </c>
      <c r="F552" s="97" t="inlineStr">
        <is>
          <t>Normal</t>
        </is>
      </c>
      <c r="G552" s="97" t="inlineStr">
        <is>
          <t>Normal</t>
        </is>
      </c>
      <c r="H552" s="106" t="inlineStr">
        <is>
          <t>Gizi Baik</t>
        </is>
      </c>
      <c r="I552" s="97" t="inlineStr">
        <is>
          <t>Ya</t>
        </is>
      </c>
      <c r="J552" s="97" t="inlineStr">
        <is>
          <t>Tidak</t>
        </is>
      </c>
      <c r="K552" s="107" t="n"/>
    </row>
    <row r="553" ht="15.75" customHeight="1" s="95">
      <c r="A553" s="97" t="inlineStr">
        <is>
          <t>anonymus0552</t>
        </is>
      </c>
      <c r="B553" s="97" t="inlineStr">
        <is>
          <t>P</t>
        </is>
      </c>
      <c r="C553" s="97" t="inlineStr">
        <is>
          <t>1-34 Bulan</t>
        </is>
      </c>
      <c r="D553" s="97" t="n">
        <v>8.6</v>
      </c>
      <c r="E553" s="97" t="n">
        <v>100</v>
      </c>
      <c r="F553" s="97" t="inlineStr">
        <is>
          <t>Kurang</t>
        </is>
      </c>
      <c r="G553" s="97" t="inlineStr">
        <is>
          <t>Normal</t>
        </is>
      </c>
      <c r="H553" s="106" t="inlineStr">
        <is>
          <t>Gizi Kurang</t>
        </is>
      </c>
      <c r="I553" s="97" t="inlineStr">
        <is>
          <t>Ya</t>
        </is>
      </c>
      <c r="J553" s="97" t="inlineStr">
        <is>
          <t>Tidak</t>
        </is>
      </c>
      <c r="K553" s="107" t="n"/>
    </row>
    <row r="554" ht="15.75" customHeight="1" s="95">
      <c r="A554" s="97" t="inlineStr">
        <is>
          <t>anonymus0553</t>
        </is>
      </c>
      <c r="B554" s="97" t="inlineStr">
        <is>
          <t>L</t>
        </is>
      </c>
      <c r="C554" s="97" t="inlineStr">
        <is>
          <t>35-69 Bulan</t>
        </is>
      </c>
      <c r="D554" s="97" t="n">
        <v>18.2</v>
      </c>
      <c r="E554" s="97" t="n">
        <v>118</v>
      </c>
      <c r="F554" s="97" t="inlineStr">
        <is>
          <t>Risiko Lebih</t>
        </is>
      </c>
      <c r="G554" s="97" t="inlineStr">
        <is>
          <t>Normal</t>
        </is>
      </c>
      <c r="H554" s="106" t="inlineStr">
        <is>
          <t>Gizi Lebih</t>
        </is>
      </c>
      <c r="I554" s="97" t="inlineStr">
        <is>
          <t>Ya</t>
        </is>
      </c>
      <c r="J554" s="97" t="inlineStr">
        <is>
          <t>Tidak</t>
        </is>
      </c>
      <c r="K554" s="107" t="n"/>
    </row>
    <row r="555" ht="15.75" customHeight="1" s="95">
      <c r="A555" s="97" t="inlineStr">
        <is>
          <t>anonymus0554</t>
        </is>
      </c>
      <c r="B555" s="97" t="inlineStr">
        <is>
          <t>L</t>
        </is>
      </c>
      <c r="C555" s="97" t="inlineStr">
        <is>
          <t>1-34 Bulan</t>
        </is>
      </c>
      <c r="D555" s="97" t="n">
        <v>8</v>
      </c>
      <c r="E555" s="97" t="n">
        <v>70</v>
      </c>
      <c r="F555" s="97" t="inlineStr">
        <is>
          <t>Normal</t>
        </is>
      </c>
      <c r="G555" s="97" t="inlineStr">
        <is>
          <t>Normal</t>
        </is>
      </c>
      <c r="H555" s="106" t="inlineStr">
        <is>
          <t>Gizi Baik</t>
        </is>
      </c>
      <c r="I555" s="97" t="inlineStr">
        <is>
          <t>Ya</t>
        </is>
      </c>
      <c r="J555" s="97" t="inlineStr">
        <is>
          <t>Tidak</t>
        </is>
      </c>
      <c r="K555" s="107" t="n"/>
    </row>
    <row r="556" ht="15.75" customHeight="1" s="95">
      <c r="A556" s="97" t="inlineStr">
        <is>
          <t>anonymus0555</t>
        </is>
      </c>
      <c r="B556" s="97" t="inlineStr">
        <is>
          <t>L</t>
        </is>
      </c>
      <c r="C556" s="97" t="inlineStr">
        <is>
          <t>35-69 Bulan</t>
        </is>
      </c>
      <c r="D556" s="97" t="n">
        <v>13.2</v>
      </c>
      <c r="E556" s="97" t="n">
        <v>109</v>
      </c>
      <c r="F556" s="97" t="inlineStr">
        <is>
          <t>Normal</t>
        </is>
      </c>
      <c r="G556" s="97" t="inlineStr">
        <is>
          <t>Normal</t>
        </is>
      </c>
      <c r="H556" s="106" t="inlineStr">
        <is>
          <t>Gizi Baik</t>
        </is>
      </c>
      <c r="I556" s="97" t="inlineStr">
        <is>
          <t>Ya</t>
        </is>
      </c>
      <c r="J556" s="97" t="inlineStr">
        <is>
          <t>Tidak</t>
        </is>
      </c>
      <c r="K556" s="107" t="n"/>
    </row>
    <row r="557" ht="15.75" customHeight="1" s="95">
      <c r="A557" s="97" t="inlineStr">
        <is>
          <t>anonymus0556</t>
        </is>
      </c>
      <c r="B557" s="97" t="inlineStr">
        <is>
          <t>L</t>
        </is>
      </c>
      <c r="C557" s="97" t="inlineStr">
        <is>
          <t>35-69 Bulan</t>
        </is>
      </c>
      <c r="D557" s="97" t="n">
        <v>8.1</v>
      </c>
      <c r="E557" s="97" t="n">
        <v>76</v>
      </c>
      <c r="F557" s="97" t="inlineStr">
        <is>
          <t>Sangat Kurang</t>
        </is>
      </c>
      <c r="G557" s="97" t="inlineStr">
        <is>
          <t>Sangat Pendek</t>
        </is>
      </c>
      <c r="H557" s="106" t="inlineStr">
        <is>
          <t>Gizi Kurang</t>
        </is>
      </c>
      <c r="I557" s="97" t="inlineStr">
        <is>
          <t>Ya</t>
        </is>
      </c>
      <c r="J557" s="97" t="inlineStr">
        <is>
          <t>Potensi Stunting</t>
        </is>
      </c>
      <c r="K557" s="107" t="n"/>
    </row>
    <row r="558" ht="15.75" customHeight="1" s="95">
      <c r="A558" s="97" t="inlineStr">
        <is>
          <t>anonymus0557</t>
        </is>
      </c>
      <c r="B558" s="97" t="inlineStr">
        <is>
          <t>P</t>
        </is>
      </c>
      <c r="C558" s="97" t="inlineStr">
        <is>
          <t>1-34 Bulan</t>
        </is>
      </c>
      <c r="D558" s="97" t="n">
        <v>11.6</v>
      </c>
      <c r="E558" s="97" t="n">
        <v>72</v>
      </c>
      <c r="F558" s="97" t="inlineStr">
        <is>
          <t>Normal</t>
        </is>
      </c>
      <c r="G558" s="97" t="inlineStr">
        <is>
          <t>Normal</t>
        </is>
      </c>
      <c r="H558" s="106" t="inlineStr">
        <is>
          <t>Gizi Baik</t>
        </is>
      </c>
      <c r="I558" s="97" t="inlineStr">
        <is>
          <t>Ya</t>
        </is>
      </c>
      <c r="J558" s="97" t="inlineStr">
        <is>
          <t>Tidak</t>
        </is>
      </c>
      <c r="K558" s="107" t="n"/>
    </row>
    <row r="559" ht="15.75" customHeight="1" s="95">
      <c r="A559" s="97" t="inlineStr">
        <is>
          <t>anonymus0558</t>
        </is>
      </c>
      <c r="B559" s="97" t="inlineStr">
        <is>
          <t>L</t>
        </is>
      </c>
      <c r="C559" s="97" t="inlineStr">
        <is>
          <t>1-34 Bulan</t>
        </is>
      </c>
      <c r="D559" s="97" t="n">
        <v>9.800000000000001</v>
      </c>
      <c r="E559" s="97" t="n">
        <v>78</v>
      </c>
      <c r="F559" s="97" t="inlineStr">
        <is>
          <t>Normal</t>
        </is>
      </c>
      <c r="G559" s="97" t="inlineStr">
        <is>
          <t>Pendek</t>
        </is>
      </c>
      <c r="H559" s="106" t="inlineStr">
        <is>
          <t>Gizi Baik</t>
        </is>
      </c>
      <c r="I559" s="97" t="inlineStr">
        <is>
          <t>Ya</t>
        </is>
      </c>
      <c r="J559" s="97" t="inlineStr">
        <is>
          <t>Potensi Stunting</t>
        </is>
      </c>
      <c r="K559" s="107" t="n"/>
    </row>
    <row r="560" ht="15.75" customHeight="1" s="95">
      <c r="A560" s="97" t="inlineStr">
        <is>
          <t>anonymus0559</t>
        </is>
      </c>
      <c r="B560" s="97" t="inlineStr">
        <is>
          <t>L</t>
        </is>
      </c>
      <c r="C560" s="97" t="inlineStr">
        <is>
          <t>35-69 Bulan</t>
        </is>
      </c>
      <c r="D560" s="97" t="inlineStr">
        <is>
          <t>16.8</t>
        </is>
      </c>
      <c r="E560" s="97" t="n">
        <v>102</v>
      </c>
      <c r="F560" s="97" t="inlineStr">
        <is>
          <t>Normal</t>
        </is>
      </c>
      <c r="G560" s="97" t="inlineStr">
        <is>
          <t>Normal</t>
        </is>
      </c>
      <c r="H560" s="106" t="inlineStr">
        <is>
          <t>Gizi Baik</t>
        </is>
      </c>
      <c r="I560" s="97" t="inlineStr">
        <is>
          <t>Ya</t>
        </is>
      </c>
      <c r="J560" s="97" t="inlineStr">
        <is>
          <t>Tidak</t>
        </is>
      </c>
      <c r="K560" s="107" t="n"/>
    </row>
    <row r="561" ht="15.75" customHeight="1" s="95">
      <c r="A561" s="97" t="inlineStr">
        <is>
          <t>anonymus0560</t>
        </is>
      </c>
      <c r="B561" s="97" t="inlineStr">
        <is>
          <t>L</t>
        </is>
      </c>
      <c r="C561" s="97" t="inlineStr">
        <is>
          <t>1-34 Bulan</t>
        </is>
      </c>
      <c r="D561" s="97" t="n">
        <v>6</v>
      </c>
      <c r="E561" s="97" t="n">
        <v>89</v>
      </c>
      <c r="F561" s="97" t="inlineStr">
        <is>
          <t>Kurang</t>
        </is>
      </c>
      <c r="G561" s="97" t="inlineStr">
        <is>
          <t>Normal</t>
        </is>
      </c>
      <c r="H561" s="106" t="inlineStr">
        <is>
          <t>Gizi Kurang</t>
        </is>
      </c>
      <c r="I561" s="97" t="inlineStr">
        <is>
          <t>Ya</t>
        </is>
      </c>
      <c r="J561" s="97" t="inlineStr">
        <is>
          <t>Tidak</t>
        </is>
      </c>
      <c r="K561" s="107" t="n"/>
    </row>
    <row r="562" ht="15.75" customHeight="1" s="95">
      <c r="A562" s="97" t="inlineStr">
        <is>
          <t>anonymus0561</t>
        </is>
      </c>
      <c r="B562" s="97" t="inlineStr">
        <is>
          <t>P</t>
        </is>
      </c>
      <c r="C562" s="97" t="inlineStr">
        <is>
          <t>35-69 Bulan</t>
        </is>
      </c>
      <c r="D562" s="97" t="n">
        <v>11.5</v>
      </c>
      <c r="E562" s="97" t="n">
        <v>95</v>
      </c>
      <c r="F562" s="97" t="inlineStr">
        <is>
          <t>Normal</t>
        </is>
      </c>
      <c r="G562" s="97" t="inlineStr">
        <is>
          <t>Normal</t>
        </is>
      </c>
      <c r="H562" s="106" t="inlineStr">
        <is>
          <t>Gizi Baik</t>
        </is>
      </c>
      <c r="I562" s="97" t="inlineStr">
        <is>
          <t>Ya</t>
        </is>
      </c>
      <c r="J562" s="97" t="inlineStr">
        <is>
          <t>Tidak</t>
        </is>
      </c>
      <c r="K562" s="107" t="n"/>
    </row>
    <row r="563" ht="15.75" customHeight="1" s="95">
      <c r="A563" s="97" t="inlineStr">
        <is>
          <t>anonymus0562</t>
        </is>
      </c>
      <c r="B563" s="97" t="inlineStr">
        <is>
          <t>L</t>
        </is>
      </c>
      <c r="C563" s="97" t="inlineStr">
        <is>
          <t>35-69 Bulan</t>
        </is>
      </c>
      <c r="D563" s="97" t="n">
        <v>12.7</v>
      </c>
      <c r="E563" s="97" t="n">
        <v>94</v>
      </c>
      <c r="F563" s="97" t="inlineStr">
        <is>
          <t>Normal</t>
        </is>
      </c>
      <c r="G563" s="97" t="inlineStr">
        <is>
          <t>Normal</t>
        </is>
      </c>
      <c r="H563" s="106" t="inlineStr">
        <is>
          <t>Gizi Baik</t>
        </is>
      </c>
      <c r="I563" s="97" t="inlineStr">
        <is>
          <t>Ya</t>
        </is>
      </c>
      <c r="J563" s="97" t="inlineStr">
        <is>
          <t>Tidak</t>
        </is>
      </c>
      <c r="K563" s="107" t="n"/>
    </row>
    <row r="564" ht="15.75" customHeight="1" s="95">
      <c r="A564" s="97" t="inlineStr">
        <is>
          <t>anonymus0563</t>
        </is>
      </c>
      <c r="B564" s="97" t="inlineStr">
        <is>
          <t>L</t>
        </is>
      </c>
      <c r="C564" s="97" t="inlineStr">
        <is>
          <t>35-69 Bulan</t>
        </is>
      </c>
      <c r="D564" s="97" t="n">
        <v>13.2</v>
      </c>
      <c r="E564" s="97" t="n">
        <v>95</v>
      </c>
      <c r="F564" s="97" t="inlineStr">
        <is>
          <t>Normal</t>
        </is>
      </c>
      <c r="G564" s="97" t="inlineStr">
        <is>
          <t>Pendek</t>
        </is>
      </c>
      <c r="H564" s="106" t="inlineStr">
        <is>
          <t>Gizi Baik</t>
        </is>
      </c>
      <c r="I564" s="97" t="inlineStr">
        <is>
          <t>Ya</t>
        </is>
      </c>
      <c r="J564" s="97" t="inlineStr">
        <is>
          <t>Potensi Stunting</t>
        </is>
      </c>
      <c r="K564" s="107" t="n"/>
    </row>
    <row r="565" ht="15.75" customHeight="1" s="95">
      <c r="A565" s="97" t="inlineStr">
        <is>
          <t>anonymus0564</t>
        </is>
      </c>
      <c r="B565" s="97" t="inlineStr">
        <is>
          <t>P</t>
        </is>
      </c>
      <c r="C565" s="97" t="inlineStr">
        <is>
          <t>35-69 Bulan</t>
        </is>
      </c>
      <c r="D565" s="97" t="n">
        <v>10.6</v>
      </c>
      <c r="E565" s="97" t="n">
        <v>92</v>
      </c>
      <c r="F565" s="97" t="inlineStr">
        <is>
          <t>Kurang</t>
        </is>
      </c>
      <c r="G565" s="97" t="inlineStr">
        <is>
          <t>Normal</t>
        </is>
      </c>
      <c r="H565" s="106" t="inlineStr">
        <is>
          <t>Gizi Kurang</t>
        </is>
      </c>
      <c r="I565" s="97" t="inlineStr">
        <is>
          <t>Ya</t>
        </is>
      </c>
      <c r="J565" s="97" t="inlineStr">
        <is>
          <t>Tidak</t>
        </is>
      </c>
      <c r="K565" s="107" t="n"/>
    </row>
    <row r="566" ht="15.75" customHeight="1" s="95">
      <c r="A566" s="97" t="inlineStr">
        <is>
          <t>anonymus0565</t>
        </is>
      </c>
      <c r="B566" s="97" t="inlineStr">
        <is>
          <t>L</t>
        </is>
      </c>
      <c r="C566" s="97" t="inlineStr">
        <is>
          <t>35-69 Bulan</t>
        </is>
      </c>
      <c r="D566" s="97" t="inlineStr">
        <is>
          <t>17.9</t>
        </is>
      </c>
      <c r="E566" s="97" t="n">
        <v>103</v>
      </c>
      <c r="F566" s="97" t="inlineStr">
        <is>
          <t>Normal</t>
        </is>
      </c>
      <c r="G566" s="97" t="inlineStr">
        <is>
          <t>Normal</t>
        </is>
      </c>
      <c r="H566" s="106" t="inlineStr">
        <is>
          <t>Risiko Gizi Lebih</t>
        </is>
      </c>
      <c r="I566" s="97" t="inlineStr">
        <is>
          <t>Ya</t>
        </is>
      </c>
      <c r="J566" s="97" t="inlineStr">
        <is>
          <t>Tidak</t>
        </is>
      </c>
      <c r="K566" s="107" t="n"/>
    </row>
    <row r="567" ht="15.75" customHeight="1" s="95">
      <c r="A567" s="97" t="inlineStr">
        <is>
          <t>anonymus0566</t>
        </is>
      </c>
      <c r="B567" s="97" t="inlineStr">
        <is>
          <t>P</t>
        </is>
      </c>
      <c r="C567" s="97" t="inlineStr">
        <is>
          <t>35-69 Bulan</t>
        </is>
      </c>
      <c r="D567" s="97" t="n">
        <v>14.9</v>
      </c>
      <c r="E567" s="97" t="n">
        <v>118</v>
      </c>
      <c r="F567" s="97" t="inlineStr">
        <is>
          <t>Normal</t>
        </is>
      </c>
      <c r="G567" s="97" t="inlineStr">
        <is>
          <t>Normal</t>
        </is>
      </c>
      <c r="H567" s="106" t="inlineStr">
        <is>
          <t>Gizi Baik</t>
        </is>
      </c>
      <c r="I567" s="97" t="inlineStr">
        <is>
          <t>Ya</t>
        </is>
      </c>
      <c r="J567" s="97" t="inlineStr">
        <is>
          <t>Tidak</t>
        </is>
      </c>
      <c r="K567" s="107" t="n"/>
    </row>
    <row r="568" ht="15.75" customHeight="1" s="95">
      <c r="A568" s="97" t="inlineStr">
        <is>
          <t>anonymus0567</t>
        </is>
      </c>
      <c r="B568" s="97" t="inlineStr">
        <is>
          <t>L</t>
        </is>
      </c>
      <c r="C568" s="97" t="inlineStr">
        <is>
          <t>35-69 Bulan</t>
        </is>
      </c>
      <c r="D568" s="97" t="inlineStr">
        <is>
          <t>18.6</t>
        </is>
      </c>
      <c r="E568" s="97" t="n">
        <v>105</v>
      </c>
      <c r="F568" s="97" t="inlineStr">
        <is>
          <t>Normal</t>
        </is>
      </c>
      <c r="G568" s="97" t="inlineStr">
        <is>
          <t>Normal</t>
        </is>
      </c>
      <c r="H568" s="106" t="inlineStr">
        <is>
          <t>Gizi Buruk</t>
        </is>
      </c>
      <c r="I568" s="97" t="inlineStr">
        <is>
          <t>Ya</t>
        </is>
      </c>
      <c r="J568" s="97" t="inlineStr">
        <is>
          <t>Tidak</t>
        </is>
      </c>
      <c r="K568" s="107" t="n"/>
    </row>
    <row r="569" ht="15.75" customHeight="1" s="95">
      <c r="A569" s="97" t="inlineStr">
        <is>
          <t>anonymus0568</t>
        </is>
      </c>
      <c r="B569" s="97" t="inlineStr">
        <is>
          <t>P</t>
        </is>
      </c>
      <c r="C569" s="97" t="inlineStr">
        <is>
          <t>1-34 Bulan</t>
        </is>
      </c>
      <c r="D569" s="97" t="n">
        <v>10</v>
      </c>
      <c r="E569" s="97" t="n">
        <v>80</v>
      </c>
      <c r="F569" s="97" t="inlineStr">
        <is>
          <t>Normal</t>
        </is>
      </c>
      <c r="G569" s="97" t="inlineStr">
        <is>
          <t>Normal</t>
        </is>
      </c>
      <c r="H569" s="106" t="inlineStr">
        <is>
          <t>Gizi Baik</t>
        </is>
      </c>
      <c r="I569" s="97" t="inlineStr">
        <is>
          <t>Ya</t>
        </is>
      </c>
      <c r="J569" s="97" t="inlineStr">
        <is>
          <t>Tidak</t>
        </is>
      </c>
      <c r="K569" s="107" t="n"/>
    </row>
    <row r="570" ht="15.75" customHeight="1" s="95">
      <c r="A570" s="97" t="inlineStr">
        <is>
          <t>anonymus0569</t>
        </is>
      </c>
      <c r="B570" s="97" t="inlineStr">
        <is>
          <t>P</t>
        </is>
      </c>
      <c r="C570" s="97" t="inlineStr">
        <is>
          <t>1-34 Bulan</t>
        </is>
      </c>
      <c r="D570" s="97" t="n">
        <v>14.4</v>
      </c>
      <c r="E570" s="97" t="n">
        <v>82</v>
      </c>
      <c r="F570" s="97" t="inlineStr">
        <is>
          <t>Normal</t>
        </is>
      </c>
      <c r="G570" s="97" t="inlineStr">
        <is>
          <t>Normal</t>
        </is>
      </c>
      <c r="H570" s="106" t="inlineStr">
        <is>
          <t>Gizi Baik</t>
        </is>
      </c>
      <c r="I570" s="97" t="inlineStr">
        <is>
          <t>Ya</t>
        </is>
      </c>
      <c r="J570" s="97" t="inlineStr">
        <is>
          <t>Tidak</t>
        </is>
      </c>
      <c r="K570" s="107" t="n"/>
    </row>
    <row r="571" ht="15.75" customHeight="1" s="95">
      <c r="A571" s="97" t="inlineStr">
        <is>
          <t>anonymus0570</t>
        </is>
      </c>
      <c r="B571" s="97" t="inlineStr">
        <is>
          <t>L</t>
        </is>
      </c>
      <c r="C571" s="97" t="inlineStr">
        <is>
          <t>1-34 Bulan</t>
        </is>
      </c>
      <c r="D571" s="97" t="n">
        <v>11.1</v>
      </c>
      <c r="E571" s="97" t="n">
        <v>76</v>
      </c>
      <c r="F571" s="97" t="inlineStr">
        <is>
          <t>Normal</t>
        </is>
      </c>
      <c r="G571" s="97" t="inlineStr">
        <is>
          <t>Normal</t>
        </is>
      </c>
      <c r="H571" s="106" t="inlineStr">
        <is>
          <t>Gizi Baik</t>
        </is>
      </c>
      <c r="I571" s="97" t="inlineStr">
        <is>
          <t>Ya</t>
        </is>
      </c>
      <c r="J571" s="97" t="inlineStr">
        <is>
          <t>Tidak</t>
        </is>
      </c>
      <c r="K571" s="107" t="n"/>
    </row>
    <row r="572" ht="15.75" customHeight="1" s="95">
      <c r="A572" s="97" t="inlineStr">
        <is>
          <t>anonymus0571</t>
        </is>
      </c>
      <c r="B572" s="97" t="inlineStr">
        <is>
          <t>P</t>
        </is>
      </c>
      <c r="C572" s="97" t="inlineStr">
        <is>
          <t>1-34 Bulan</t>
        </is>
      </c>
      <c r="D572" s="97" t="n">
        <v>7.7</v>
      </c>
      <c r="E572" s="97" t="n">
        <v>83</v>
      </c>
      <c r="F572" s="97" t="inlineStr">
        <is>
          <t>Kurang</t>
        </is>
      </c>
      <c r="G572" s="97" t="inlineStr">
        <is>
          <t>Normal</t>
        </is>
      </c>
      <c r="H572" s="106" t="inlineStr">
        <is>
          <t>Gizi Kurang</t>
        </is>
      </c>
      <c r="I572" s="97" t="inlineStr">
        <is>
          <t>Ya</t>
        </is>
      </c>
      <c r="J572" s="97" t="inlineStr">
        <is>
          <t>Tidak</t>
        </is>
      </c>
      <c r="K572" s="107" t="n"/>
    </row>
    <row r="573" ht="15.75" customHeight="1" s="95">
      <c r="A573" s="97" t="inlineStr">
        <is>
          <t>anonymus0572</t>
        </is>
      </c>
      <c r="B573" s="97" t="inlineStr">
        <is>
          <t>P</t>
        </is>
      </c>
      <c r="C573" s="97" t="inlineStr">
        <is>
          <t>1-34 Bulan</t>
        </is>
      </c>
      <c r="D573" s="97" t="n">
        <v>6.3</v>
      </c>
      <c r="E573" s="97" t="n">
        <v>80</v>
      </c>
      <c r="F573" s="97" t="inlineStr">
        <is>
          <t>Kurang</t>
        </is>
      </c>
      <c r="G573" s="97" t="inlineStr">
        <is>
          <t>Normal</t>
        </is>
      </c>
      <c r="H573" s="106" t="inlineStr">
        <is>
          <t>Gizi Kurang</t>
        </is>
      </c>
      <c r="I573" s="97" t="inlineStr">
        <is>
          <t>Ya</t>
        </is>
      </c>
      <c r="J573" s="97" t="inlineStr">
        <is>
          <t>Tidak</t>
        </is>
      </c>
      <c r="K573" s="107" t="n"/>
    </row>
    <row r="574" ht="15.75" customHeight="1" s="95">
      <c r="A574" s="97" t="inlineStr">
        <is>
          <t>anonymus0573</t>
        </is>
      </c>
      <c r="B574" s="97" t="inlineStr">
        <is>
          <t>L</t>
        </is>
      </c>
      <c r="C574" s="97" t="inlineStr">
        <is>
          <t>1-34 Bulan</t>
        </is>
      </c>
      <c r="D574" s="97" t="n">
        <v>14.5</v>
      </c>
      <c r="E574" s="97" t="n">
        <v>88</v>
      </c>
      <c r="F574" s="97" t="inlineStr">
        <is>
          <t>Normal</t>
        </is>
      </c>
      <c r="G574" s="97" t="inlineStr">
        <is>
          <t>Normal</t>
        </is>
      </c>
      <c r="H574" s="106" t="inlineStr">
        <is>
          <t>Gizi Baik</t>
        </is>
      </c>
      <c r="I574" s="97" t="inlineStr">
        <is>
          <t>Ya</t>
        </is>
      </c>
      <c r="J574" s="97" t="inlineStr">
        <is>
          <t>Tidak</t>
        </is>
      </c>
      <c r="K574" s="107" t="n"/>
    </row>
    <row r="575" ht="15.75" customHeight="1" s="95">
      <c r="A575" s="97" t="inlineStr">
        <is>
          <t>anonymus0574</t>
        </is>
      </c>
      <c r="B575" s="97" t="inlineStr">
        <is>
          <t>P</t>
        </is>
      </c>
      <c r="C575" s="97" t="inlineStr">
        <is>
          <t>35-69 Bulan</t>
        </is>
      </c>
      <c r="D575" s="97" t="inlineStr">
        <is>
          <t>12.1</t>
        </is>
      </c>
      <c r="E575" s="97" t="n">
        <v>104</v>
      </c>
      <c r="F575" s="97" t="inlineStr">
        <is>
          <t>Kurang</t>
        </is>
      </c>
      <c r="G575" s="97" t="inlineStr">
        <is>
          <t>Normal</t>
        </is>
      </c>
      <c r="H575" s="106" t="inlineStr">
        <is>
          <t>Gizi Buruk</t>
        </is>
      </c>
      <c r="I575" s="97" t="inlineStr">
        <is>
          <t>Ya</t>
        </is>
      </c>
      <c r="J575" s="97" t="inlineStr">
        <is>
          <t>Tidak</t>
        </is>
      </c>
      <c r="K575" s="107" t="n"/>
    </row>
    <row r="576" ht="15.75" customHeight="1" s="95">
      <c r="A576" s="97" t="inlineStr">
        <is>
          <t>anonymus0575</t>
        </is>
      </c>
      <c r="B576" s="97" t="inlineStr">
        <is>
          <t>L</t>
        </is>
      </c>
      <c r="C576" s="97" t="inlineStr">
        <is>
          <t>1-34 Bulan</t>
        </is>
      </c>
      <c r="D576" s="97" t="inlineStr">
        <is>
          <t>14.6</t>
        </is>
      </c>
      <c r="E576" s="97" t="n">
        <v>92</v>
      </c>
      <c r="F576" s="97" t="inlineStr">
        <is>
          <t>Normal</t>
        </is>
      </c>
      <c r="G576" s="97" t="inlineStr">
        <is>
          <t>Normal</t>
        </is>
      </c>
      <c r="H576" s="106" t="inlineStr">
        <is>
          <t>Risiko Gizi Lebih</t>
        </is>
      </c>
      <c r="I576" s="97" t="inlineStr">
        <is>
          <t>Ya</t>
        </is>
      </c>
      <c r="J576" s="97" t="inlineStr">
        <is>
          <t>Tidak</t>
        </is>
      </c>
      <c r="K576" s="107" t="n"/>
    </row>
    <row r="577" ht="15.75" customHeight="1" s="95">
      <c r="A577" s="97" t="inlineStr">
        <is>
          <t>anonymus0576</t>
        </is>
      </c>
      <c r="B577" s="97" t="inlineStr">
        <is>
          <t>P</t>
        </is>
      </c>
      <c r="C577" s="97" t="inlineStr">
        <is>
          <t>35-69 Bulan</t>
        </is>
      </c>
      <c r="D577" s="97" t="n">
        <v>14.4</v>
      </c>
      <c r="E577" s="97" t="n">
        <v>108</v>
      </c>
      <c r="F577" s="97" t="inlineStr">
        <is>
          <t>Normal</t>
        </is>
      </c>
      <c r="G577" s="97" t="inlineStr">
        <is>
          <t>Normal</t>
        </is>
      </c>
      <c r="H577" s="106" t="inlineStr">
        <is>
          <t>Gizi Baik</t>
        </is>
      </c>
      <c r="I577" s="97" t="inlineStr">
        <is>
          <t>Ya</t>
        </is>
      </c>
      <c r="J577" s="97" t="inlineStr">
        <is>
          <t>Tidak</t>
        </is>
      </c>
      <c r="K577" s="107" t="n"/>
    </row>
    <row r="578" ht="15.75" customHeight="1" s="95">
      <c r="A578" s="97" t="inlineStr">
        <is>
          <t>anonymus0577</t>
        </is>
      </c>
      <c r="B578" s="97" t="inlineStr">
        <is>
          <t>P</t>
        </is>
      </c>
      <c r="C578" s="97" t="inlineStr">
        <is>
          <t>1-34 Bulan</t>
        </is>
      </c>
      <c r="D578" s="97" t="n">
        <v>6.9</v>
      </c>
      <c r="E578" s="97" t="n">
        <v>72</v>
      </c>
      <c r="F578" s="97" t="inlineStr">
        <is>
          <t>Kurang</t>
        </is>
      </c>
      <c r="G578" s="97" t="inlineStr">
        <is>
          <t>Normal</t>
        </is>
      </c>
      <c r="H578" s="106" t="inlineStr">
        <is>
          <t>Gizi Kurang</t>
        </is>
      </c>
      <c r="I578" s="97" t="inlineStr">
        <is>
          <t>Ya</t>
        </is>
      </c>
      <c r="J578" s="97" t="inlineStr">
        <is>
          <t>Tidak</t>
        </is>
      </c>
      <c r="K578" s="107" t="n"/>
    </row>
    <row r="579" ht="15.75" customHeight="1" s="95">
      <c r="A579" s="97" t="inlineStr">
        <is>
          <t>anonymus0578</t>
        </is>
      </c>
      <c r="B579" s="97" t="inlineStr">
        <is>
          <t>P</t>
        </is>
      </c>
      <c r="C579" s="97" t="inlineStr">
        <is>
          <t>1-34 Bulan</t>
        </is>
      </c>
      <c r="D579" s="97" t="n">
        <v>6.6</v>
      </c>
      <c r="E579" s="97" t="n">
        <v>69</v>
      </c>
      <c r="F579" s="97" t="inlineStr">
        <is>
          <t>Sangat Kurang</t>
        </is>
      </c>
      <c r="G579" s="97" t="inlineStr">
        <is>
          <t>Sangat Pendek</t>
        </is>
      </c>
      <c r="H579" s="106" t="inlineStr">
        <is>
          <t>Gizi Kurang</t>
        </is>
      </c>
      <c r="I579" s="97" t="inlineStr">
        <is>
          <t>Ya</t>
        </is>
      </c>
      <c r="J579" s="97" t="inlineStr">
        <is>
          <t>Potensi Stunting</t>
        </is>
      </c>
      <c r="K579" s="107" t="n"/>
    </row>
    <row r="580" ht="15.75" customHeight="1" s="95">
      <c r="A580" s="97" t="inlineStr">
        <is>
          <t>anonymus0579</t>
        </is>
      </c>
      <c r="B580" s="97" t="inlineStr">
        <is>
          <t>P</t>
        </is>
      </c>
      <c r="C580" s="97" t="inlineStr">
        <is>
          <t>1-34 Bulan</t>
        </is>
      </c>
      <c r="D580" s="97" t="n">
        <v>14.9</v>
      </c>
      <c r="E580" s="97" t="n">
        <v>97</v>
      </c>
      <c r="F580" s="97" t="inlineStr">
        <is>
          <t>Normal</t>
        </is>
      </c>
      <c r="G580" s="97" t="inlineStr">
        <is>
          <t>Normal</t>
        </is>
      </c>
      <c r="H580" s="106" t="inlineStr">
        <is>
          <t>Gizi Baik</t>
        </is>
      </c>
      <c r="I580" s="97" t="inlineStr">
        <is>
          <t>Ya</t>
        </is>
      </c>
      <c r="J580" s="97" t="inlineStr">
        <is>
          <t>Tidak</t>
        </is>
      </c>
      <c r="K580" s="107" t="n"/>
    </row>
    <row r="581" ht="15.75" customHeight="1" s="95">
      <c r="A581" s="97" t="inlineStr">
        <is>
          <t>anonymus0580</t>
        </is>
      </c>
      <c r="B581" s="97" t="inlineStr">
        <is>
          <t>L</t>
        </is>
      </c>
      <c r="C581" s="97" t="inlineStr">
        <is>
          <t>35-69 Bulan</t>
        </is>
      </c>
      <c r="D581" s="97" t="n">
        <v>11.1</v>
      </c>
      <c r="E581" s="97" t="n">
        <v>83</v>
      </c>
      <c r="F581" s="97" t="inlineStr">
        <is>
          <t>Normal</t>
        </is>
      </c>
      <c r="G581" s="97" t="inlineStr">
        <is>
          <t>Pendek</t>
        </is>
      </c>
      <c r="H581" s="106" t="inlineStr">
        <is>
          <t>Gizi Baik</t>
        </is>
      </c>
      <c r="I581" s="97" t="inlineStr">
        <is>
          <t>Ya</t>
        </is>
      </c>
      <c r="J581" s="97" t="inlineStr">
        <is>
          <t>Potensi Stunting</t>
        </is>
      </c>
      <c r="K581" s="107" t="n"/>
    </row>
    <row r="582" ht="15.75" customHeight="1" s="95">
      <c r="A582" s="97" t="inlineStr">
        <is>
          <t>anonymus0581</t>
        </is>
      </c>
      <c r="B582" s="97" t="inlineStr">
        <is>
          <t>L</t>
        </is>
      </c>
      <c r="C582" s="97" t="inlineStr">
        <is>
          <t>35-69 Bulan</t>
        </is>
      </c>
      <c r="D582" s="97" t="inlineStr">
        <is>
          <t>12.4</t>
        </is>
      </c>
      <c r="E582" s="97" t="n">
        <v>87</v>
      </c>
      <c r="F582" s="97" t="inlineStr">
        <is>
          <t>Normal</t>
        </is>
      </c>
      <c r="G582" s="97" t="inlineStr">
        <is>
          <t>Normal</t>
        </is>
      </c>
      <c r="H582" s="106" t="inlineStr">
        <is>
          <t>Gizi Baik</t>
        </is>
      </c>
      <c r="I582" s="97" t="inlineStr">
        <is>
          <t>Ya</t>
        </is>
      </c>
      <c r="J582" s="97" t="inlineStr">
        <is>
          <t>Tidak</t>
        </is>
      </c>
      <c r="K582" s="107" t="n"/>
    </row>
    <row r="583" ht="15.75" customHeight="1" s="95">
      <c r="A583" s="97" t="inlineStr">
        <is>
          <t>anonymus0582</t>
        </is>
      </c>
      <c r="B583" s="97" t="inlineStr">
        <is>
          <t>P</t>
        </is>
      </c>
      <c r="C583" s="97" t="inlineStr">
        <is>
          <t>35-69 Bulan</t>
        </is>
      </c>
      <c r="D583" s="97" t="n">
        <v>11</v>
      </c>
      <c r="E583" s="97" t="n">
        <v>92</v>
      </c>
      <c r="F583" s="97" t="inlineStr">
        <is>
          <t>Normal</t>
        </is>
      </c>
      <c r="G583" s="97" t="inlineStr">
        <is>
          <t>Normal</t>
        </is>
      </c>
      <c r="H583" s="106" t="inlineStr">
        <is>
          <t>Gizi Kurang</t>
        </is>
      </c>
      <c r="I583" s="97" t="inlineStr">
        <is>
          <t>Ya</t>
        </is>
      </c>
      <c r="J583" s="97" t="inlineStr">
        <is>
          <t>Tidak</t>
        </is>
      </c>
      <c r="K583" s="107" t="n"/>
    </row>
    <row r="584" ht="15.75" customHeight="1" s="95">
      <c r="A584" s="97" t="inlineStr">
        <is>
          <t>anonymus0583</t>
        </is>
      </c>
      <c r="B584" s="97" t="inlineStr">
        <is>
          <t>P</t>
        </is>
      </c>
      <c r="C584" s="97" t="inlineStr">
        <is>
          <t>1-34 Bulan</t>
        </is>
      </c>
      <c r="D584" s="97" t="inlineStr">
        <is>
          <t>12.5</t>
        </is>
      </c>
      <c r="E584" s="97" t="n">
        <v>93</v>
      </c>
      <c r="F584" s="97" t="inlineStr">
        <is>
          <t>Normal</t>
        </is>
      </c>
      <c r="G584" s="97" t="inlineStr">
        <is>
          <t>Normal</t>
        </is>
      </c>
      <c r="H584" s="106" t="inlineStr">
        <is>
          <t>Gizi Baik</t>
        </is>
      </c>
      <c r="I584" s="97" t="inlineStr">
        <is>
          <t>Ya</t>
        </is>
      </c>
      <c r="J584" s="97" t="inlineStr">
        <is>
          <t>Tidak</t>
        </is>
      </c>
      <c r="K584" s="107" t="n"/>
    </row>
    <row r="585" ht="15.75" customHeight="1" s="95">
      <c r="A585" s="97" t="inlineStr">
        <is>
          <t>anonymus0584</t>
        </is>
      </c>
      <c r="B585" s="97" t="inlineStr">
        <is>
          <t>P</t>
        </is>
      </c>
      <c r="C585" s="97" t="inlineStr">
        <is>
          <t>1-34 Bulan</t>
        </is>
      </c>
      <c r="D585" s="97" t="inlineStr">
        <is>
          <t>6.7</t>
        </is>
      </c>
      <c r="E585" s="97" t="n">
        <v>65</v>
      </c>
      <c r="F585" s="97" t="inlineStr">
        <is>
          <t>Normal</t>
        </is>
      </c>
      <c r="G585" s="97" t="inlineStr">
        <is>
          <t>Normal</t>
        </is>
      </c>
      <c r="H585" s="106" t="inlineStr">
        <is>
          <t>Gizi Baik</t>
        </is>
      </c>
      <c r="I585" s="97" t="inlineStr">
        <is>
          <t>Ya</t>
        </is>
      </c>
      <c r="J585" s="97" t="inlineStr">
        <is>
          <t>Tidak</t>
        </is>
      </c>
      <c r="K585" s="107" t="n"/>
    </row>
    <row r="586" ht="15.75" customHeight="1" s="95">
      <c r="A586" s="97" t="inlineStr">
        <is>
          <t>anonymus0585</t>
        </is>
      </c>
      <c r="B586" s="97" t="inlineStr">
        <is>
          <t>L</t>
        </is>
      </c>
      <c r="C586" s="97" t="inlineStr">
        <is>
          <t>35-69 Bulan</t>
        </is>
      </c>
      <c r="D586" s="97" t="n">
        <v>16</v>
      </c>
      <c r="E586" s="97" t="n">
        <v>101</v>
      </c>
      <c r="F586" s="97" t="inlineStr">
        <is>
          <t>Normal</t>
        </is>
      </c>
      <c r="G586" s="97" t="inlineStr">
        <is>
          <t>Normal</t>
        </is>
      </c>
      <c r="H586" s="106" t="inlineStr">
        <is>
          <t>Gizi Baik</t>
        </is>
      </c>
      <c r="I586" s="97" t="inlineStr">
        <is>
          <t>Ya</t>
        </is>
      </c>
      <c r="J586" s="97" t="inlineStr">
        <is>
          <t>Tidak</t>
        </is>
      </c>
      <c r="K586" s="107" t="n"/>
    </row>
    <row r="587" ht="15.75" customHeight="1" s="95">
      <c r="A587" s="97" t="inlineStr">
        <is>
          <t>anonymus0586</t>
        </is>
      </c>
      <c r="B587" s="97" t="inlineStr">
        <is>
          <t>P</t>
        </is>
      </c>
      <c r="C587" s="97" t="inlineStr">
        <is>
          <t>1-34 Bulan</t>
        </is>
      </c>
      <c r="D587" s="97" t="n">
        <v>9.699999999999999</v>
      </c>
      <c r="E587" s="97" t="n">
        <v>72</v>
      </c>
      <c r="F587" s="97" t="inlineStr">
        <is>
          <t>Normal</t>
        </is>
      </c>
      <c r="G587" s="97" t="inlineStr">
        <is>
          <t>Normal</t>
        </is>
      </c>
      <c r="H587" s="106" t="inlineStr">
        <is>
          <t>Gizi Baik</t>
        </is>
      </c>
      <c r="I587" s="97" t="inlineStr">
        <is>
          <t>Ya</t>
        </is>
      </c>
      <c r="J587" s="97" t="inlineStr">
        <is>
          <t>Tidak</t>
        </is>
      </c>
      <c r="K587" s="107" t="n"/>
    </row>
    <row r="588" ht="15.75" customHeight="1" s="95">
      <c r="A588" s="97" t="inlineStr">
        <is>
          <t>anonymus0587</t>
        </is>
      </c>
      <c r="B588" s="97" t="inlineStr">
        <is>
          <t>L</t>
        </is>
      </c>
      <c r="C588" s="97" t="inlineStr">
        <is>
          <t>35-69 Bulan</t>
        </is>
      </c>
      <c r="D588" s="97" t="n">
        <v>11</v>
      </c>
      <c r="E588" s="97" t="n">
        <v>93</v>
      </c>
      <c r="F588" s="97" t="inlineStr">
        <is>
          <t>Kurang</t>
        </is>
      </c>
      <c r="G588" s="97" t="inlineStr">
        <is>
          <t>Normal</t>
        </is>
      </c>
      <c r="H588" s="106" t="inlineStr">
        <is>
          <t>Gizi Kurang</t>
        </is>
      </c>
      <c r="I588" s="97" t="inlineStr">
        <is>
          <t>Ya</t>
        </is>
      </c>
      <c r="J588" s="97" t="inlineStr">
        <is>
          <t>Tidak</t>
        </is>
      </c>
      <c r="K588" s="107" t="n"/>
    </row>
    <row r="589" ht="15.75" customHeight="1" s="95">
      <c r="A589" s="97" t="inlineStr">
        <is>
          <t>anonymus0588</t>
        </is>
      </c>
      <c r="B589" s="97" t="inlineStr">
        <is>
          <t>L</t>
        </is>
      </c>
      <c r="C589" s="97" t="inlineStr">
        <is>
          <t>35-69 Bulan</t>
        </is>
      </c>
      <c r="D589" s="97" t="n">
        <v>14</v>
      </c>
      <c r="E589" s="97" t="inlineStr">
        <is>
          <t>102.5</t>
        </is>
      </c>
      <c r="F589" s="97" t="inlineStr">
        <is>
          <t>Normal</t>
        </is>
      </c>
      <c r="G589" s="97" t="inlineStr">
        <is>
          <t>Normal</t>
        </is>
      </c>
      <c r="H589" s="106" t="inlineStr">
        <is>
          <t>Gizi Baik</t>
        </is>
      </c>
      <c r="I589" s="97" t="inlineStr">
        <is>
          <t>Ya</t>
        </is>
      </c>
      <c r="J589" s="97" t="inlineStr">
        <is>
          <t>Tidak</t>
        </is>
      </c>
      <c r="K589" s="107" t="n"/>
    </row>
    <row r="590" ht="15.75" customHeight="1" s="95">
      <c r="A590" s="97" t="inlineStr">
        <is>
          <t>anonymus0589</t>
        </is>
      </c>
      <c r="B590" s="97" t="inlineStr">
        <is>
          <t>L</t>
        </is>
      </c>
      <c r="C590" s="97" t="inlineStr">
        <is>
          <t>1-34 Bulan</t>
        </is>
      </c>
      <c r="D590" s="97" t="inlineStr">
        <is>
          <t>9.2</t>
        </is>
      </c>
      <c r="E590" s="97" t="n">
        <v>75</v>
      </c>
      <c r="F590" s="97" t="inlineStr">
        <is>
          <t>Normal</t>
        </is>
      </c>
      <c r="G590" s="97" t="inlineStr">
        <is>
          <t>Normal</t>
        </is>
      </c>
      <c r="H590" s="106" t="inlineStr">
        <is>
          <t>Gizi Baik</t>
        </is>
      </c>
      <c r="I590" s="97" t="inlineStr">
        <is>
          <t>Ya</t>
        </is>
      </c>
      <c r="J590" s="97" t="inlineStr">
        <is>
          <t>Tidak</t>
        </is>
      </c>
      <c r="K590" s="107" t="n"/>
    </row>
    <row r="591" ht="15.75" customHeight="1" s="95">
      <c r="A591" s="97" t="inlineStr">
        <is>
          <t>anonymus0590</t>
        </is>
      </c>
      <c r="B591" s="97" t="inlineStr">
        <is>
          <t>L</t>
        </is>
      </c>
      <c r="C591" s="97" t="inlineStr">
        <is>
          <t>35-69 Bulan</t>
        </is>
      </c>
      <c r="D591" s="97" t="n">
        <v>12</v>
      </c>
      <c r="E591" s="97" t="n">
        <v>95</v>
      </c>
      <c r="F591" s="97" t="inlineStr">
        <is>
          <t>Normal</t>
        </is>
      </c>
      <c r="G591" s="97" t="inlineStr">
        <is>
          <t>Normal</t>
        </is>
      </c>
      <c r="H591" s="106" t="inlineStr">
        <is>
          <t>Gizi Kurang</t>
        </is>
      </c>
      <c r="I591" s="97" t="inlineStr">
        <is>
          <t>Ya</t>
        </is>
      </c>
      <c r="J591" s="97" t="inlineStr">
        <is>
          <t>Tidak</t>
        </is>
      </c>
      <c r="K591" s="107" t="n"/>
    </row>
    <row r="592" ht="15.75" customHeight="1" s="95">
      <c r="A592" s="97" t="inlineStr">
        <is>
          <t>anonymus0591</t>
        </is>
      </c>
      <c r="B592" s="97" t="inlineStr">
        <is>
          <t>P</t>
        </is>
      </c>
      <c r="C592" s="97" t="inlineStr">
        <is>
          <t>35-69 Bulan</t>
        </is>
      </c>
      <c r="D592" s="97" t="n">
        <v>12.55</v>
      </c>
      <c r="E592" s="97" t="n">
        <v>103</v>
      </c>
      <c r="F592" s="97" t="inlineStr">
        <is>
          <t>Normal</t>
        </is>
      </c>
      <c r="G592" s="97" t="inlineStr">
        <is>
          <t>Normal</t>
        </is>
      </c>
      <c r="H592" s="106" t="inlineStr">
        <is>
          <t>Gizi Kurang</t>
        </is>
      </c>
      <c r="I592" s="97" t="inlineStr">
        <is>
          <t>Ya</t>
        </is>
      </c>
      <c r="J592" s="97" t="inlineStr">
        <is>
          <t>Tidak</t>
        </is>
      </c>
      <c r="K592" s="107" t="n"/>
    </row>
    <row r="593" ht="15.75" customHeight="1" s="95">
      <c r="A593" s="97" t="inlineStr">
        <is>
          <t>anonymus0592</t>
        </is>
      </c>
      <c r="B593" s="97" t="inlineStr">
        <is>
          <t>L</t>
        </is>
      </c>
      <c r="C593" s="97" t="inlineStr">
        <is>
          <t>35-69 Bulan</t>
        </is>
      </c>
      <c r="D593" s="97" t="n">
        <v>11.7</v>
      </c>
      <c r="E593" s="97" t="n">
        <v>94</v>
      </c>
      <c r="F593" s="97" t="inlineStr">
        <is>
          <t>Kurang</t>
        </is>
      </c>
      <c r="G593" s="97" t="inlineStr">
        <is>
          <t>Pendek</t>
        </is>
      </c>
      <c r="H593" s="106" t="inlineStr">
        <is>
          <t>Gizi Kurang</t>
        </is>
      </c>
      <c r="I593" s="97" t="inlineStr">
        <is>
          <t>Ya</t>
        </is>
      </c>
      <c r="J593" s="97" t="inlineStr">
        <is>
          <t>Potensi Stunting</t>
        </is>
      </c>
      <c r="K593" s="107" t="n"/>
    </row>
    <row r="594" ht="15.75" customHeight="1" s="95">
      <c r="A594" s="97" t="inlineStr">
        <is>
          <t>anonymus0593</t>
        </is>
      </c>
      <c r="B594" s="97" t="inlineStr">
        <is>
          <t>L</t>
        </is>
      </c>
      <c r="C594" s="97" t="inlineStr">
        <is>
          <t>35-69 Bulan</t>
        </is>
      </c>
      <c r="D594" s="97" t="inlineStr">
        <is>
          <t>17.2</t>
        </is>
      </c>
      <c r="E594" s="97" t="n">
        <v>103</v>
      </c>
      <c r="F594" s="97" t="inlineStr">
        <is>
          <t>Normal</t>
        </is>
      </c>
      <c r="G594" s="97" t="inlineStr">
        <is>
          <t>Normal</t>
        </is>
      </c>
      <c r="H594" s="106" t="inlineStr">
        <is>
          <t>Gizi Baik</t>
        </is>
      </c>
      <c r="I594" s="97" t="inlineStr">
        <is>
          <t>Ya</t>
        </is>
      </c>
      <c r="J594" s="97" t="inlineStr">
        <is>
          <t>Tidak</t>
        </is>
      </c>
      <c r="K594" s="107" t="n"/>
    </row>
    <row r="595" ht="15.75" customHeight="1" s="95">
      <c r="A595" s="97" t="inlineStr">
        <is>
          <t>anonymus0594</t>
        </is>
      </c>
      <c r="B595" s="97" t="inlineStr">
        <is>
          <t>L</t>
        </is>
      </c>
      <c r="C595" s="97" t="inlineStr">
        <is>
          <t>1-34 Bulan</t>
        </is>
      </c>
      <c r="D595" s="97" t="n">
        <v>10.5</v>
      </c>
      <c r="E595" s="97" t="n">
        <v>76</v>
      </c>
      <c r="F595" s="97" t="inlineStr">
        <is>
          <t>Normal</t>
        </is>
      </c>
      <c r="G595" s="97" t="inlineStr">
        <is>
          <t>Sangat Pendek</t>
        </is>
      </c>
      <c r="H595" s="106" t="inlineStr">
        <is>
          <t>Gizi Baik</t>
        </is>
      </c>
      <c r="I595" s="97" t="inlineStr">
        <is>
          <t>Ya</t>
        </is>
      </c>
      <c r="J595" s="97" t="inlineStr">
        <is>
          <t>Stunting</t>
        </is>
      </c>
      <c r="K595" s="107" t="n"/>
    </row>
    <row r="596" ht="15.75" customHeight="1" s="95">
      <c r="A596" s="97" t="inlineStr">
        <is>
          <t>anonymus0595</t>
        </is>
      </c>
      <c r="B596" s="97" t="inlineStr">
        <is>
          <t>L</t>
        </is>
      </c>
      <c r="C596" s="97" t="inlineStr">
        <is>
          <t>35-69 Bulan</t>
        </is>
      </c>
      <c r="D596" s="97" t="inlineStr">
        <is>
          <t>19.3</t>
        </is>
      </c>
      <c r="E596" s="97" t="n">
        <v>111</v>
      </c>
      <c r="F596" s="97" t="inlineStr">
        <is>
          <t>Normal</t>
        </is>
      </c>
      <c r="G596" s="97" t="inlineStr">
        <is>
          <t>Normal</t>
        </is>
      </c>
      <c r="H596" s="106" t="inlineStr">
        <is>
          <t>Gizi Baik</t>
        </is>
      </c>
      <c r="I596" s="97" t="inlineStr">
        <is>
          <t>Ya</t>
        </is>
      </c>
      <c r="J596" s="97" t="inlineStr">
        <is>
          <t>Tidak</t>
        </is>
      </c>
      <c r="K596" s="107" t="n"/>
    </row>
    <row r="597" ht="15.75" customHeight="1" s="95">
      <c r="A597" s="97" t="inlineStr">
        <is>
          <t>anonymus0596</t>
        </is>
      </c>
      <c r="B597" s="97" t="inlineStr">
        <is>
          <t>P</t>
        </is>
      </c>
      <c r="C597" s="97" t="inlineStr">
        <is>
          <t>35-69 Bulan</t>
        </is>
      </c>
      <c r="D597" s="97" t="inlineStr">
        <is>
          <t>13.6</t>
        </is>
      </c>
      <c r="E597" s="97" t="n">
        <v>94</v>
      </c>
      <c r="F597" s="97" t="inlineStr">
        <is>
          <t>Risiko Lebih</t>
        </is>
      </c>
      <c r="G597" s="97" t="inlineStr">
        <is>
          <t>Normal</t>
        </is>
      </c>
      <c r="H597" s="106" t="inlineStr">
        <is>
          <t>Gizi Baik</t>
        </is>
      </c>
      <c r="I597" s="97" t="inlineStr">
        <is>
          <t>Ya</t>
        </is>
      </c>
      <c r="J597" s="97" t="inlineStr">
        <is>
          <t>Tidak</t>
        </is>
      </c>
      <c r="K597" s="107" t="n"/>
    </row>
    <row r="598" ht="15.75" customHeight="1" s="95">
      <c r="A598" s="97" t="inlineStr">
        <is>
          <t>anonymus0597</t>
        </is>
      </c>
      <c r="B598" s="97" t="inlineStr">
        <is>
          <t>P</t>
        </is>
      </c>
      <c r="C598" s="97" t="inlineStr">
        <is>
          <t>1-34 Bulan</t>
        </is>
      </c>
      <c r="D598" s="97" t="n">
        <v>10</v>
      </c>
      <c r="E598" s="97" t="n">
        <v>88</v>
      </c>
      <c r="F598" s="97" t="inlineStr">
        <is>
          <t>Normal</t>
        </is>
      </c>
      <c r="G598" s="97" t="inlineStr">
        <is>
          <t>Normal</t>
        </is>
      </c>
      <c r="H598" s="106" t="inlineStr">
        <is>
          <t>Gizi Kurang</t>
        </is>
      </c>
      <c r="I598" s="97" t="inlineStr">
        <is>
          <t>Ya</t>
        </is>
      </c>
      <c r="J598" s="97" t="inlineStr">
        <is>
          <t>Tidak</t>
        </is>
      </c>
      <c r="K598" s="107" t="n"/>
    </row>
    <row r="599" ht="15.75" customHeight="1" s="95">
      <c r="A599" s="97" t="inlineStr">
        <is>
          <t>anonymus0598</t>
        </is>
      </c>
      <c r="B599" s="97" t="inlineStr">
        <is>
          <t>P</t>
        </is>
      </c>
      <c r="C599" s="97" t="inlineStr">
        <is>
          <t>1-34 Bulan</t>
        </is>
      </c>
      <c r="D599" s="97" t="n">
        <v>8.9</v>
      </c>
      <c r="E599" s="97" t="n">
        <v>96</v>
      </c>
      <c r="F599" s="97" t="inlineStr">
        <is>
          <t>Kurang</t>
        </is>
      </c>
      <c r="G599" s="97" t="inlineStr">
        <is>
          <t>Normal</t>
        </is>
      </c>
      <c r="H599" s="106" t="inlineStr">
        <is>
          <t>Gizi Kurang</t>
        </is>
      </c>
      <c r="I599" s="97" t="inlineStr">
        <is>
          <t>Ya</t>
        </is>
      </c>
      <c r="J599" s="97" t="inlineStr">
        <is>
          <t>Tidak</t>
        </is>
      </c>
      <c r="K599" s="107" t="n"/>
    </row>
    <row r="600" ht="15.75" customHeight="1" s="95">
      <c r="A600" s="97" t="inlineStr">
        <is>
          <t>anonymus0599</t>
        </is>
      </c>
      <c r="B600" s="97" t="inlineStr">
        <is>
          <t>L</t>
        </is>
      </c>
      <c r="C600" s="97" t="inlineStr">
        <is>
          <t>1-34 Bulan</t>
        </is>
      </c>
      <c r="D600" s="97" t="n">
        <v>5.8</v>
      </c>
      <c r="E600" s="97" t="n">
        <v>63.5</v>
      </c>
      <c r="F600" s="97" t="inlineStr">
        <is>
          <t>Normal</t>
        </is>
      </c>
      <c r="G600" s="97" t="inlineStr">
        <is>
          <t>Normal</t>
        </is>
      </c>
      <c r="H600" s="106" t="inlineStr">
        <is>
          <t>Gizi Kurang</t>
        </is>
      </c>
      <c r="I600" s="97" t="inlineStr">
        <is>
          <t>Ya</t>
        </is>
      </c>
      <c r="J600" s="97" t="inlineStr">
        <is>
          <t>Tidak</t>
        </is>
      </c>
      <c r="K600" s="107" t="n"/>
    </row>
    <row r="601" ht="15.75" customHeight="1" s="95">
      <c r="A601" s="97" t="inlineStr">
        <is>
          <t>anonymus0600</t>
        </is>
      </c>
      <c r="B601" s="97" t="inlineStr">
        <is>
          <t>P</t>
        </is>
      </c>
      <c r="C601" s="97" t="inlineStr">
        <is>
          <t>1-34 Bulan</t>
        </is>
      </c>
      <c r="D601" s="97" t="n">
        <v>12.4</v>
      </c>
      <c r="E601" s="97" t="n">
        <v>96</v>
      </c>
      <c r="F601" s="97" t="inlineStr">
        <is>
          <t>Normal</t>
        </is>
      </c>
      <c r="G601" s="97" t="inlineStr">
        <is>
          <t>Normal</t>
        </is>
      </c>
      <c r="H601" s="106" t="inlineStr">
        <is>
          <t>Gizi Baik</t>
        </is>
      </c>
      <c r="I601" s="97" t="inlineStr">
        <is>
          <t>Ya</t>
        </is>
      </c>
      <c r="J601" s="97" t="inlineStr">
        <is>
          <t>Tidak</t>
        </is>
      </c>
      <c r="K601" s="107" t="n"/>
    </row>
    <row r="602" ht="15.75" customHeight="1" s="95">
      <c r="A602" s="97" t="inlineStr">
        <is>
          <t>anonymus0601</t>
        </is>
      </c>
      <c r="B602" s="97" t="inlineStr">
        <is>
          <t>P</t>
        </is>
      </c>
      <c r="C602" s="97" t="inlineStr">
        <is>
          <t>35-69 Bulan</t>
        </is>
      </c>
      <c r="D602" s="97" t="n">
        <v>18.8</v>
      </c>
      <c r="E602" s="97" t="n">
        <v>108</v>
      </c>
      <c r="F602" s="97" t="inlineStr">
        <is>
          <t>Risiko Lebih</t>
        </is>
      </c>
      <c r="G602" s="97" t="inlineStr">
        <is>
          <t>Normal</t>
        </is>
      </c>
      <c r="H602" s="106" t="inlineStr">
        <is>
          <t>Gizi Lebih</t>
        </is>
      </c>
      <c r="I602" s="97" t="inlineStr">
        <is>
          <t>Ya</t>
        </is>
      </c>
      <c r="J602" s="97" t="inlineStr">
        <is>
          <t>Tidak</t>
        </is>
      </c>
      <c r="K602" s="107" t="n"/>
    </row>
    <row r="603" ht="15.75" customHeight="1" s="95">
      <c r="A603" s="97" t="inlineStr">
        <is>
          <t>anonymus0602</t>
        </is>
      </c>
      <c r="B603" s="97" t="inlineStr">
        <is>
          <t>L</t>
        </is>
      </c>
      <c r="C603" s="97" t="inlineStr">
        <is>
          <t>35-69 Bulan</t>
        </is>
      </c>
      <c r="D603" s="97" t="n">
        <v>19.4</v>
      </c>
      <c r="E603" s="97" t="n">
        <v>103</v>
      </c>
      <c r="F603" s="97" t="inlineStr">
        <is>
          <t>Risiko Lebih</t>
        </is>
      </c>
      <c r="G603" s="97" t="inlineStr">
        <is>
          <t>Normal</t>
        </is>
      </c>
      <c r="H603" s="106" t="inlineStr">
        <is>
          <t>Gizi Lebih</t>
        </is>
      </c>
      <c r="I603" s="97" t="inlineStr">
        <is>
          <t>Ya</t>
        </is>
      </c>
      <c r="J603" s="97" t="inlineStr">
        <is>
          <t>Tidak</t>
        </is>
      </c>
      <c r="K603" s="107" t="n"/>
    </row>
    <row r="604" ht="15.75" customHeight="1" s="95">
      <c r="A604" s="97" t="inlineStr">
        <is>
          <t>anonymus0603</t>
        </is>
      </c>
      <c r="B604" s="97" t="inlineStr">
        <is>
          <t>P</t>
        </is>
      </c>
      <c r="C604" s="97" t="inlineStr">
        <is>
          <t>35-69 Bulan</t>
        </is>
      </c>
      <c r="D604" s="97" t="n">
        <v>14.4</v>
      </c>
      <c r="E604" s="97" t="n">
        <v>98</v>
      </c>
      <c r="F604" s="97" t="inlineStr">
        <is>
          <t>Normal</t>
        </is>
      </c>
      <c r="G604" s="97" t="inlineStr">
        <is>
          <t>Normal</t>
        </is>
      </c>
      <c r="H604" s="106" t="inlineStr">
        <is>
          <t>Gizi Baik</t>
        </is>
      </c>
      <c r="I604" s="97" t="inlineStr">
        <is>
          <t>Ya</t>
        </is>
      </c>
      <c r="J604" s="97" t="inlineStr">
        <is>
          <t>Tidak</t>
        </is>
      </c>
      <c r="K604" s="107" t="n"/>
    </row>
    <row r="605" ht="15.75" customHeight="1" s="95">
      <c r="A605" s="97" t="inlineStr">
        <is>
          <t>anonymus0604</t>
        </is>
      </c>
      <c r="B605" s="97" t="inlineStr">
        <is>
          <t>P</t>
        </is>
      </c>
      <c r="C605" s="97" t="inlineStr">
        <is>
          <t>35-69 Bulan</t>
        </is>
      </c>
      <c r="D605" s="97" t="n">
        <v>16.8</v>
      </c>
      <c r="E605" s="97" t="n">
        <v>99</v>
      </c>
      <c r="F605" s="97" t="inlineStr">
        <is>
          <t>Normal</t>
        </is>
      </c>
      <c r="G605" s="97" t="inlineStr">
        <is>
          <t>Normal</t>
        </is>
      </c>
      <c r="H605" s="106" t="inlineStr">
        <is>
          <t>Gizi Baik</t>
        </is>
      </c>
      <c r="I605" s="97" t="inlineStr">
        <is>
          <t>Ya</t>
        </is>
      </c>
      <c r="J605" s="97" t="inlineStr">
        <is>
          <t>Tidak</t>
        </is>
      </c>
      <c r="K605" s="107" t="n"/>
    </row>
    <row r="606" ht="15.75" customHeight="1" s="95">
      <c r="A606" s="97" t="inlineStr">
        <is>
          <t>anonymus0605</t>
        </is>
      </c>
      <c r="B606" s="97" t="inlineStr">
        <is>
          <t>L</t>
        </is>
      </c>
      <c r="C606" s="97" t="inlineStr">
        <is>
          <t>35-69 Bulan</t>
        </is>
      </c>
      <c r="D606" s="97" t="n">
        <v>19</v>
      </c>
      <c r="E606" s="97" t="n">
        <v>115</v>
      </c>
      <c r="F606" s="97" t="inlineStr">
        <is>
          <t>Risiko Lebih</t>
        </is>
      </c>
      <c r="G606" s="97" t="inlineStr">
        <is>
          <t>Normal</t>
        </is>
      </c>
      <c r="H606" s="106" t="inlineStr">
        <is>
          <t>Gizi Lebih</t>
        </is>
      </c>
      <c r="I606" s="97" t="inlineStr">
        <is>
          <t>Ya</t>
        </is>
      </c>
      <c r="J606" s="97" t="inlineStr">
        <is>
          <t>Tidak</t>
        </is>
      </c>
      <c r="K606" s="107" t="n"/>
    </row>
    <row r="607" ht="15.75" customHeight="1" s="95">
      <c r="A607" s="97" t="inlineStr">
        <is>
          <t>anonymus0606</t>
        </is>
      </c>
      <c r="B607" s="97" t="inlineStr">
        <is>
          <t>P</t>
        </is>
      </c>
      <c r="C607" s="97" t="inlineStr">
        <is>
          <t>35-69 Bulan</t>
        </is>
      </c>
      <c r="D607" s="97" t="n">
        <v>13</v>
      </c>
      <c r="E607" s="97" t="n">
        <v>93</v>
      </c>
      <c r="F607" s="97" t="inlineStr">
        <is>
          <t>Normal</t>
        </is>
      </c>
      <c r="G607" s="97" t="inlineStr">
        <is>
          <t>Normal</t>
        </is>
      </c>
      <c r="H607" s="106" t="inlineStr">
        <is>
          <t>Gizi Baik</t>
        </is>
      </c>
      <c r="I607" s="97" t="inlineStr">
        <is>
          <t>Ya</t>
        </is>
      </c>
      <c r="J607" s="97" t="inlineStr">
        <is>
          <t>Tidak</t>
        </is>
      </c>
      <c r="K607" s="107" t="n"/>
    </row>
    <row r="608" ht="15.75" customHeight="1" s="95">
      <c r="A608" s="97" t="inlineStr">
        <is>
          <t>anonymus0607</t>
        </is>
      </c>
      <c r="B608" s="97" t="inlineStr">
        <is>
          <t>L</t>
        </is>
      </c>
      <c r="C608" s="97" t="inlineStr">
        <is>
          <t>1-34 Bulan</t>
        </is>
      </c>
      <c r="D608" s="97" t="n">
        <v>13.9</v>
      </c>
      <c r="E608" s="97" t="n">
        <v>86</v>
      </c>
      <c r="F608" s="97" t="inlineStr">
        <is>
          <t>Normal</t>
        </is>
      </c>
      <c r="G608" s="97" t="inlineStr">
        <is>
          <t>Normal</t>
        </is>
      </c>
      <c r="H608" s="106" t="inlineStr">
        <is>
          <t>Gizi Baik</t>
        </is>
      </c>
      <c r="I608" s="97" t="inlineStr">
        <is>
          <t>Ya</t>
        </is>
      </c>
      <c r="J608" s="97" t="inlineStr">
        <is>
          <t>Tidak</t>
        </is>
      </c>
      <c r="K608" s="107" t="n"/>
    </row>
    <row r="609" ht="15.75" customHeight="1" s="95">
      <c r="A609" s="97" t="inlineStr">
        <is>
          <t>anonymus0608</t>
        </is>
      </c>
      <c r="B609" s="97" t="inlineStr">
        <is>
          <t>L</t>
        </is>
      </c>
      <c r="C609" s="97" t="inlineStr">
        <is>
          <t>1-34 Bulan</t>
        </is>
      </c>
      <c r="D609" s="97" t="n">
        <v>8</v>
      </c>
      <c r="E609" s="97" t="n">
        <v>72.40000000000001</v>
      </c>
      <c r="F609" s="97" t="inlineStr">
        <is>
          <t>Kurang</t>
        </is>
      </c>
      <c r="G609" s="97" t="inlineStr">
        <is>
          <t>Pendek</t>
        </is>
      </c>
      <c r="H609" s="106" t="inlineStr">
        <is>
          <t>Gizi Baik</t>
        </is>
      </c>
      <c r="I609" s="97" t="inlineStr">
        <is>
          <t>Ya</t>
        </is>
      </c>
      <c r="J609" s="97" t="inlineStr">
        <is>
          <t>Potensi Stunting</t>
        </is>
      </c>
      <c r="K609" s="107" t="n"/>
    </row>
    <row r="610" ht="15.75" customHeight="1" s="95">
      <c r="A610" s="97" t="inlineStr">
        <is>
          <t>anonymus0609</t>
        </is>
      </c>
      <c r="B610" s="97" t="inlineStr">
        <is>
          <t>L</t>
        </is>
      </c>
      <c r="C610" s="97" t="inlineStr">
        <is>
          <t>35-69 Bulan</t>
        </is>
      </c>
      <c r="D610" s="97" t="inlineStr">
        <is>
          <t>15.4</t>
        </is>
      </c>
      <c r="E610" s="97" t="n">
        <v>99</v>
      </c>
      <c r="F610" s="97" t="inlineStr">
        <is>
          <t>Normal</t>
        </is>
      </c>
      <c r="G610" s="97" t="inlineStr">
        <is>
          <t>Normal</t>
        </is>
      </c>
      <c r="H610" s="106" t="inlineStr">
        <is>
          <t>Gizi Baik</t>
        </is>
      </c>
      <c r="I610" s="97" t="inlineStr">
        <is>
          <t>Ya</t>
        </is>
      </c>
      <c r="J610" s="97" t="inlineStr">
        <is>
          <t>Tidak</t>
        </is>
      </c>
      <c r="K610" s="107" t="n"/>
    </row>
    <row r="611" ht="15.75" customHeight="1" s="95">
      <c r="A611" s="97" t="inlineStr">
        <is>
          <t>anonymus0610</t>
        </is>
      </c>
      <c r="B611" s="97" t="inlineStr">
        <is>
          <t>L</t>
        </is>
      </c>
      <c r="C611" s="97" t="inlineStr">
        <is>
          <t>35-69 Bulan</t>
        </is>
      </c>
      <c r="D611" s="97" t="n">
        <v>11.5</v>
      </c>
      <c r="E611" s="97" t="n">
        <v>96</v>
      </c>
      <c r="F611" s="97" t="inlineStr">
        <is>
          <t>Sangat Kurang</t>
        </is>
      </c>
      <c r="G611" s="97" t="inlineStr">
        <is>
          <t>Pendek</t>
        </is>
      </c>
      <c r="H611" s="106" t="inlineStr">
        <is>
          <t>Gizi Kurang</t>
        </is>
      </c>
      <c r="I611" s="97" t="inlineStr">
        <is>
          <t>Ya</t>
        </is>
      </c>
      <c r="J611" s="97" t="inlineStr">
        <is>
          <t>Potensi Stunting</t>
        </is>
      </c>
      <c r="K611" s="107" t="n"/>
    </row>
    <row r="612" ht="15.75" customHeight="1" s="95">
      <c r="A612" s="97" t="inlineStr">
        <is>
          <t>anonymus0611</t>
        </is>
      </c>
      <c r="B612" s="97" t="inlineStr">
        <is>
          <t>L</t>
        </is>
      </c>
      <c r="C612" s="97" t="inlineStr">
        <is>
          <t>35-69 Bulan</t>
        </is>
      </c>
      <c r="D612" s="97" t="n">
        <v>12</v>
      </c>
      <c r="E612" s="97" t="n">
        <v>96</v>
      </c>
      <c r="F612" s="97" t="inlineStr">
        <is>
          <t>Normal</t>
        </is>
      </c>
      <c r="G612" s="97" t="inlineStr">
        <is>
          <t>Normal</t>
        </is>
      </c>
      <c r="H612" s="106" t="inlineStr">
        <is>
          <t>Gizi Kurang</t>
        </is>
      </c>
      <c r="I612" s="97" t="inlineStr">
        <is>
          <t>Ya</t>
        </is>
      </c>
      <c r="J612" s="97" t="inlineStr">
        <is>
          <t>Tidak</t>
        </is>
      </c>
      <c r="K612" s="107" t="n"/>
    </row>
    <row r="613" ht="15.75" customHeight="1" s="95">
      <c r="A613" s="97" t="inlineStr">
        <is>
          <t>anonymus0612</t>
        </is>
      </c>
      <c r="B613" s="97" t="inlineStr">
        <is>
          <t>L</t>
        </is>
      </c>
      <c r="C613" s="97" t="inlineStr">
        <is>
          <t>1-34 Bulan</t>
        </is>
      </c>
      <c r="D613" s="97" t="inlineStr">
        <is>
          <t>11.8</t>
        </is>
      </c>
      <c r="E613" s="97" t="inlineStr">
        <is>
          <t>87.5</t>
        </is>
      </c>
      <c r="F613" s="97" t="inlineStr">
        <is>
          <t>Normal</t>
        </is>
      </c>
      <c r="G613" s="97" t="inlineStr">
        <is>
          <t>Normal</t>
        </is>
      </c>
      <c r="H613" s="106" t="inlineStr">
        <is>
          <t>Gizi Baik</t>
        </is>
      </c>
      <c r="I613" s="97" t="inlineStr">
        <is>
          <t>Ya</t>
        </is>
      </c>
      <c r="J613" s="97" t="inlineStr">
        <is>
          <t>Tidak</t>
        </is>
      </c>
      <c r="K613" s="107" t="n"/>
    </row>
    <row r="614" ht="15.75" customHeight="1" s="95">
      <c r="A614" s="97" t="inlineStr">
        <is>
          <t>anonymus0613</t>
        </is>
      </c>
      <c r="B614" s="97" t="inlineStr">
        <is>
          <t>L</t>
        </is>
      </c>
      <c r="C614" s="97" t="inlineStr">
        <is>
          <t>35-69 Bulan</t>
        </is>
      </c>
      <c r="D614" s="97" t="n">
        <v>16.8</v>
      </c>
      <c r="E614" s="97" t="n">
        <v>95</v>
      </c>
      <c r="F614" s="97" t="inlineStr">
        <is>
          <t>Normal</t>
        </is>
      </c>
      <c r="G614" s="97" t="inlineStr">
        <is>
          <t>Normal</t>
        </is>
      </c>
      <c r="H614" s="106" t="inlineStr">
        <is>
          <t>Gizi Baik</t>
        </is>
      </c>
      <c r="I614" s="97" t="inlineStr">
        <is>
          <t>Ya</t>
        </is>
      </c>
      <c r="J614" s="97" t="inlineStr">
        <is>
          <t>Tidak</t>
        </is>
      </c>
      <c r="K614" s="107" t="n"/>
    </row>
    <row r="615" ht="15.75" customHeight="1" s="95">
      <c r="A615" s="97" t="inlineStr">
        <is>
          <t>anonymus0614</t>
        </is>
      </c>
      <c r="B615" s="97" t="inlineStr">
        <is>
          <t>L</t>
        </is>
      </c>
      <c r="C615" s="97" t="inlineStr">
        <is>
          <t>35-69 Bulan</t>
        </is>
      </c>
      <c r="D615" s="97" t="inlineStr">
        <is>
          <t>8.9</t>
        </is>
      </c>
      <c r="E615" s="97" t="n">
        <v>87</v>
      </c>
      <c r="F615" s="97" t="inlineStr">
        <is>
          <t>Sangat Kurang</t>
        </is>
      </c>
      <c r="G615" s="97" t="inlineStr">
        <is>
          <t>Pendek</t>
        </is>
      </c>
      <c r="H615" s="106" t="inlineStr">
        <is>
          <t>Gizi Buruk</t>
        </is>
      </c>
      <c r="I615" s="97" t="inlineStr">
        <is>
          <t>Ya</t>
        </is>
      </c>
      <c r="J615" s="97" t="inlineStr">
        <is>
          <t>Potensi Stunting</t>
        </is>
      </c>
      <c r="K615" s="107" t="n"/>
    </row>
    <row r="616" ht="15.75" customHeight="1" s="95">
      <c r="A616" s="97" t="inlineStr">
        <is>
          <t>anonymus0615</t>
        </is>
      </c>
      <c r="B616" s="97" t="inlineStr">
        <is>
          <t>L</t>
        </is>
      </c>
      <c r="C616" s="97" t="inlineStr">
        <is>
          <t>35-69 Bulan</t>
        </is>
      </c>
      <c r="D616" s="97" t="n">
        <v>13.6</v>
      </c>
      <c r="E616" s="97" t="n">
        <v>102</v>
      </c>
      <c r="F616" s="97" t="inlineStr">
        <is>
          <t>Normal</t>
        </is>
      </c>
      <c r="G616" s="97" t="inlineStr">
        <is>
          <t>Normal</t>
        </is>
      </c>
      <c r="H616" s="106" t="inlineStr">
        <is>
          <t>Gizi Baik</t>
        </is>
      </c>
      <c r="I616" s="97" t="inlineStr">
        <is>
          <t>Ya</t>
        </is>
      </c>
      <c r="J616" s="97" t="inlineStr">
        <is>
          <t>Tidak</t>
        </is>
      </c>
      <c r="K616" s="107" t="n"/>
    </row>
    <row r="617" ht="15.75" customHeight="1" s="95">
      <c r="A617" s="97" t="inlineStr">
        <is>
          <t>anonymus0616</t>
        </is>
      </c>
      <c r="B617" s="97" t="inlineStr">
        <is>
          <t>P</t>
        </is>
      </c>
      <c r="C617" s="97" t="inlineStr">
        <is>
          <t>35-69 Bulan</t>
        </is>
      </c>
      <c r="D617" s="97" t="inlineStr">
        <is>
          <t>16.8</t>
        </is>
      </c>
      <c r="E617" s="97" t="n">
        <v>102</v>
      </c>
      <c r="F617" s="97" t="inlineStr">
        <is>
          <t>Normal</t>
        </is>
      </c>
      <c r="G617" s="97" t="inlineStr">
        <is>
          <t>Normal</t>
        </is>
      </c>
      <c r="H617" s="106" t="inlineStr">
        <is>
          <t>Gizi Baik</t>
        </is>
      </c>
      <c r="I617" s="97" t="inlineStr">
        <is>
          <t>Ya</t>
        </is>
      </c>
      <c r="J617" s="97" t="inlineStr">
        <is>
          <t>Tidak</t>
        </is>
      </c>
      <c r="K617" s="107" t="n"/>
    </row>
    <row r="618" ht="15.75" customHeight="1" s="95">
      <c r="A618" s="97" t="inlineStr">
        <is>
          <t>anonymus0617</t>
        </is>
      </c>
      <c r="B618" s="97" t="inlineStr">
        <is>
          <t>L</t>
        </is>
      </c>
      <c r="C618" s="97" t="inlineStr">
        <is>
          <t>35-69 Bulan</t>
        </is>
      </c>
      <c r="D618" s="97" t="n">
        <v>10.5</v>
      </c>
      <c r="E618" s="97" t="n">
        <v>84</v>
      </c>
      <c r="F618" s="97" t="inlineStr">
        <is>
          <t>Kurang</t>
        </is>
      </c>
      <c r="G618" s="97" t="inlineStr">
        <is>
          <t>Pendek</t>
        </is>
      </c>
      <c r="H618" s="106" t="inlineStr">
        <is>
          <t>Gizi Baik</t>
        </is>
      </c>
      <c r="I618" s="97" t="inlineStr">
        <is>
          <t>Ya</t>
        </is>
      </c>
      <c r="J618" s="97" t="inlineStr">
        <is>
          <t>Potensi Stunting</t>
        </is>
      </c>
      <c r="K618" s="107" t="n"/>
    </row>
    <row r="619" ht="15.75" customHeight="1" s="95">
      <c r="A619" s="97" t="inlineStr">
        <is>
          <t>anonymus0618</t>
        </is>
      </c>
      <c r="B619" s="97" t="inlineStr">
        <is>
          <t>L</t>
        </is>
      </c>
      <c r="C619" s="97" t="inlineStr">
        <is>
          <t>35-69 Bulan</t>
        </is>
      </c>
      <c r="D619" s="97" t="n">
        <v>11.1</v>
      </c>
      <c r="E619" s="97" t="n">
        <v>93</v>
      </c>
      <c r="F619" s="97" t="inlineStr">
        <is>
          <t>Normal</t>
        </is>
      </c>
      <c r="G619" s="97" t="inlineStr">
        <is>
          <t>Normal</t>
        </is>
      </c>
      <c r="H619" s="106" t="inlineStr">
        <is>
          <t>Gizi Baik</t>
        </is>
      </c>
      <c r="I619" s="97" t="inlineStr">
        <is>
          <t>Ya</t>
        </is>
      </c>
      <c r="J619" s="97" t="inlineStr">
        <is>
          <t>Tidak</t>
        </is>
      </c>
      <c r="K619" s="107" t="n"/>
    </row>
    <row r="620" ht="15.75" customHeight="1" s="95">
      <c r="A620" s="97" t="inlineStr">
        <is>
          <t>anonymus0619</t>
        </is>
      </c>
      <c r="B620" s="97" t="inlineStr">
        <is>
          <t>P</t>
        </is>
      </c>
      <c r="C620" s="97" t="inlineStr">
        <is>
          <t>1-34 Bulan</t>
        </is>
      </c>
      <c r="D620" s="97" t="n">
        <v>14.4</v>
      </c>
      <c r="E620" s="97" t="n">
        <v>70</v>
      </c>
      <c r="F620" s="97" t="inlineStr">
        <is>
          <t>Normal</t>
        </is>
      </c>
      <c r="G620" s="97" t="inlineStr">
        <is>
          <t>Normal</t>
        </is>
      </c>
      <c r="H620" s="106" t="inlineStr">
        <is>
          <t>Gizi Baik</t>
        </is>
      </c>
      <c r="I620" s="97" t="inlineStr">
        <is>
          <t>Ya</t>
        </is>
      </c>
      <c r="J620" s="97" t="inlineStr">
        <is>
          <t>Tidak</t>
        </is>
      </c>
      <c r="K620" s="107" t="n"/>
    </row>
    <row r="621" ht="15.75" customHeight="1" s="95">
      <c r="A621" s="97" t="inlineStr">
        <is>
          <t>anonymus0620</t>
        </is>
      </c>
      <c r="B621" s="97" t="inlineStr">
        <is>
          <t>P</t>
        </is>
      </c>
      <c r="C621" s="97" t="inlineStr">
        <is>
          <t>1-34 Bulan</t>
        </is>
      </c>
      <c r="D621" s="97" t="n">
        <v>12.9</v>
      </c>
      <c r="E621" s="97" t="n">
        <v>73</v>
      </c>
      <c r="F621" s="97" t="inlineStr">
        <is>
          <t>Normal</t>
        </is>
      </c>
      <c r="G621" s="97" t="inlineStr">
        <is>
          <t>Normal</t>
        </is>
      </c>
      <c r="H621" s="106" t="inlineStr">
        <is>
          <t>Gizi Baik</t>
        </is>
      </c>
      <c r="I621" s="97" t="inlineStr">
        <is>
          <t>Ya</t>
        </is>
      </c>
      <c r="J621" s="97" t="inlineStr">
        <is>
          <t>Tidak</t>
        </is>
      </c>
      <c r="K621" s="107" t="n"/>
    </row>
    <row r="622" ht="15.75" customHeight="1" s="95">
      <c r="A622" s="97" t="inlineStr">
        <is>
          <t>anonymus0621</t>
        </is>
      </c>
      <c r="B622" s="97" t="inlineStr">
        <is>
          <t>L</t>
        </is>
      </c>
      <c r="C622" s="97" t="inlineStr">
        <is>
          <t>35-69 Bulan</t>
        </is>
      </c>
      <c r="D622" s="97" t="n">
        <v>16.4</v>
      </c>
      <c r="E622" s="97" t="n">
        <v>90</v>
      </c>
      <c r="F622" s="97" t="inlineStr">
        <is>
          <t>Normal</t>
        </is>
      </c>
      <c r="G622" s="97" t="inlineStr">
        <is>
          <t>Normal</t>
        </is>
      </c>
      <c r="H622" s="106" t="inlineStr">
        <is>
          <t>Gizi Baik</t>
        </is>
      </c>
      <c r="I622" s="97" t="inlineStr">
        <is>
          <t>Ya</t>
        </is>
      </c>
      <c r="J622" s="97" t="inlineStr">
        <is>
          <t>Tidak</t>
        </is>
      </c>
      <c r="K622" s="107" t="n"/>
    </row>
    <row r="623" ht="15.75" customHeight="1" s="95">
      <c r="A623" s="97" t="inlineStr">
        <is>
          <t>anonymus0622</t>
        </is>
      </c>
      <c r="B623" s="97" t="inlineStr">
        <is>
          <t>L</t>
        </is>
      </c>
      <c r="C623" s="97" t="inlineStr">
        <is>
          <t>1-34 Bulan</t>
        </is>
      </c>
      <c r="D623" s="97" t="inlineStr">
        <is>
          <t>8.2</t>
        </is>
      </c>
      <c r="E623" s="97" t="n">
        <v>67</v>
      </c>
      <c r="F623" s="97" t="inlineStr">
        <is>
          <t>Normal</t>
        </is>
      </c>
      <c r="G623" s="97" t="inlineStr">
        <is>
          <t>Normal</t>
        </is>
      </c>
      <c r="H623" s="106" t="inlineStr">
        <is>
          <t>Gizi Baik</t>
        </is>
      </c>
      <c r="I623" s="97" t="inlineStr">
        <is>
          <t>Ya</t>
        </is>
      </c>
      <c r="J623" s="97" t="inlineStr">
        <is>
          <t>Tidak</t>
        </is>
      </c>
      <c r="K623" s="107" t="n"/>
    </row>
    <row r="624" ht="15.75" customHeight="1" s="95">
      <c r="A624" s="97" t="inlineStr">
        <is>
          <t>anonymus0623</t>
        </is>
      </c>
      <c r="B624" s="97" t="inlineStr">
        <is>
          <t>L</t>
        </is>
      </c>
      <c r="C624" s="97" t="inlineStr">
        <is>
          <t>1-34 Bulan</t>
        </is>
      </c>
      <c r="D624" s="97" t="inlineStr">
        <is>
          <t>7.9</t>
        </is>
      </c>
      <c r="E624" s="97" t="n">
        <v>73</v>
      </c>
      <c r="F624" s="97" t="inlineStr">
        <is>
          <t>Kurang</t>
        </is>
      </c>
      <c r="G624" s="97" t="inlineStr">
        <is>
          <t>Pendek</t>
        </is>
      </c>
      <c r="H624" s="106" t="inlineStr">
        <is>
          <t>Gizi Baik</t>
        </is>
      </c>
      <c r="I624" s="97" t="inlineStr">
        <is>
          <t>Ya</t>
        </is>
      </c>
      <c r="J624" s="97" t="inlineStr">
        <is>
          <t>Potensi Stunting</t>
        </is>
      </c>
      <c r="K624" s="107" t="n"/>
    </row>
    <row r="625" ht="15.75" customHeight="1" s="95">
      <c r="A625" s="97" t="inlineStr">
        <is>
          <t>anonymus0624</t>
        </is>
      </c>
      <c r="B625" s="97" t="inlineStr">
        <is>
          <t>L</t>
        </is>
      </c>
      <c r="C625" s="97" t="inlineStr">
        <is>
          <t>35-69 Bulan</t>
        </is>
      </c>
      <c r="D625" s="97" t="n">
        <v>16.9</v>
      </c>
      <c r="E625" s="97" t="n">
        <v>96</v>
      </c>
      <c r="F625" s="97" t="inlineStr">
        <is>
          <t>Normal</t>
        </is>
      </c>
      <c r="G625" s="97" t="inlineStr">
        <is>
          <t>Normal</t>
        </is>
      </c>
      <c r="H625" s="106" t="inlineStr">
        <is>
          <t>Gizi Baik</t>
        </is>
      </c>
      <c r="I625" s="97" t="inlineStr">
        <is>
          <t>Ya</t>
        </is>
      </c>
      <c r="J625" s="97" t="inlineStr">
        <is>
          <t>Tidak</t>
        </is>
      </c>
      <c r="K625" s="107" t="n"/>
    </row>
    <row r="626" ht="15.75" customHeight="1" s="95">
      <c r="A626" s="97" t="inlineStr">
        <is>
          <t>anonymus0625</t>
        </is>
      </c>
      <c r="B626" s="97" t="inlineStr">
        <is>
          <t>L</t>
        </is>
      </c>
      <c r="C626" s="97" t="inlineStr">
        <is>
          <t>35-69 Bulan</t>
        </is>
      </c>
      <c r="D626" s="97" t="n">
        <v>10</v>
      </c>
      <c r="E626" s="97" t="n">
        <v>75</v>
      </c>
      <c r="F626" s="97" t="inlineStr">
        <is>
          <t>Normal</t>
        </is>
      </c>
      <c r="G626" s="97" t="inlineStr">
        <is>
          <t>Pendek</t>
        </is>
      </c>
      <c r="H626" s="106" t="inlineStr">
        <is>
          <t>Gizi Baik</t>
        </is>
      </c>
      <c r="I626" s="97" t="inlineStr">
        <is>
          <t>Ya</t>
        </is>
      </c>
      <c r="J626" s="97" t="inlineStr">
        <is>
          <t>Potensi Stunting</t>
        </is>
      </c>
      <c r="K626" s="107" t="n"/>
    </row>
    <row r="627" ht="15.75" customHeight="1" s="95">
      <c r="A627" s="97" t="inlineStr">
        <is>
          <t>anonymus0626</t>
        </is>
      </c>
      <c r="B627" s="97" t="inlineStr">
        <is>
          <t>L</t>
        </is>
      </c>
      <c r="C627" s="97" t="inlineStr">
        <is>
          <t>35-69 Bulan</t>
        </is>
      </c>
      <c r="D627" s="97" t="n">
        <v>21</v>
      </c>
      <c r="E627" s="97" t="n">
        <v>105</v>
      </c>
      <c r="F627" s="97" t="inlineStr">
        <is>
          <t>Risiko Lebih</t>
        </is>
      </c>
      <c r="G627" s="97" t="inlineStr">
        <is>
          <t>Normal</t>
        </is>
      </c>
      <c r="H627" s="106" t="inlineStr">
        <is>
          <t>Gizi Lebih</t>
        </is>
      </c>
      <c r="I627" s="97" t="inlineStr">
        <is>
          <t>Ya</t>
        </is>
      </c>
      <c r="J627" s="97" t="inlineStr">
        <is>
          <t>Tidak</t>
        </is>
      </c>
      <c r="K627" s="107" t="n"/>
    </row>
    <row r="628" ht="15.75" customHeight="1" s="95">
      <c r="A628" s="97" t="inlineStr">
        <is>
          <t>anonymus0627</t>
        </is>
      </c>
      <c r="B628" s="97" t="inlineStr">
        <is>
          <t>P</t>
        </is>
      </c>
      <c r="C628" s="97" t="inlineStr">
        <is>
          <t>1-34 Bulan</t>
        </is>
      </c>
      <c r="D628" s="97" t="inlineStr">
        <is>
          <t>12.7</t>
        </is>
      </c>
      <c r="E628" s="97" t="n">
        <v>90</v>
      </c>
      <c r="F628" s="97" t="inlineStr">
        <is>
          <t>Normal</t>
        </is>
      </c>
      <c r="G628" s="97" t="inlineStr">
        <is>
          <t>Normal</t>
        </is>
      </c>
      <c r="H628" s="106" t="inlineStr">
        <is>
          <t>Gizi Baik</t>
        </is>
      </c>
      <c r="I628" s="97" t="inlineStr">
        <is>
          <t>Ya</t>
        </is>
      </c>
      <c r="J628" s="97" t="inlineStr">
        <is>
          <t>Tidak</t>
        </is>
      </c>
      <c r="K628" s="107" t="n"/>
    </row>
    <row r="629" ht="15.75" customHeight="1" s="95">
      <c r="A629" s="97" t="inlineStr">
        <is>
          <t>anonymus0628</t>
        </is>
      </c>
      <c r="B629" s="97" t="inlineStr">
        <is>
          <t>P</t>
        </is>
      </c>
      <c r="C629" s="97" t="inlineStr">
        <is>
          <t>35-69 Bulan</t>
        </is>
      </c>
      <c r="D629" s="97" t="inlineStr">
        <is>
          <t>18.4</t>
        </is>
      </c>
      <c r="E629" s="97" t="n">
        <v>108</v>
      </c>
      <c r="F629" s="97" t="inlineStr">
        <is>
          <t>Normal</t>
        </is>
      </c>
      <c r="G629" s="97" t="inlineStr">
        <is>
          <t>Normal</t>
        </is>
      </c>
      <c r="H629" s="106" t="inlineStr">
        <is>
          <t>Gizi Baik</t>
        </is>
      </c>
      <c r="I629" s="97" t="inlineStr">
        <is>
          <t>Ya</t>
        </is>
      </c>
      <c r="J629" s="97" t="inlineStr">
        <is>
          <t>Tidak</t>
        </is>
      </c>
      <c r="K629" s="107" t="n"/>
    </row>
    <row r="630" ht="15.75" customHeight="1" s="95">
      <c r="A630" s="97" t="inlineStr">
        <is>
          <t>anonymus0629</t>
        </is>
      </c>
      <c r="B630" s="97" t="inlineStr">
        <is>
          <t>P</t>
        </is>
      </c>
      <c r="C630" s="97" t="inlineStr">
        <is>
          <t>1-34 Bulan</t>
        </is>
      </c>
      <c r="D630" s="97" t="n">
        <v>7.9</v>
      </c>
      <c r="E630" s="97" t="n">
        <v>71</v>
      </c>
      <c r="F630" s="97" t="inlineStr">
        <is>
          <t>Kurang</t>
        </is>
      </c>
      <c r="G630" s="97" t="inlineStr">
        <is>
          <t>Normal</t>
        </is>
      </c>
      <c r="H630" s="106" t="inlineStr">
        <is>
          <t>Gizi Kurang</t>
        </is>
      </c>
      <c r="I630" s="97" t="inlineStr">
        <is>
          <t>Ya</t>
        </is>
      </c>
      <c r="J630" s="97" t="inlineStr">
        <is>
          <t>Tidak</t>
        </is>
      </c>
      <c r="K630" s="107" t="n"/>
    </row>
    <row r="631" ht="15.75" customHeight="1" s="95">
      <c r="A631" s="97" t="inlineStr">
        <is>
          <t>anonymus0630</t>
        </is>
      </c>
      <c r="B631" s="97" t="inlineStr">
        <is>
          <t>P</t>
        </is>
      </c>
      <c r="C631" s="97" t="inlineStr">
        <is>
          <t>35-69 Bulan</t>
        </is>
      </c>
      <c r="D631" s="97" t="n">
        <v>10.8</v>
      </c>
      <c r="E631" s="97" t="n">
        <v>115</v>
      </c>
      <c r="F631" s="97" t="inlineStr">
        <is>
          <t>Normal</t>
        </is>
      </c>
      <c r="G631" s="97" t="inlineStr">
        <is>
          <t>Normal</t>
        </is>
      </c>
      <c r="H631" s="106" t="inlineStr">
        <is>
          <t>Gizi Baik</t>
        </is>
      </c>
      <c r="I631" s="97" t="inlineStr">
        <is>
          <t>Ya</t>
        </is>
      </c>
      <c r="J631" s="97" t="inlineStr">
        <is>
          <t>Tidak</t>
        </is>
      </c>
      <c r="K631" s="107" t="n"/>
    </row>
    <row r="632" ht="15.75" customHeight="1" s="95">
      <c r="A632" s="97" t="inlineStr">
        <is>
          <t>anonymus0631</t>
        </is>
      </c>
      <c r="B632" s="97" t="inlineStr">
        <is>
          <t>P</t>
        </is>
      </c>
      <c r="C632" s="97" t="inlineStr">
        <is>
          <t>1-34 Bulan</t>
        </is>
      </c>
      <c r="D632" s="97" t="inlineStr">
        <is>
          <t>8.9</t>
        </is>
      </c>
      <c r="E632" s="97" t="n">
        <v>81</v>
      </c>
      <c r="F632" s="97" t="inlineStr">
        <is>
          <t>Normal</t>
        </is>
      </c>
      <c r="G632" s="97" t="inlineStr">
        <is>
          <t>Normal</t>
        </is>
      </c>
      <c r="H632" s="106" t="inlineStr">
        <is>
          <t>Gizi Baik</t>
        </is>
      </c>
      <c r="I632" s="97" t="inlineStr">
        <is>
          <t>Ya</t>
        </is>
      </c>
      <c r="J632" s="97" t="inlineStr">
        <is>
          <t>Tidak</t>
        </is>
      </c>
      <c r="K632" s="107" t="n"/>
    </row>
    <row r="633" ht="15.75" customHeight="1" s="95">
      <c r="A633" s="97" t="inlineStr">
        <is>
          <t>anonymus0632</t>
        </is>
      </c>
      <c r="B633" s="97" t="inlineStr">
        <is>
          <t>P</t>
        </is>
      </c>
      <c r="C633" s="97" t="inlineStr">
        <is>
          <t>1-34 Bulan</t>
        </is>
      </c>
      <c r="D633" s="97" t="inlineStr">
        <is>
          <t>4.7</t>
        </is>
      </c>
      <c r="E633" s="97" t="n">
        <v>55</v>
      </c>
      <c r="F633" s="97" t="inlineStr">
        <is>
          <t>Normal</t>
        </is>
      </c>
      <c r="G633" s="97" t="inlineStr">
        <is>
          <t>Normal</t>
        </is>
      </c>
      <c r="H633" s="106" t="inlineStr">
        <is>
          <t>Gizi Baik</t>
        </is>
      </c>
      <c r="I633" s="97" t="inlineStr">
        <is>
          <t>Ya</t>
        </is>
      </c>
      <c r="J633" s="97" t="inlineStr">
        <is>
          <t>Tidak</t>
        </is>
      </c>
      <c r="K633" s="107" t="n"/>
    </row>
    <row r="634" ht="15.75" customHeight="1" s="95">
      <c r="A634" s="97" t="inlineStr">
        <is>
          <t>anonymus0633</t>
        </is>
      </c>
      <c r="B634" s="97" t="inlineStr">
        <is>
          <t>P</t>
        </is>
      </c>
      <c r="C634" s="97" t="inlineStr">
        <is>
          <t>35-69 Bulan</t>
        </is>
      </c>
      <c r="D634" s="97" t="n">
        <v>10.6</v>
      </c>
      <c r="E634" s="97" t="n">
        <v>117</v>
      </c>
      <c r="F634" s="97" t="inlineStr">
        <is>
          <t>Normal</t>
        </is>
      </c>
      <c r="G634" s="97" t="inlineStr">
        <is>
          <t>Normal</t>
        </is>
      </c>
      <c r="H634" s="106" t="inlineStr">
        <is>
          <t>Gizi Baik</t>
        </is>
      </c>
      <c r="I634" s="97" t="inlineStr">
        <is>
          <t>Ya</t>
        </is>
      </c>
      <c r="J634" s="97" t="inlineStr">
        <is>
          <t>Tidak</t>
        </is>
      </c>
      <c r="K634" s="107" t="n"/>
    </row>
    <row r="635" ht="15.75" customHeight="1" s="95">
      <c r="A635" s="97" t="inlineStr">
        <is>
          <t>anonymus0634</t>
        </is>
      </c>
      <c r="B635" s="97" t="inlineStr">
        <is>
          <t>L</t>
        </is>
      </c>
      <c r="C635" s="97" t="inlineStr">
        <is>
          <t>35-69 Bulan</t>
        </is>
      </c>
      <c r="D635" s="97" t="n">
        <v>14.9</v>
      </c>
      <c r="E635" s="97" t="n">
        <v>94</v>
      </c>
      <c r="F635" s="97" t="inlineStr">
        <is>
          <t>Normal</t>
        </is>
      </c>
      <c r="G635" s="97" t="inlineStr">
        <is>
          <t>Normal</t>
        </is>
      </c>
      <c r="H635" s="106" t="inlineStr">
        <is>
          <t>Gizi Baik</t>
        </is>
      </c>
      <c r="I635" s="97" t="inlineStr">
        <is>
          <t>Ya</t>
        </is>
      </c>
      <c r="J635" s="97" t="inlineStr">
        <is>
          <t>Tidak</t>
        </is>
      </c>
      <c r="K635" s="107" t="n"/>
    </row>
    <row r="636" ht="15.75" customHeight="1" s="95">
      <c r="A636" s="97" t="inlineStr">
        <is>
          <t>anonymus0635</t>
        </is>
      </c>
      <c r="B636" s="97" t="inlineStr">
        <is>
          <t>L</t>
        </is>
      </c>
      <c r="C636" s="97" t="inlineStr">
        <is>
          <t>35-69 Bulan</t>
        </is>
      </c>
      <c r="D636" s="97" t="n">
        <v>13.5</v>
      </c>
      <c r="E636" s="97" t="n">
        <v>105</v>
      </c>
      <c r="F636" s="97" t="inlineStr">
        <is>
          <t>Kurang</t>
        </is>
      </c>
      <c r="G636" s="97" t="inlineStr">
        <is>
          <t>Normal</t>
        </is>
      </c>
      <c r="H636" s="106" t="inlineStr">
        <is>
          <t>Gizi Kurang</t>
        </is>
      </c>
      <c r="I636" s="97" t="inlineStr">
        <is>
          <t>Ya</t>
        </is>
      </c>
      <c r="J636" s="97" t="inlineStr">
        <is>
          <t>Tidak</t>
        </is>
      </c>
      <c r="K636" s="107" t="n"/>
    </row>
    <row r="637" ht="15.75" customHeight="1" s="95">
      <c r="A637" s="97" t="inlineStr">
        <is>
          <t>anonymus0636</t>
        </is>
      </c>
      <c r="B637" s="97" t="inlineStr">
        <is>
          <t>P</t>
        </is>
      </c>
      <c r="C637" s="97" t="inlineStr">
        <is>
          <t>1-34 Bulan</t>
        </is>
      </c>
      <c r="D637" s="97" t="n">
        <v>8.5</v>
      </c>
      <c r="E637" s="97" t="n">
        <v>78</v>
      </c>
      <c r="F637" s="97" t="inlineStr">
        <is>
          <t>Kurang</t>
        </is>
      </c>
      <c r="G637" s="97" t="inlineStr">
        <is>
          <t>Normal</t>
        </is>
      </c>
      <c r="H637" s="106" t="inlineStr">
        <is>
          <t>Gizi Kurang</t>
        </is>
      </c>
      <c r="I637" s="97" t="inlineStr">
        <is>
          <t>Ya</t>
        </is>
      </c>
      <c r="J637" s="97" t="inlineStr">
        <is>
          <t>Tidak</t>
        </is>
      </c>
      <c r="K637" s="107" t="n"/>
    </row>
    <row r="638" ht="15.75" customHeight="1" s="95">
      <c r="A638" s="97" t="inlineStr">
        <is>
          <t>anonymus0637</t>
        </is>
      </c>
      <c r="B638" s="97" t="inlineStr">
        <is>
          <t>L</t>
        </is>
      </c>
      <c r="C638" s="97" t="inlineStr">
        <is>
          <t>35-69 Bulan</t>
        </is>
      </c>
      <c r="D638" s="97" t="inlineStr">
        <is>
          <t>16.4</t>
        </is>
      </c>
      <c r="E638" s="97" t="n">
        <v>100</v>
      </c>
      <c r="F638" s="97" t="inlineStr">
        <is>
          <t>Normal</t>
        </is>
      </c>
      <c r="G638" s="97" t="inlineStr">
        <is>
          <t>Normal</t>
        </is>
      </c>
      <c r="H638" s="106" t="inlineStr">
        <is>
          <t>Gizi Baik</t>
        </is>
      </c>
      <c r="I638" s="97" t="inlineStr">
        <is>
          <t>Ya</t>
        </is>
      </c>
      <c r="J638" s="97" t="inlineStr">
        <is>
          <t>Tidak</t>
        </is>
      </c>
      <c r="K638" s="107" t="n"/>
    </row>
    <row r="639" ht="15.75" customHeight="1" s="95">
      <c r="A639" s="97" t="inlineStr">
        <is>
          <t>anonymus0638</t>
        </is>
      </c>
      <c r="B639" s="97" t="inlineStr">
        <is>
          <t>P</t>
        </is>
      </c>
      <c r="C639" s="97" t="inlineStr">
        <is>
          <t>1-34 Bulan</t>
        </is>
      </c>
      <c r="D639" s="97" t="n">
        <v>11.1</v>
      </c>
      <c r="E639" s="97" t="n">
        <v>87</v>
      </c>
      <c r="F639" s="97" t="inlineStr">
        <is>
          <t>Normal</t>
        </is>
      </c>
      <c r="G639" s="97" t="inlineStr">
        <is>
          <t>Normal</t>
        </is>
      </c>
      <c r="H639" s="106" t="inlineStr">
        <is>
          <t>Gizi Baik</t>
        </is>
      </c>
      <c r="I639" s="97" t="inlineStr">
        <is>
          <t>Ya</t>
        </is>
      </c>
      <c r="J639" s="97" t="inlineStr">
        <is>
          <t>Tidak</t>
        </is>
      </c>
      <c r="K639" s="107" t="n"/>
    </row>
    <row r="640" ht="15.75" customHeight="1" s="95">
      <c r="A640" s="97" t="inlineStr">
        <is>
          <t>anonymus0639</t>
        </is>
      </c>
      <c r="B640" s="97" t="inlineStr">
        <is>
          <t>P</t>
        </is>
      </c>
      <c r="C640" s="97" t="inlineStr">
        <is>
          <t>35-69 Bulan</t>
        </is>
      </c>
      <c r="D640" s="97" t="n">
        <v>17.4</v>
      </c>
      <c r="E640" s="97" t="n">
        <v>98</v>
      </c>
      <c r="F640" s="97" t="inlineStr">
        <is>
          <t>Risiko Lebih</t>
        </is>
      </c>
      <c r="G640" s="97" t="inlineStr">
        <is>
          <t>Normal</t>
        </is>
      </c>
      <c r="H640" s="106" t="inlineStr">
        <is>
          <t>Gizi Lebih</t>
        </is>
      </c>
      <c r="I640" s="97" t="inlineStr">
        <is>
          <t>Ya</t>
        </is>
      </c>
      <c r="J640" s="97" t="inlineStr">
        <is>
          <t>Tidak</t>
        </is>
      </c>
      <c r="K640" s="107" t="n"/>
    </row>
    <row r="641" ht="15.75" customHeight="1" s="95">
      <c r="A641" s="97" t="inlineStr">
        <is>
          <t>anonymus0640</t>
        </is>
      </c>
      <c r="B641" s="97" t="inlineStr">
        <is>
          <t>L</t>
        </is>
      </c>
      <c r="C641" s="97" t="inlineStr">
        <is>
          <t>1-34 Bulan</t>
        </is>
      </c>
      <c r="D641" s="97" t="inlineStr">
        <is>
          <t>7.2</t>
        </is>
      </c>
      <c r="E641" s="97" t="n">
        <v>64</v>
      </c>
      <c r="F641" s="97" t="inlineStr">
        <is>
          <t>Normal</t>
        </is>
      </c>
      <c r="G641" s="97" t="inlineStr">
        <is>
          <t>Normal</t>
        </is>
      </c>
      <c r="H641" s="106" t="inlineStr">
        <is>
          <t>Gizi Baik</t>
        </is>
      </c>
      <c r="I641" s="97" t="inlineStr">
        <is>
          <t>Ya</t>
        </is>
      </c>
      <c r="J641" s="97" t="inlineStr">
        <is>
          <t>Tidak</t>
        </is>
      </c>
      <c r="K641" s="107" t="n"/>
    </row>
    <row r="642" ht="15.75" customHeight="1" s="95">
      <c r="A642" s="97" t="inlineStr">
        <is>
          <t>anonymus0641</t>
        </is>
      </c>
      <c r="B642" s="97" t="inlineStr">
        <is>
          <t>P</t>
        </is>
      </c>
      <c r="C642" s="97" t="inlineStr">
        <is>
          <t>35-69 Bulan</t>
        </is>
      </c>
      <c r="D642" s="97" t="n">
        <v>13</v>
      </c>
      <c r="E642" s="97" t="n">
        <v>94</v>
      </c>
      <c r="F642" s="97" t="inlineStr">
        <is>
          <t>Normal</t>
        </is>
      </c>
      <c r="G642" s="97" t="inlineStr">
        <is>
          <t>Pendek</t>
        </is>
      </c>
      <c r="H642" s="106" t="inlineStr">
        <is>
          <t>Gizi Baik</t>
        </is>
      </c>
      <c r="I642" s="97" t="inlineStr">
        <is>
          <t>Ya</t>
        </is>
      </c>
      <c r="J642" s="97" t="inlineStr">
        <is>
          <t>Potensi Stunting</t>
        </is>
      </c>
      <c r="K642" s="107" t="n"/>
    </row>
    <row r="643" ht="15.75" customHeight="1" s="95">
      <c r="A643" s="97" t="inlineStr">
        <is>
          <t>anonymus0642</t>
        </is>
      </c>
      <c r="B643" s="97" t="inlineStr">
        <is>
          <t>L</t>
        </is>
      </c>
      <c r="C643" s="97" t="inlineStr">
        <is>
          <t>1-34 Bulan</t>
        </is>
      </c>
      <c r="D643" s="97" t="n">
        <v>6.3</v>
      </c>
      <c r="E643" s="97" t="n">
        <v>75</v>
      </c>
      <c r="F643" s="97" t="inlineStr">
        <is>
          <t>Kurang</t>
        </is>
      </c>
      <c r="G643" s="97" t="inlineStr">
        <is>
          <t>Normal</t>
        </is>
      </c>
      <c r="H643" s="106" t="inlineStr">
        <is>
          <t>Gizi Kurang</t>
        </is>
      </c>
      <c r="I643" s="97" t="inlineStr">
        <is>
          <t>Ya</t>
        </is>
      </c>
      <c r="J643" s="97" t="inlineStr">
        <is>
          <t>Tidak</t>
        </is>
      </c>
      <c r="K643" s="107" t="n"/>
    </row>
    <row r="644" ht="15.75" customHeight="1" s="95">
      <c r="A644" s="97" t="inlineStr">
        <is>
          <t>anonymus0643</t>
        </is>
      </c>
      <c r="B644" s="97" t="inlineStr">
        <is>
          <t>L</t>
        </is>
      </c>
      <c r="C644" s="97" t="inlineStr">
        <is>
          <t>1-34 Bulan</t>
        </is>
      </c>
      <c r="D644" s="97" t="n">
        <v>6.5</v>
      </c>
      <c r="E644" s="97" t="n">
        <v>63.4</v>
      </c>
      <c r="F644" s="97" t="inlineStr">
        <is>
          <t>Kurang</t>
        </is>
      </c>
      <c r="G644" s="97" t="inlineStr">
        <is>
          <t>Pendek</t>
        </is>
      </c>
      <c r="H644" s="106" t="inlineStr">
        <is>
          <t>Gizi Baik</t>
        </is>
      </c>
      <c r="I644" s="97" t="inlineStr">
        <is>
          <t>Ya</t>
        </is>
      </c>
      <c r="J644" s="97" t="inlineStr">
        <is>
          <t>Potensi Stunting</t>
        </is>
      </c>
      <c r="K644" s="107" t="n"/>
    </row>
    <row r="645" ht="15.75" customHeight="1" s="95">
      <c r="A645" s="97" t="inlineStr">
        <is>
          <t>anonymus0644</t>
        </is>
      </c>
      <c r="B645" s="97" t="inlineStr">
        <is>
          <t>L</t>
        </is>
      </c>
      <c r="C645" s="97" t="inlineStr">
        <is>
          <t>1-34 Bulan</t>
        </is>
      </c>
      <c r="D645" s="97" t="inlineStr">
        <is>
          <t>7.3</t>
        </is>
      </c>
      <c r="E645" s="97" t="n">
        <v>67</v>
      </c>
      <c r="F645" s="97" t="inlineStr">
        <is>
          <t>Normal</t>
        </is>
      </c>
      <c r="G645" s="97" t="inlineStr">
        <is>
          <t>Normal</t>
        </is>
      </c>
      <c r="H645" s="106" t="inlineStr">
        <is>
          <t>Gizi Baik</t>
        </is>
      </c>
      <c r="I645" s="97" t="inlineStr">
        <is>
          <t>Ya</t>
        </is>
      </c>
      <c r="J645" s="97" t="inlineStr">
        <is>
          <t>Tidak</t>
        </is>
      </c>
      <c r="K645" s="107" t="n"/>
    </row>
    <row r="646" ht="15.75" customHeight="1" s="95">
      <c r="A646" s="97" t="inlineStr">
        <is>
          <t>anonymus0645</t>
        </is>
      </c>
      <c r="B646" s="97" t="inlineStr">
        <is>
          <t>P</t>
        </is>
      </c>
      <c r="C646" s="97" t="inlineStr">
        <is>
          <t>1-34 Bulan</t>
        </is>
      </c>
      <c r="D646" s="97" t="n">
        <v>10.1</v>
      </c>
      <c r="E646" s="97" t="n">
        <v>88</v>
      </c>
      <c r="F646" s="97" t="inlineStr">
        <is>
          <t>Normal</t>
        </is>
      </c>
      <c r="G646" s="97" t="inlineStr">
        <is>
          <t>Normal</t>
        </is>
      </c>
      <c r="H646" s="106" t="inlineStr">
        <is>
          <t>Gizi Kurang</t>
        </is>
      </c>
      <c r="I646" s="97" t="inlineStr">
        <is>
          <t>Ya</t>
        </is>
      </c>
      <c r="J646" s="97" t="inlineStr">
        <is>
          <t>Tidak</t>
        </is>
      </c>
      <c r="K646" s="107" t="n"/>
    </row>
    <row r="647" ht="15.75" customHeight="1" s="95">
      <c r="A647" s="97" t="inlineStr">
        <is>
          <t>anonymus0646</t>
        </is>
      </c>
      <c r="B647" s="97" t="inlineStr">
        <is>
          <t>P</t>
        </is>
      </c>
      <c r="C647" s="97" t="inlineStr">
        <is>
          <t>35-69 Bulan</t>
        </is>
      </c>
      <c r="D647" s="97" t="n">
        <v>10</v>
      </c>
      <c r="E647" s="97" t="n">
        <v>77</v>
      </c>
      <c r="F647" s="97" t="inlineStr">
        <is>
          <t>Normal</t>
        </is>
      </c>
      <c r="G647" s="97" t="inlineStr">
        <is>
          <t>Pendek</t>
        </is>
      </c>
      <c r="H647" s="106" t="inlineStr">
        <is>
          <t>Gizi Baik</t>
        </is>
      </c>
      <c r="I647" s="97" t="inlineStr">
        <is>
          <t>Ya</t>
        </is>
      </c>
      <c r="J647" s="97" t="inlineStr">
        <is>
          <t>Potensi Stunting</t>
        </is>
      </c>
      <c r="K647" s="107" t="n"/>
    </row>
    <row r="648" ht="15.75" customHeight="1" s="95">
      <c r="A648" s="97" t="inlineStr">
        <is>
          <t>anonymus0647</t>
        </is>
      </c>
      <c r="B648" s="97" t="inlineStr">
        <is>
          <t>P</t>
        </is>
      </c>
      <c r="C648" s="97" t="inlineStr">
        <is>
          <t>35-69 Bulan</t>
        </is>
      </c>
      <c r="D648" s="97" t="n">
        <v>10.1</v>
      </c>
      <c r="E648" s="97" t="n">
        <v>90</v>
      </c>
      <c r="F648" s="97" t="inlineStr">
        <is>
          <t>Kurang</t>
        </is>
      </c>
      <c r="G648" s="97" t="inlineStr">
        <is>
          <t>Normal</t>
        </is>
      </c>
      <c r="H648" s="106" t="inlineStr">
        <is>
          <t>Gizi Kurang</t>
        </is>
      </c>
      <c r="I648" s="97" t="inlineStr">
        <is>
          <t>Ya</t>
        </is>
      </c>
      <c r="J648" s="97" t="inlineStr">
        <is>
          <t>Tidak</t>
        </is>
      </c>
      <c r="K648" s="107" t="n"/>
    </row>
    <row r="649" ht="15.75" customHeight="1" s="95">
      <c r="A649" s="97" t="inlineStr">
        <is>
          <t>anonymus0648</t>
        </is>
      </c>
      <c r="B649" s="97" t="inlineStr">
        <is>
          <t>L</t>
        </is>
      </c>
      <c r="C649" s="97" t="inlineStr">
        <is>
          <t>1-34 Bulan</t>
        </is>
      </c>
      <c r="D649" s="97" t="inlineStr">
        <is>
          <t>12.9</t>
        </is>
      </c>
      <c r="E649" s="97" t="n">
        <v>86</v>
      </c>
      <c r="F649" s="97" t="inlineStr">
        <is>
          <t>Normal</t>
        </is>
      </c>
      <c r="G649" s="97" t="inlineStr">
        <is>
          <t>Normal</t>
        </is>
      </c>
      <c r="H649" s="106" t="inlineStr">
        <is>
          <t>Risiko Gizi Lebih</t>
        </is>
      </c>
      <c r="I649" s="97" t="inlineStr">
        <is>
          <t>Ya</t>
        </is>
      </c>
      <c r="J649" s="97" t="inlineStr">
        <is>
          <t>Tidak</t>
        </is>
      </c>
      <c r="K649" s="107" t="n"/>
    </row>
    <row r="650" ht="15.75" customHeight="1" s="95">
      <c r="A650" s="97" t="inlineStr">
        <is>
          <t>anonymus0649</t>
        </is>
      </c>
      <c r="B650" s="97" t="inlineStr">
        <is>
          <t>P</t>
        </is>
      </c>
      <c r="C650" s="97" t="inlineStr">
        <is>
          <t>35-69 Bulan</t>
        </is>
      </c>
      <c r="D650" s="97" t="inlineStr">
        <is>
          <t>17.3</t>
        </is>
      </c>
      <c r="E650" s="97" t="n">
        <v>109</v>
      </c>
      <c r="F650" s="97" t="inlineStr">
        <is>
          <t>Normal</t>
        </is>
      </c>
      <c r="G650" s="97" t="inlineStr">
        <is>
          <t>Normal</t>
        </is>
      </c>
      <c r="H650" s="106" t="inlineStr">
        <is>
          <t>Gizi Baik</t>
        </is>
      </c>
      <c r="I650" s="97" t="inlineStr">
        <is>
          <t>Ya</t>
        </is>
      </c>
      <c r="J650" s="97" t="inlineStr">
        <is>
          <t>Tidak</t>
        </is>
      </c>
      <c r="K650" s="107" t="n"/>
    </row>
    <row r="651" ht="15.75" customHeight="1" s="95">
      <c r="A651" s="97" t="inlineStr">
        <is>
          <t>anonymus0650</t>
        </is>
      </c>
      <c r="B651" s="97" t="inlineStr">
        <is>
          <t>P</t>
        </is>
      </c>
      <c r="C651" s="97" t="inlineStr">
        <is>
          <t>35-69 Bulan</t>
        </is>
      </c>
      <c r="D651" s="97" t="n">
        <v>8.4</v>
      </c>
      <c r="E651" s="97" t="n">
        <v>78</v>
      </c>
      <c r="F651" s="97" t="inlineStr">
        <is>
          <t>Kurang</t>
        </is>
      </c>
      <c r="G651" s="97" t="inlineStr">
        <is>
          <t>Pendek</t>
        </is>
      </c>
      <c r="H651" s="106" t="inlineStr">
        <is>
          <t>Gizi Baik</t>
        </is>
      </c>
      <c r="I651" s="97" t="inlineStr">
        <is>
          <t>Ya</t>
        </is>
      </c>
      <c r="J651" s="97" t="inlineStr">
        <is>
          <t>Potensi Stunting</t>
        </is>
      </c>
      <c r="K651" s="107" t="n"/>
    </row>
    <row r="652" ht="15.75" customHeight="1" s="95">
      <c r="A652" s="97" t="inlineStr">
        <is>
          <t>anonymus0651</t>
        </is>
      </c>
      <c r="B652" s="97" t="inlineStr">
        <is>
          <t>P</t>
        </is>
      </c>
      <c r="C652" s="97" t="inlineStr">
        <is>
          <t>35-69 Bulan</t>
        </is>
      </c>
      <c r="D652" s="97" t="n">
        <v>9.300000000000001</v>
      </c>
      <c r="E652" s="97" t="n">
        <v>79</v>
      </c>
      <c r="F652" s="97" t="inlineStr">
        <is>
          <t>Normal</t>
        </is>
      </c>
      <c r="G652" s="97" t="inlineStr">
        <is>
          <t>Pendek</t>
        </is>
      </c>
      <c r="H652" s="106" t="inlineStr">
        <is>
          <t>Gizi Baik</t>
        </is>
      </c>
      <c r="I652" s="97" t="inlineStr">
        <is>
          <t>Ya</t>
        </is>
      </c>
      <c r="J652" s="97" t="inlineStr">
        <is>
          <t>Potensi Stunting</t>
        </is>
      </c>
      <c r="K652" s="107" t="n"/>
    </row>
    <row r="653" ht="15.75" customHeight="1" s="95">
      <c r="A653" s="97" t="inlineStr">
        <is>
          <t>anonymus0652</t>
        </is>
      </c>
      <c r="B653" s="97" t="inlineStr">
        <is>
          <t>P</t>
        </is>
      </c>
      <c r="C653" s="97" t="inlineStr">
        <is>
          <t>1-34 Bulan</t>
        </is>
      </c>
      <c r="D653" s="97" t="n">
        <v>8</v>
      </c>
      <c r="E653" s="97" t="inlineStr">
        <is>
          <t>68.1</t>
        </is>
      </c>
      <c r="F653" s="97" t="inlineStr">
        <is>
          <t>Normal</t>
        </is>
      </c>
      <c r="G653" s="97" t="inlineStr">
        <is>
          <t>Normal</t>
        </is>
      </c>
      <c r="H653" s="106" t="inlineStr">
        <is>
          <t>Gizi Baik</t>
        </is>
      </c>
      <c r="I653" s="97" t="inlineStr">
        <is>
          <t>Ya</t>
        </is>
      </c>
      <c r="J653" s="97" t="inlineStr">
        <is>
          <t>Tidak</t>
        </is>
      </c>
      <c r="K653" s="107" t="n"/>
    </row>
    <row r="654" ht="15.75" customHeight="1" s="95">
      <c r="A654" s="97" t="inlineStr">
        <is>
          <t>anonymus0653</t>
        </is>
      </c>
      <c r="B654" s="97" t="inlineStr">
        <is>
          <t>L</t>
        </is>
      </c>
      <c r="C654" s="97" t="inlineStr">
        <is>
          <t>35-69 Bulan</t>
        </is>
      </c>
      <c r="D654" s="97" t="inlineStr">
        <is>
          <t>14.4</t>
        </is>
      </c>
      <c r="E654" s="97" t="n">
        <v>102</v>
      </c>
      <c r="F654" s="97" t="inlineStr">
        <is>
          <t>Normal</t>
        </is>
      </c>
      <c r="G654" s="97" t="inlineStr">
        <is>
          <t>Normal</t>
        </is>
      </c>
      <c r="H654" s="106" t="inlineStr">
        <is>
          <t>Gizi Baik</t>
        </is>
      </c>
      <c r="I654" s="97" t="inlineStr">
        <is>
          <t>Ya</t>
        </is>
      </c>
      <c r="J654" s="97" t="inlineStr">
        <is>
          <t>Tidak</t>
        </is>
      </c>
      <c r="K654" s="107" t="n"/>
    </row>
    <row r="655" ht="15.75" customHeight="1" s="95">
      <c r="A655" s="97" t="inlineStr">
        <is>
          <t>anonymus0654</t>
        </is>
      </c>
      <c r="B655" s="97" t="inlineStr">
        <is>
          <t>P</t>
        </is>
      </c>
      <c r="C655" s="97" t="inlineStr">
        <is>
          <t>1-34 Bulan</t>
        </is>
      </c>
      <c r="D655" s="97" t="n">
        <v>10.8</v>
      </c>
      <c r="E655" s="97" t="n">
        <v>80</v>
      </c>
      <c r="F655" s="97" t="inlineStr">
        <is>
          <t>Normal</t>
        </is>
      </c>
      <c r="G655" s="97" t="inlineStr">
        <is>
          <t>Normal</t>
        </is>
      </c>
      <c r="H655" s="106" t="inlineStr">
        <is>
          <t>Gizi Baik</t>
        </is>
      </c>
      <c r="I655" s="97" t="inlineStr">
        <is>
          <t>Ya</t>
        </is>
      </c>
      <c r="J655" s="97" t="inlineStr">
        <is>
          <t>Tidak</t>
        </is>
      </c>
      <c r="K655" s="107" t="n"/>
    </row>
    <row r="656" ht="15.75" customHeight="1" s="95">
      <c r="A656" s="97" t="inlineStr">
        <is>
          <t>anonymus0655</t>
        </is>
      </c>
      <c r="B656" s="97" t="inlineStr">
        <is>
          <t>L</t>
        </is>
      </c>
      <c r="C656" s="97" t="inlineStr">
        <is>
          <t>35-69 Bulan</t>
        </is>
      </c>
      <c r="D656" s="97" t="inlineStr">
        <is>
          <t>16.9</t>
        </is>
      </c>
      <c r="E656" s="97" t="n">
        <v>102</v>
      </c>
      <c r="F656" s="97" t="inlineStr">
        <is>
          <t>Normal</t>
        </is>
      </c>
      <c r="G656" s="97" t="inlineStr">
        <is>
          <t>Normal</t>
        </is>
      </c>
      <c r="H656" s="106" t="inlineStr">
        <is>
          <t>Gizi Baik</t>
        </is>
      </c>
      <c r="I656" s="97" t="inlineStr">
        <is>
          <t>Ya</t>
        </is>
      </c>
      <c r="J656" s="97" t="inlineStr">
        <is>
          <t>Tidak</t>
        </is>
      </c>
      <c r="K656" s="107" t="n"/>
    </row>
    <row r="657" ht="15.75" customHeight="1" s="95">
      <c r="A657" s="97" t="inlineStr">
        <is>
          <t>anonymus0656</t>
        </is>
      </c>
      <c r="B657" s="97" t="inlineStr">
        <is>
          <t>P</t>
        </is>
      </c>
      <c r="C657" s="97" t="inlineStr">
        <is>
          <t>35-69 Bulan</t>
        </is>
      </c>
      <c r="D657" s="97" t="n">
        <v>16</v>
      </c>
      <c r="E657" s="97" t="n">
        <v>104</v>
      </c>
      <c r="F657" s="97" t="inlineStr">
        <is>
          <t>Normal</t>
        </is>
      </c>
      <c r="G657" s="97" t="inlineStr">
        <is>
          <t>Normal</t>
        </is>
      </c>
      <c r="H657" s="106" t="inlineStr">
        <is>
          <t>Gizi Baik</t>
        </is>
      </c>
      <c r="I657" s="97" t="inlineStr">
        <is>
          <t>Ya</t>
        </is>
      </c>
      <c r="J657" s="97" t="inlineStr">
        <is>
          <t>Tidak</t>
        </is>
      </c>
      <c r="K657" s="107" t="n"/>
    </row>
    <row r="658" ht="15.75" customHeight="1" s="95">
      <c r="A658" s="97" t="inlineStr">
        <is>
          <t>anonymus0657</t>
        </is>
      </c>
      <c r="B658" s="97" t="inlineStr">
        <is>
          <t>P</t>
        </is>
      </c>
      <c r="C658" s="97" t="inlineStr">
        <is>
          <t>1-34 Bulan</t>
        </is>
      </c>
      <c r="D658" s="97" t="inlineStr">
        <is>
          <t>9.5</t>
        </is>
      </c>
      <c r="E658" s="97" t="n">
        <v>79</v>
      </c>
      <c r="F658" s="97" t="inlineStr">
        <is>
          <t>Normal</t>
        </is>
      </c>
      <c r="G658" s="97" t="inlineStr">
        <is>
          <t>Normal</t>
        </is>
      </c>
      <c r="H658" s="106" t="inlineStr">
        <is>
          <t>Gizi Baik</t>
        </is>
      </c>
      <c r="I658" s="97" t="inlineStr">
        <is>
          <t>Ya</t>
        </is>
      </c>
      <c r="J658" s="97" t="inlineStr">
        <is>
          <t>Tidak</t>
        </is>
      </c>
      <c r="K658" s="107" t="n"/>
    </row>
    <row r="659" ht="15.75" customHeight="1" s="95">
      <c r="A659" s="97" t="inlineStr">
        <is>
          <t>anonymus0658</t>
        </is>
      </c>
      <c r="B659" s="97" t="inlineStr">
        <is>
          <t>P</t>
        </is>
      </c>
      <c r="C659" s="97" t="inlineStr">
        <is>
          <t>35-69 Bulan</t>
        </is>
      </c>
      <c r="D659" s="97" t="inlineStr">
        <is>
          <t>11.8</t>
        </is>
      </c>
      <c r="E659" s="97" t="n">
        <v>92</v>
      </c>
      <c r="F659" s="97" t="inlineStr">
        <is>
          <t>Normal</t>
        </is>
      </c>
      <c r="G659" s="97" t="inlineStr">
        <is>
          <t>Normal</t>
        </is>
      </c>
      <c r="H659" s="106" t="inlineStr">
        <is>
          <t>Gizi Baik</t>
        </is>
      </c>
      <c r="I659" s="97" t="inlineStr">
        <is>
          <t>Ya</t>
        </is>
      </c>
      <c r="J659" s="97" t="inlineStr">
        <is>
          <t>Tidak</t>
        </is>
      </c>
      <c r="K659" s="107" t="n"/>
    </row>
    <row r="660" ht="15.75" customHeight="1" s="95">
      <c r="A660" s="97" t="inlineStr">
        <is>
          <t>anonymus0659</t>
        </is>
      </c>
      <c r="B660" s="97" t="inlineStr">
        <is>
          <t>P</t>
        </is>
      </c>
      <c r="C660" s="97" t="inlineStr">
        <is>
          <t>35-69 Bulan</t>
        </is>
      </c>
      <c r="D660" s="97" t="n">
        <v>18.8</v>
      </c>
      <c r="E660" s="97" t="n">
        <v>102</v>
      </c>
      <c r="F660" s="97" t="inlineStr">
        <is>
          <t>Risiko Lebih</t>
        </is>
      </c>
      <c r="G660" s="97" t="inlineStr">
        <is>
          <t>Normal</t>
        </is>
      </c>
      <c r="H660" s="106" t="inlineStr">
        <is>
          <t>Gizi Lebih</t>
        </is>
      </c>
      <c r="I660" s="97" t="inlineStr">
        <is>
          <t>Ya</t>
        </is>
      </c>
      <c r="J660" s="97" t="inlineStr">
        <is>
          <t>Tidak</t>
        </is>
      </c>
      <c r="K660" s="107" t="n"/>
    </row>
    <row r="661" ht="15.75" customHeight="1" s="95">
      <c r="A661" s="97" t="inlineStr">
        <is>
          <t>anonymus0660</t>
        </is>
      </c>
      <c r="B661" s="97" t="inlineStr">
        <is>
          <t>L</t>
        </is>
      </c>
      <c r="C661" s="97" t="inlineStr">
        <is>
          <t>1-34 Bulan</t>
        </is>
      </c>
      <c r="D661" s="97" t="n">
        <v>9</v>
      </c>
      <c r="E661" s="97" t="n">
        <v>82</v>
      </c>
      <c r="F661" s="97" t="inlineStr">
        <is>
          <t>Kurang</t>
        </is>
      </c>
      <c r="G661" s="97" t="inlineStr">
        <is>
          <t>Normal</t>
        </is>
      </c>
      <c r="H661" s="106" t="inlineStr">
        <is>
          <t>Gizi Kurang</t>
        </is>
      </c>
      <c r="I661" s="97" t="inlineStr">
        <is>
          <t>Ya</t>
        </is>
      </c>
      <c r="J661" s="97" t="inlineStr">
        <is>
          <t>Tidak</t>
        </is>
      </c>
      <c r="K661" s="107" t="n"/>
    </row>
    <row r="662" ht="15.75" customHeight="1" s="95">
      <c r="A662" s="97" t="inlineStr">
        <is>
          <t>anonymus0661</t>
        </is>
      </c>
      <c r="B662" s="97" t="inlineStr">
        <is>
          <t>L</t>
        </is>
      </c>
      <c r="C662" s="97" t="inlineStr">
        <is>
          <t>1-34 Bulan</t>
        </is>
      </c>
      <c r="D662" s="97" t="n">
        <v>13.6</v>
      </c>
      <c r="E662" s="97" t="n">
        <v>79</v>
      </c>
      <c r="F662" s="97" t="inlineStr">
        <is>
          <t>Normal</t>
        </is>
      </c>
      <c r="G662" s="97" t="inlineStr">
        <is>
          <t>Normal</t>
        </is>
      </c>
      <c r="H662" s="106" t="inlineStr">
        <is>
          <t>Gizi Baik</t>
        </is>
      </c>
      <c r="I662" s="97" t="inlineStr">
        <is>
          <t>Ya</t>
        </is>
      </c>
      <c r="J662" s="97" t="inlineStr">
        <is>
          <t>Tidak</t>
        </is>
      </c>
      <c r="K662" s="107" t="n"/>
    </row>
    <row r="663" ht="15.75" customHeight="1" s="95">
      <c r="A663" s="97" t="inlineStr">
        <is>
          <t>anonymus0662</t>
        </is>
      </c>
      <c r="B663" s="97" t="inlineStr">
        <is>
          <t>L</t>
        </is>
      </c>
      <c r="C663" s="97" t="inlineStr">
        <is>
          <t>1-34 Bulan</t>
        </is>
      </c>
      <c r="D663" s="97" t="inlineStr">
        <is>
          <t>8.6</t>
        </is>
      </c>
      <c r="E663" s="97" t="n">
        <v>68</v>
      </c>
      <c r="F663" s="97" t="inlineStr">
        <is>
          <t>Normal</t>
        </is>
      </c>
      <c r="G663" s="97" t="inlineStr">
        <is>
          <t>Normal</t>
        </is>
      </c>
      <c r="H663" s="106" t="inlineStr">
        <is>
          <t>Gizi Baik</t>
        </is>
      </c>
      <c r="I663" s="97" t="inlineStr">
        <is>
          <t>Ya</t>
        </is>
      </c>
      <c r="J663" s="97" t="inlineStr">
        <is>
          <t>Tidak</t>
        </is>
      </c>
      <c r="K663" s="107" t="n"/>
    </row>
    <row r="664" ht="15.75" customHeight="1" s="95">
      <c r="A664" s="97" t="inlineStr">
        <is>
          <t>anonymus0663</t>
        </is>
      </c>
      <c r="B664" s="97" t="inlineStr">
        <is>
          <t>P</t>
        </is>
      </c>
      <c r="C664" s="97" t="inlineStr">
        <is>
          <t>35-69 Bulan</t>
        </is>
      </c>
      <c r="D664" s="97" t="n">
        <v>10.4</v>
      </c>
      <c r="E664" s="97" t="n">
        <v>94</v>
      </c>
      <c r="F664" s="97" t="inlineStr">
        <is>
          <t>Sangat Kurang</t>
        </is>
      </c>
      <c r="G664" s="97" t="inlineStr">
        <is>
          <t>Pendek</t>
        </is>
      </c>
      <c r="H664" s="106" t="inlineStr">
        <is>
          <t>Gizi Buruk</t>
        </is>
      </c>
      <c r="I664" s="97" t="inlineStr">
        <is>
          <t>Ya</t>
        </is>
      </c>
      <c r="J664" s="97" t="inlineStr">
        <is>
          <t>Potensi Stunting</t>
        </is>
      </c>
      <c r="K664" s="107" t="n"/>
    </row>
    <row r="665" ht="15.75" customHeight="1" s="95">
      <c r="A665" s="97" t="inlineStr">
        <is>
          <t>anonymus0664</t>
        </is>
      </c>
      <c r="B665" s="97" t="inlineStr">
        <is>
          <t>P</t>
        </is>
      </c>
      <c r="C665" s="97" t="inlineStr">
        <is>
          <t>35-69 Bulan</t>
        </is>
      </c>
      <c r="D665" s="97" t="n">
        <v>11</v>
      </c>
      <c r="E665" s="97" t="n">
        <v>120</v>
      </c>
      <c r="F665" s="97" t="inlineStr">
        <is>
          <t>Normal</t>
        </is>
      </c>
      <c r="G665" s="97" t="inlineStr">
        <is>
          <t>Normal</t>
        </is>
      </c>
      <c r="H665" s="106" t="inlineStr">
        <is>
          <t>Gizi Baik</t>
        </is>
      </c>
      <c r="I665" s="97" t="inlineStr">
        <is>
          <t>Ya</t>
        </is>
      </c>
      <c r="J665" s="97" t="inlineStr">
        <is>
          <t>Tidak</t>
        </is>
      </c>
      <c r="K665" s="107" t="n"/>
    </row>
    <row r="666" ht="15.75" customHeight="1" s="95">
      <c r="A666" s="97" t="inlineStr">
        <is>
          <t>anonymus0665</t>
        </is>
      </c>
      <c r="B666" s="97" t="inlineStr">
        <is>
          <t>L</t>
        </is>
      </c>
      <c r="C666" s="97" t="inlineStr">
        <is>
          <t>35-69 Bulan</t>
        </is>
      </c>
      <c r="D666" s="97" t="n">
        <v>18</v>
      </c>
      <c r="E666" s="97" t="n">
        <v>116</v>
      </c>
      <c r="F666" s="97" t="inlineStr">
        <is>
          <t>Risiko Lebih</t>
        </is>
      </c>
      <c r="G666" s="97" t="inlineStr">
        <is>
          <t>Normal</t>
        </is>
      </c>
      <c r="H666" s="106" t="inlineStr">
        <is>
          <t>Gizi Lebih</t>
        </is>
      </c>
      <c r="I666" s="97" t="inlineStr">
        <is>
          <t>Ya</t>
        </is>
      </c>
      <c r="J666" s="97" t="inlineStr">
        <is>
          <t>Tidak</t>
        </is>
      </c>
      <c r="K666" s="107" t="n"/>
    </row>
    <row r="667" ht="15.75" customHeight="1" s="95">
      <c r="A667" s="97" t="inlineStr">
        <is>
          <t>anonymus0666</t>
        </is>
      </c>
      <c r="B667" s="97" t="inlineStr">
        <is>
          <t>L</t>
        </is>
      </c>
      <c r="C667" s="97" t="inlineStr">
        <is>
          <t>35-69 Bulan</t>
        </is>
      </c>
      <c r="D667" s="97" t="n">
        <v>13.4</v>
      </c>
      <c r="E667" s="97" t="n">
        <v>91</v>
      </c>
      <c r="F667" s="97" t="inlineStr">
        <is>
          <t>Normal</t>
        </is>
      </c>
      <c r="G667" s="97" t="inlineStr">
        <is>
          <t>Pendek</t>
        </is>
      </c>
      <c r="H667" s="106" t="inlineStr">
        <is>
          <t>Gizi Baik</t>
        </is>
      </c>
      <c r="I667" s="97" t="inlineStr">
        <is>
          <t>Ya</t>
        </is>
      </c>
      <c r="J667" s="97" t="inlineStr">
        <is>
          <t>Potensi Stunting</t>
        </is>
      </c>
      <c r="K667" s="107" t="n"/>
    </row>
    <row r="668" ht="15.75" customHeight="1" s="95">
      <c r="A668" s="97" t="inlineStr">
        <is>
          <t>anonymus0667</t>
        </is>
      </c>
      <c r="B668" s="97" t="inlineStr">
        <is>
          <t>L</t>
        </is>
      </c>
      <c r="C668" s="97" t="inlineStr">
        <is>
          <t>35-69 Bulan</t>
        </is>
      </c>
      <c r="D668" s="97" t="n">
        <v>9.6</v>
      </c>
      <c r="E668" s="97" t="n">
        <v>80.40000000000001</v>
      </c>
      <c r="F668" s="97" t="inlineStr">
        <is>
          <t>Kurang</t>
        </is>
      </c>
      <c r="G668" s="97" t="inlineStr">
        <is>
          <t>Pendek</t>
        </is>
      </c>
      <c r="H668" s="106" t="inlineStr">
        <is>
          <t>Gizi Baik</t>
        </is>
      </c>
      <c r="I668" s="97" t="inlineStr">
        <is>
          <t>Ya</t>
        </is>
      </c>
      <c r="J668" s="97" t="inlineStr">
        <is>
          <t>Potensi Stunting</t>
        </is>
      </c>
      <c r="K668" s="107" t="n"/>
    </row>
    <row r="669" ht="15.75" customHeight="1" s="95">
      <c r="A669" s="97" t="inlineStr">
        <is>
          <t>anonymus0668</t>
        </is>
      </c>
      <c r="B669" s="97" t="inlineStr">
        <is>
          <t>L</t>
        </is>
      </c>
      <c r="C669" s="97" t="inlineStr">
        <is>
          <t>1-34 Bulan</t>
        </is>
      </c>
      <c r="D669" s="97" t="n">
        <v>13.8</v>
      </c>
      <c r="E669" s="97" t="n">
        <v>83</v>
      </c>
      <c r="F669" s="97" t="inlineStr">
        <is>
          <t>Normal</t>
        </is>
      </c>
      <c r="G669" s="97" t="inlineStr">
        <is>
          <t>Normal</t>
        </is>
      </c>
      <c r="H669" s="106" t="inlineStr">
        <is>
          <t>Gizi Baik</t>
        </is>
      </c>
      <c r="I669" s="97" t="inlineStr">
        <is>
          <t>Ya</t>
        </is>
      </c>
      <c r="J669" s="97" t="inlineStr">
        <is>
          <t>Tidak</t>
        </is>
      </c>
      <c r="K669" s="107" t="n"/>
    </row>
    <row r="670" ht="15.75" customHeight="1" s="95">
      <c r="A670" s="97" t="inlineStr">
        <is>
          <t>anonymus0669</t>
        </is>
      </c>
      <c r="B670" s="97" t="inlineStr">
        <is>
          <t>P</t>
        </is>
      </c>
      <c r="C670" s="97" t="inlineStr">
        <is>
          <t>35-69 Bulan</t>
        </is>
      </c>
      <c r="D670" s="97" t="inlineStr">
        <is>
          <t>14.8</t>
        </is>
      </c>
      <c r="E670" s="97" t="n">
        <v>99</v>
      </c>
      <c r="F670" s="97" t="inlineStr">
        <is>
          <t>Normal</t>
        </is>
      </c>
      <c r="G670" s="97" t="inlineStr">
        <is>
          <t>Normal</t>
        </is>
      </c>
      <c r="H670" s="106" t="inlineStr">
        <is>
          <t>Gizi Baik</t>
        </is>
      </c>
      <c r="I670" s="97" t="inlineStr">
        <is>
          <t>Ya</t>
        </is>
      </c>
      <c r="J670" s="97" t="inlineStr">
        <is>
          <t>Tidak</t>
        </is>
      </c>
      <c r="K670" s="107" t="n"/>
    </row>
    <row r="671" ht="15.75" customHeight="1" s="95">
      <c r="A671" s="97" t="inlineStr">
        <is>
          <t>anonymus0670</t>
        </is>
      </c>
      <c r="B671" s="97" t="inlineStr">
        <is>
          <t>L</t>
        </is>
      </c>
      <c r="C671" s="97" t="inlineStr">
        <is>
          <t>35-69 Bulan</t>
        </is>
      </c>
      <c r="D671" s="97" t="inlineStr">
        <is>
          <t>11.8</t>
        </is>
      </c>
      <c r="E671" s="97" t="n">
        <v>90</v>
      </c>
      <c r="F671" s="97" t="inlineStr">
        <is>
          <t>Normal</t>
        </is>
      </c>
      <c r="G671" s="97" t="inlineStr">
        <is>
          <t>Normal</t>
        </is>
      </c>
      <c r="H671" s="106" t="inlineStr">
        <is>
          <t>Gizi Baik</t>
        </is>
      </c>
      <c r="I671" s="97" t="inlineStr">
        <is>
          <t>Ya</t>
        </is>
      </c>
      <c r="J671" s="97" t="inlineStr">
        <is>
          <t>Tidak</t>
        </is>
      </c>
      <c r="K671" s="107" t="n"/>
    </row>
    <row r="672" ht="15.75" customHeight="1" s="95">
      <c r="A672" s="97" t="inlineStr">
        <is>
          <t>anonymus0671</t>
        </is>
      </c>
      <c r="B672" s="97" t="inlineStr">
        <is>
          <t>L</t>
        </is>
      </c>
      <c r="C672" s="97" t="inlineStr">
        <is>
          <t>35-69 Bulan</t>
        </is>
      </c>
      <c r="D672" s="97" t="n">
        <v>13.2</v>
      </c>
      <c r="E672" s="97" t="n">
        <v>93</v>
      </c>
      <c r="F672" s="97" t="inlineStr">
        <is>
          <t>Kurang</t>
        </is>
      </c>
      <c r="G672" s="97" t="inlineStr">
        <is>
          <t>Sangat Pendek</t>
        </is>
      </c>
      <c r="H672" s="106" t="inlineStr">
        <is>
          <t>Gizi Baik</t>
        </is>
      </c>
      <c r="I672" s="97" t="inlineStr">
        <is>
          <t>Ya</t>
        </is>
      </c>
      <c r="J672" s="97" t="inlineStr">
        <is>
          <t>Stunting</t>
        </is>
      </c>
      <c r="K672" s="107" t="n"/>
    </row>
    <row r="673" ht="15.75" customHeight="1" s="95">
      <c r="A673" s="97" t="inlineStr">
        <is>
          <t>anonymus0672</t>
        </is>
      </c>
      <c r="B673" s="97" t="inlineStr">
        <is>
          <t>P</t>
        </is>
      </c>
      <c r="C673" s="97" t="inlineStr">
        <is>
          <t>1-34 Bulan</t>
        </is>
      </c>
      <c r="D673" s="97" t="n">
        <v>8.4</v>
      </c>
      <c r="E673" s="97" t="n">
        <v>80</v>
      </c>
      <c r="F673" s="97" t="inlineStr">
        <is>
          <t>Kurang</t>
        </is>
      </c>
      <c r="G673" s="97" t="inlineStr">
        <is>
          <t>Normal</t>
        </is>
      </c>
      <c r="H673" s="106" t="inlineStr">
        <is>
          <t>Gizi Kurang</t>
        </is>
      </c>
      <c r="I673" s="97" t="inlineStr">
        <is>
          <t>Ya</t>
        </is>
      </c>
      <c r="J673" s="97" t="inlineStr">
        <is>
          <t>Tidak</t>
        </is>
      </c>
      <c r="K673" s="107" t="n"/>
    </row>
    <row r="674" ht="15.75" customHeight="1" s="95">
      <c r="A674" s="97" t="inlineStr">
        <is>
          <t>anonymus0673</t>
        </is>
      </c>
      <c r="B674" s="97" t="inlineStr">
        <is>
          <t>L</t>
        </is>
      </c>
      <c r="C674" s="97" t="inlineStr">
        <is>
          <t>1-34 Bulan</t>
        </is>
      </c>
      <c r="D674" s="97" t="n">
        <v>8.199999999999999</v>
      </c>
      <c r="E674" s="97" t="n">
        <v>76.5</v>
      </c>
      <c r="F674" s="97" t="inlineStr">
        <is>
          <t>Kurang</t>
        </is>
      </c>
      <c r="G674" s="97" t="inlineStr">
        <is>
          <t>Pendek</t>
        </is>
      </c>
      <c r="H674" s="106" t="inlineStr">
        <is>
          <t>Gizi Kurang</t>
        </is>
      </c>
      <c r="I674" s="97" t="inlineStr">
        <is>
          <t>Ya</t>
        </is>
      </c>
      <c r="J674" s="97" t="inlineStr">
        <is>
          <t>Potensi Stunting</t>
        </is>
      </c>
      <c r="K674" s="107" t="n"/>
    </row>
    <row r="675" ht="15.75" customHeight="1" s="95">
      <c r="A675" s="97" t="inlineStr">
        <is>
          <t>anonymus0674</t>
        </is>
      </c>
      <c r="B675" s="97" t="inlineStr">
        <is>
          <t>P</t>
        </is>
      </c>
      <c r="C675" s="97" t="inlineStr">
        <is>
          <t>35-69 Bulan</t>
        </is>
      </c>
      <c r="D675" s="97" t="n">
        <v>12.7</v>
      </c>
      <c r="E675" s="97" t="n">
        <v>117</v>
      </c>
      <c r="F675" s="97" t="inlineStr">
        <is>
          <t>Normal</t>
        </is>
      </c>
      <c r="G675" s="97" t="inlineStr">
        <is>
          <t>Normal</t>
        </is>
      </c>
      <c r="H675" s="106" t="inlineStr">
        <is>
          <t>Gizi Baik</t>
        </is>
      </c>
      <c r="I675" s="97" t="inlineStr">
        <is>
          <t>Ya</t>
        </is>
      </c>
      <c r="J675" s="97" t="inlineStr">
        <is>
          <t>Tidak</t>
        </is>
      </c>
      <c r="K675" s="107" t="n"/>
    </row>
    <row r="676" ht="15.75" customHeight="1" s="95">
      <c r="A676" s="97" t="inlineStr">
        <is>
          <t>anonymus0675</t>
        </is>
      </c>
      <c r="B676" s="97" t="inlineStr">
        <is>
          <t>P</t>
        </is>
      </c>
      <c r="C676" s="97" t="inlineStr">
        <is>
          <t>1-34 Bulan</t>
        </is>
      </c>
      <c r="D676" s="97" t="n">
        <v>10.9</v>
      </c>
      <c r="E676" s="97" t="n">
        <v>93</v>
      </c>
      <c r="F676" s="97" t="inlineStr">
        <is>
          <t>Normal</t>
        </is>
      </c>
      <c r="G676" s="97" t="inlineStr">
        <is>
          <t>Normal</t>
        </is>
      </c>
      <c r="H676" s="106" t="inlineStr">
        <is>
          <t>Gizi Baik</t>
        </is>
      </c>
      <c r="I676" s="97" t="inlineStr">
        <is>
          <t>Ya</t>
        </is>
      </c>
      <c r="J676" s="97" t="inlineStr">
        <is>
          <t>Tidak</t>
        </is>
      </c>
      <c r="K676" s="107" t="n"/>
    </row>
    <row r="677" ht="15.75" customHeight="1" s="95">
      <c r="A677" s="97" t="inlineStr">
        <is>
          <t>anonymus0676</t>
        </is>
      </c>
      <c r="B677" s="97" t="inlineStr">
        <is>
          <t>L</t>
        </is>
      </c>
      <c r="C677" s="97" t="inlineStr">
        <is>
          <t>1-34 Bulan</t>
        </is>
      </c>
      <c r="D677" s="97" t="inlineStr">
        <is>
          <t>9.1</t>
        </is>
      </c>
      <c r="E677" s="97" t="n">
        <v>70</v>
      </c>
      <c r="F677" s="97" t="inlineStr">
        <is>
          <t>Normal</t>
        </is>
      </c>
      <c r="G677" s="97" t="inlineStr">
        <is>
          <t>Normal</t>
        </is>
      </c>
      <c r="H677" s="106" t="inlineStr">
        <is>
          <t>Gizi Baik</t>
        </is>
      </c>
      <c r="I677" s="97" t="inlineStr">
        <is>
          <t>Ya</t>
        </is>
      </c>
      <c r="J677" s="97" t="inlineStr">
        <is>
          <t>Tidak</t>
        </is>
      </c>
      <c r="K677" s="107" t="n"/>
    </row>
    <row r="678" ht="15.75" customHeight="1" s="95">
      <c r="A678" s="97" t="inlineStr">
        <is>
          <t>anonymus0677</t>
        </is>
      </c>
      <c r="B678" s="97" t="inlineStr">
        <is>
          <t>L</t>
        </is>
      </c>
      <c r="C678" s="97" t="inlineStr">
        <is>
          <t>1-34 Bulan</t>
        </is>
      </c>
      <c r="D678" s="97" t="n">
        <v>8</v>
      </c>
      <c r="E678" s="97" t="n">
        <v>70</v>
      </c>
      <c r="F678" s="97" t="inlineStr">
        <is>
          <t>Kurang</t>
        </is>
      </c>
      <c r="G678" s="97" t="inlineStr">
        <is>
          <t>Normal</t>
        </is>
      </c>
      <c r="H678" s="106" t="inlineStr">
        <is>
          <t>Gizi Kurang</t>
        </is>
      </c>
      <c r="I678" s="97" t="inlineStr">
        <is>
          <t>Ya</t>
        </is>
      </c>
      <c r="J678" s="97" t="inlineStr">
        <is>
          <t>Tidak</t>
        </is>
      </c>
      <c r="K678" s="107" t="n"/>
    </row>
    <row r="679" ht="15.75" customHeight="1" s="95">
      <c r="A679" s="97" t="inlineStr">
        <is>
          <t>anonymus0678</t>
        </is>
      </c>
      <c r="B679" s="97" t="inlineStr">
        <is>
          <t>L</t>
        </is>
      </c>
      <c r="C679" s="97" t="inlineStr">
        <is>
          <t>35-69 Bulan</t>
        </is>
      </c>
      <c r="D679" s="97" t="n">
        <v>14</v>
      </c>
      <c r="E679" s="97" t="n">
        <v>104</v>
      </c>
      <c r="F679" s="97" t="inlineStr">
        <is>
          <t>Normal</t>
        </is>
      </c>
      <c r="G679" s="97" t="inlineStr">
        <is>
          <t>Normal</t>
        </is>
      </c>
      <c r="H679" s="106" t="inlineStr">
        <is>
          <t>Gizi Kurang</t>
        </is>
      </c>
      <c r="I679" s="97" t="inlineStr">
        <is>
          <t>Ya</t>
        </is>
      </c>
      <c r="J679" s="97" t="inlineStr">
        <is>
          <t>Tidak</t>
        </is>
      </c>
      <c r="K679" s="107" t="n"/>
    </row>
    <row r="680" ht="15.75" customHeight="1" s="95">
      <c r="A680" s="97" t="inlineStr">
        <is>
          <t>anonymus0679</t>
        </is>
      </c>
      <c r="B680" s="97" t="inlineStr">
        <is>
          <t>L</t>
        </is>
      </c>
      <c r="C680" s="97" t="inlineStr">
        <is>
          <t>35-69 Bulan</t>
        </is>
      </c>
      <c r="D680" s="97" t="inlineStr">
        <is>
          <t>17.3</t>
        </is>
      </c>
      <c r="E680" s="97" t="n">
        <v>105</v>
      </c>
      <c r="F680" s="97" t="inlineStr">
        <is>
          <t>Normal</t>
        </is>
      </c>
      <c r="G680" s="97" t="inlineStr">
        <is>
          <t>Normal</t>
        </is>
      </c>
      <c r="H680" s="106" t="inlineStr">
        <is>
          <t>Gizi Baik</t>
        </is>
      </c>
      <c r="I680" s="97" t="inlineStr">
        <is>
          <t>Ya</t>
        </is>
      </c>
      <c r="J680" s="97" t="inlineStr">
        <is>
          <t>Tidak</t>
        </is>
      </c>
      <c r="K680" s="107" t="n"/>
    </row>
    <row r="681" ht="15.75" customHeight="1" s="95">
      <c r="A681" s="97" t="inlineStr">
        <is>
          <t>anonymus0680</t>
        </is>
      </c>
      <c r="B681" s="97" t="inlineStr">
        <is>
          <t>P</t>
        </is>
      </c>
      <c r="C681" s="97" t="inlineStr">
        <is>
          <t>35-69 Bulan</t>
        </is>
      </c>
      <c r="D681" s="97" t="n">
        <v>12.4</v>
      </c>
      <c r="E681" s="97" t="n">
        <v>93</v>
      </c>
      <c r="F681" s="97" t="inlineStr">
        <is>
          <t>Kurang</t>
        </is>
      </c>
      <c r="G681" s="97" t="inlineStr">
        <is>
          <t>Pendek</t>
        </is>
      </c>
      <c r="H681" s="106" t="inlineStr">
        <is>
          <t>Gizi Baik</t>
        </is>
      </c>
      <c r="I681" s="97" t="inlineStr">
        <is>
          <t>Ya</t>
        </is>
      </c>
      <c r="J681" s="97" t="inlineStr">
        <is>
          <t>Potensi Stunting</t>
        </is>
      </c>
      <c r="K681" s="107" t="n"/>
    </row>
    <row r="682" ht="15.75" customHeight="1" s="95">
      <c r="A682" s="97" t="inlineStr">
        <is>
          <t>anonymus0681</t>
        </is>
      </c>
      <c r="B682" s="97" t="inlineStr">
        <is>
          <t>P</t>
        </is>
      </c>
      <c r="C682" s="97" t="inlineStr">
        <is>
          <t>35-69 Bulan</t>
        </is>
      </c>
      <c r="D682" s="97" t="n">
        <v>15</v>
      </c>
      <c r="E682" s="97" t="n">
        <v>99</v>
      </c>
      <c r="F682" s="97" t="inlineStr">
        <is>
          <t>Normal</t>
        </is>
      </c>
      <c r="G682" s="97" t="inlineStr">
        <is>
          <t>Normal</t>
        </is>
      </c>
      <c r="H682" s="106" t="inlineStr">
        <is>
          <t>Gizi Baik</t>
        </is>
      </c>
      <c r="I682" s="97" t="inlineStr">
        <is>
          <t>Ya</t>
        </is>
      </c>
      <c r="J682" s="97" t="inlineStr">
        <is>
          <t>Tidak</t>
        </is>
      </c>
      <c r="K682" s="107" t="n"/>
    </row>
    <row r="683" ht="15.75" customHeight="1" s="95">
      <c r="A683" s="97" t="inlineStr">
        <is>
          <t>anonymus0682</t>
        </is>
      </c>
      <c r="B683" s="97" t="inlineStr">
        <is>
          <t>L</t>
        </is>
      </c>
      <c r="C683" s="97" t="inlineStr">
        <is>
          <t>35-69 Bulan</t>
        </is>
      </c>
      <c r="D683" s="97" t="n">
        <v>12.1</v>
      </c>
      <c r="E683" s="97" t="n">
        <v>96</v>
      </c>
      <c r="F683" s="97" t="inlineStr">
        <is>
          <t>Kurang</t>
        </is>
      </c>
      <c r="G683" s="97" t="inlineStr">
        <is>
          <t>Normal</t>
        </is>
      </c>
      <c r="H683" s="106" t="inlineStr">
        <is>
          <t>Gizi Kurang</t>
        </is>
      </c>
      <c r="I683" s="97" t="inlineStr">
        <is>
          <t>Ya</t>
        </is>
      </c>
      <c r="J683" s="97" t="inlineStr">
        <is>
          <t>Tidak</t>
        </is>
      </c>
      <c r="K683" s="107" t="n"/>
    </row>
    <row r="684" ht="15.75" customHeight="1" s="95">
      <c r="A684" s="97" t="inlineStr">
        <is>
          <t>anonymus0683</t>
        </is>
      </c>
      <c r="B684" s="97" t="inlineStr">
        <is>
          <t>P</t>
        </is>
      </c>
      <c r="C684" s="97" t="inlineStr">
        <is>
          <t>35-69 Bulan</t>
        </is>
      </c>
      <c r="D684" s="97" t="n">
        <v>12.2</v>
      </c>
      <c r="E684" s="97" t="n">
        <v>89.2</v>
      </c>
      <c r="F684" s="97" t="inlineStr">
        <is>
          <t>Normal</t>
        </is>
      </c>
      <c r="G684" s="97" t="inlineStr">
        <is>
          <t>Pendek</t>
        </is>
      </c>
      <c r="H684" s="106" t="inlineStr">
        <is>
          <t>Gizi Baik</t>
        </is>
      </c>
      <c r="I684" s="97" t="inlineStr">
        <is>
          <t>Ya</t>
        </is>
      </c>
      <c r="J684" s="97" t="inlineStr">
        <is>
          <t>Potensi Stunting</t>
        </is>
      </c>
      <c r="K684" s="107" t="n"/>
    </row>
    <row r="685" ht="15.75" customHeight="1" s="95">
      <c r="A685" s="97" t="inlineStr">
        <is>
          <t>anonymus0684</t>
        </is>
      </c>
      <c r="B685" s="97" t="inlineStr">
        <is>
          <t>L</t>
        </is>
      </c>
      <c r="C685" s="97" t="inlineStr">
        <is>
          <t>1-34 Bulan</t>
        </is>
      </c>
      <c r="D685" s="97" t="n">
        <v>13</v>
      </c>
      <c r="E685" s="97" t="n">
        <v>94</v>
      </c>
      <c r="F685" s="97" t="inlineStr">
        <is>
          <t>Normal</t>
        </is>
      </c>
      <c r="G685" s="97" t="inlineStr">
        <is>
          <t>Normal</t>
        </is>
      </c>
      <c r="H685" s="106" t="inlineStr">
        <is>
          <t>Gizi Baik</t>
        </is>
      </c>
      <c r="I685" s="97" t="inlineStr">
        <is>
          <t>Ya</t>
        </is>
      </c>
      <c r="J685" s="97" t="inlineStr">
        <is>
          <t>Tidak</t>
        </is>
      </c>
      <c r="K685" s="107" t="n"/>
    </row>
    <row r="686" ht="15.75" customHeight="1" s="95">
      <c r="A686" s="97" t="inlineStr">
        <is>
          <t>anonymus0685</t>
        </is>
      </c>
      <c r="B686" s="97" t="inlineStr">
        <is>
          <t>L</t>
        </is>
      </c>
      <c r="C686" s="97" t="inlineStr">
        <is>
          <t>35-69 Bulan</t>
        </is>
      </c>
      <c r="D686" s="97" t="inlineStr">
        <is>
          <t>15.7</t>
        </is>
      </c>
      <c r="E686" s="97" t="n">
        <v>102</v>
      </c>
      <c r="F686" s="97" t="inlineStr">
        <is>
          <t>Normal</t>
        </is>
      </c>
      <c r="G686" s="97" t="inlineStr">
        <is>
          <t>Normal</t>
        </is>
      </c>
      <c r="H686" s="106" t="inlineStr">
        <is>
          <t>Gizi Baik</t>
        </is>
      </c>
      <c r="I686" s="97" t="inlineStr">
        <is>
          <t>Ya</t>
        </is>
      </c>
      <c r="J686" s="97" t="inlineStr">
        <is>
          <t>Tidak</t>
        </is>
      </c>
      <c r="K686" s="107" t="n"/>
    </row>
    <row r="687" ht="15.75" customHeight="1" s="95">
      <c r="A687" s="97" t="inlineStr">
        <is>
          <t>anonymus0686</t>
        </is>
      </c>
      <c r="B687" s="97" t="inlineStr">
        <is>
          <t>P</t>
        </is>
      </c>
      <c r="C687" s="97" t="inlineStr">
        <is>
          <t>35-69 Bulan</t>
        </is>
      </c>
      <c r="D687" s="97" t="n">
        <v>7.9</v>
      </c>
      <c r="E687" s="97" t="n">
        <v>78</v>
      </c>
      <c r="F687" s="97" t="inlineStr">
        <is>
          <t>Sangat Kurang</t>
        </is>
      </c>
      <c r="G687" s="97" t="inlineStr">
        <is>
          <t>Pendek</t>
        </is>
      </c>
      <c r="H687" s="106" t="inlineStr">
        <is>
          <t>Gizi Kurang</t>
        </is>
      </c>
      <c r="I687" s="97" t="inlineStr">
        <is>
          <t>Ya</t>
        </is>
      </c>
      <c r="J687" s="97" t="inlineStr">
        <is>
          <t>Potensi Stunting</t>
        </is>
      </c>
      <c r="K687" s="107" t="n"/>
    </row>
    <row r="688" ht="15.75" customHeight="1" s="95">
      <c r="A688" s="97" t="inlineStr">
        <is>
          <t>anonymus0687</t>
        </is>
      </c>
      <c r="B688" s="97" t="inlineStr">
        <is>
          <t>L</t>
        </is>
      </c>
      <c r="C688" s="97" t="inlineStr">
        <is>
          <t>35-69 Bulan</t>
        </is>
      </c>
      <c r="D688" s="97" t="n">
        <v>14.5</v>
      </c>
      <c r="E688" s="97" t="n">
        <v>118</v>
      </c>
      <c r="F688" s="97" t="inlineStr">
        <is>
          <t>Normal</t>
        </is>
      </c>
      <c r="G688" s="97" t="inlineStr">
        <is>
          <t>Normal</t>
        </is>
      </c>
      <c r="H688" s="106" t="inlineStr">
        <is>
          <t>Gizi Baik</t>
        </is>
      </c>
      <c r="I688" s="97" t="inlineStr">
        <is>
          <t>Ya</t>
        </is>
      </c>
      <c r="J688" s="97" t="inlineStr">
        <is>
          <t>Tidak</t>
        </is>
      </c>
      <c r="K688" s="107" t="n"/>
    </row>
    <row r="689" ht="15.75" customHeight="1" s="95">
      <c r="A689" s="97" t="inlineStr">
        <is>
          <t>anonymus0688</t>
        </is>
      </c>
      <c r="B689" s="97" t="inlineStr">
        <is>
          <t>L</t>
        </is>
      </c>
      <c r="C689" s="97" t="inlineStr">
        <is>
          <t>1-34 Bulan</t>
        </is>
      </c>
      <c r="D689" s="97" t="n">
        <v>7.4</v>
      </c>
      <c r="E689" s="97" t="n">
        <v>80</v>
      </c>
      <c r="F689" s="97" t="inlineStr">
        <is>
          <t>Kurang</t>
        </is>
      </c>
      <c r="G689" s="97" t="inlineStr">
        <is>
          <t>Normal</t>
        </is>
      </c>
      <c r="H689" s="106" t="inlineStr">
        <is>
          <t>Gizi Kurang</t>
        </is>
      </c>
      <c r="I689" s="97" t="inlineStr">
        <is>
          <t>Ya</t>
        </is>
      </c>
      <c r="J689" s="97" t="inlineStr">
        <is>
          <t>Tidak</t>
        </is>
      </c>
      <c r="K689" s="107" t="n"/>
    </row>
    <row r="690" ht="15.75" customHeight="1" s="95">
      <c r="A690" s="97" t="inlineStr">
        <is>
          <t>anonymus0689</t>
        </is>
      </c>
      <c r="B690" s="97" t="inlineStr">
        <is>
          <t>L</t>
        </is>
      </c>
      <c r="C690" s="97" t="inlineStr">
        <is>
          <t>1-34 Bulan</t>
        </is>
      </c>
      <c r="D690" s="97" t="n">
        <v>7.4</v>
      </c>
      <c r="E690" s="97" t="n">
        <v>72</v>
      </c>
      <c r="F690" s="97" t="inlineStr">
        <is>
          <t>Kurang</t>
        </is>
      </c>
      <c r="G690" s="97" t="inlineStr">
        <is>
          <t>Pendek</t>
        </is>
      </c>
      <c r="H690" s="106" t="inlineStr">
        <is>
          <t>Gizi Kurang</t>
        </is>
      </c>
      <c r="I690" s="97" t="inlineStr">
        <is>
          <t>Ya</t>
        </is>
      </c>
      <c r="J690" s="97" t="inlineStr">
        <is>
          <t>Potensi Stunting</t>
        </is>
      </c>
      <c r="K690" s="107" t="n"/>
    </row>
    <row r="691" ht="15.75" customHeight="1" s="95">
      <c r="A691" s="97" t="inlineStr">
        <is>
          <t>anonymus0690</t>
        </is>
      </c>
      <c r="B691" s="97" t="inlineStr">
        <is>
          <t>P</t>
        </is>
      </c>
      <c r="C691" s="97" t="inlineStr">
        <is>
          <t>1-34 Bulan</t>
        </is>
      </c>
      <c r="D691" s="97" t="inlineStr">
        <is>
          <t>9.8</t>
        </is>
      </c>
      <c r="E691" s="97" t="n">
        <v>77</v>
      </c>
      <c r="F691" s="97" t="inlineStr">
        <is>
          <t>Normal</t>
        </is>
      </c>
      <c r="G691" s="97" t="inlineStr">
        <is>
          <t>Normal</t>
        </is>
      </c>
      <c r="H691" s="106" t="inlineStr">
        <is>
          <t>Gizi Baik</t>
        </is>
      </c>
      <c r="I691" s="97" t="inlineStr">
        <is>
          <t>Ya</t>
        </is>
      </c>
      <c r="J691" s="97" t="inlineStr">
        <is>
          <t>Tidak</t>
        </is>
      </c>
      <c r="K691" s="107" t="n"/>
    </row>
    <row r="692" ht="15.75" customHeight="1" s="95">
      <c r="A692" s="97" t="inlineStr">
        <is>
          <t>anonymus0691</t>
        </is>
      </c>
      <c r="B692" s="97" t="inlineStr">
        <is>
          <t>P</t>
        </is>
      </c>
      <c r="C692" s="97" t="inlineStr">
        <is>
          <t>35-69 Bulan</t>
        </is>
      </c>
      <c r="D692" s="97" t="n">
        <v>12</v>
      </c>
      <c r="E692" s="97" t="n">
        <v>97</v>
      </c>
      <c r="F692" s="97" t="inlineStr">
        <is>
          <t>Normal</t>
        </is>
      </c>
      <c r="G692" s="97" t="inlineStr">
        <is>
          <t>Normal</t>
        </is>
      </c>
      <c r="H692" s="106" t="inlineStr">
        <is>
          <t>Gizi Kurang</t>
        </is>
      </c>
      <c r="I692" s="97" t="inlineStr">
        <is>
          <t>Ya</t>
        </is>
      </c>
      <c r="J692" s="97" t="inlineStr">
        <is>
          <t>Tidak</t>
        </is>
      </c>
      <c r="K692" s="107" t="n"/>
    </row>
    <row r="693" ht="15.75" customHeight="1" s="95">
      <c r="A693" s="97" t="inlineStr">
        <is>
          <t>anonymus0692</t>
        </is>
      </c>
      <c r="B693" s="97" t="inlineStr">
        <is>
          <t>L</t>
        </is>
      </c>
      <c r="C693" s="97" t="inlineStr">
        <is>
          <t>35-69 Bulan</t>
        </is>
      </c>
      <c r="D693" s="97" t="n">
        <v>17</v>
      </c>
      <c r="E693" s="97" t="n">
        <v>99</v>
      </c>
      <c r="F693" s="97" t="inlineStr">
        <is>
          <t>Normal</t>
        </is>
      </c>
      <c r="G693" s="97" t="inlineStr">
        <is>
          <t>Normal</t>
        </is>
      </c>
      <c r="H693" s="106" t="inlineStr">
        <is>
          <t>Gizi Baik</t>
        </is>
      </c>
      <c r="I693" s="97" t="inlineStr">
        <is>
          <t>Ya</t>
        </is>
      </c>
      <c r="J693" s="97" t="inlineStr">
        <is>
          <t>Tidak</t>
        </is>
      </c>
      <c r="K693" s="107" t="n"/>
    </row>
    <row r="694" ht="15.75" customHeight="1" s="95">
      <c r="A694" s="97" t="inlineStr">
        <is>
          <t>anonymus0693</t>
        </is>
      </c>
      <c r="B694" s="97" t="inlineStr">
        <is>
          <t>L</t>
        </is>
      </c>
      <c r="C694" s="97" t="inlineStr">
        <is>
          <t>35-69 Bulan</t>
        </is>
      </c>
      <c r="D694" s="97" t="n">
        <v>11.7</v>
      </c>
      <c r="E694" s="97" t="n">
        <v>93</v>
      </c>
      <c r="F694" s="97" t="inlineStr">
        <is>
          <t>Kurang</t>
        </is>
      </c>
      <c r="G694" s="97" t="inlineStr">
        <is>
          <t>Pendek</t>
        </is>
      </c>
      <c r="H694" s="106" t="inlineStr">
        <is>
          <t>Gizi Baik</t>
        </is>
      </c>
      <c r="I694" s="97" t="inlineStr">
        <is>
          <t>Ya</t>
        </is>
      </c>
      <c r="J694" s="97" t="inlineStr">
        <is>
          <t>Potensi Stunting</t>
        </is>
      </c>
      <c r="K694" s="107" t="n"/>
    </row>
    <row r="695" ht="15.75" customHeight="1" s="95">
      <c r="A695" s="97" t="inlineStr">
        <is>
          <t>anonymus0694</t>
        </is>
      </c>
      <c r="B695" s="97" t="inlineStr">
        <is>
          <t>L</t>
        </is>
      </c>
      <c r="C695" s="97" t="inlineStr">
        <is>
          <t>1-34 Bulan</t>
        </is>
      </c>
      <c r="D695" s="97" t="n">
        <v>7</v>
      </c>
      <c r="E695" s="97" t="n">
        <v>83</v>
      </c>
      <c r="F695" s="97" t="inlineStr">
        <is>
          <t>Kurang</t>
        </is>
      </c>
      <c r="G695" s="97" t="inlineStr">
        <is>
          <t>Normal</t>
        </is>
      </c>
      <c r="H695" s="106" t="inlineStr">
        <is>
          <t>Gizi Kurang</t>
        </is>
      </c>
      <c r="I695" s="97" t="inlineStr">
        <is>
          <t>Ya</t>
        </is>
      </c>
      <c r="J695" s="97" t="inlineStr">
        <is>
          <t>Tidak</t>
        </is>
      </c>
      <c r="K695" s="107" t="n"/>
    </row>
    <row r="696" ht="15.75" customHeight="1" s="95">
      <c r="A696" s="97" t="inlineStr">
        <is>
          <t>anonymus0695</t>
        </is>
      </c>
      <c r="B696" s="97" t="inlineStr">
        <is>
          <t>L</t>
        </is>
      </c>
      <c r="C696" s="97" t="inlineStr">
        <is>
          <t>1-34 Bulan</t>
        </is>
      </c>
      <c r="D696" s="97" t="inlineStr">
        <is>
          <t>9.4</t>
        </is>
      </c>
      <c r="E696" s="97" t="n">
        <v>72</v>
      </c>
      <c r="F696" s="97" t="inlineStr">
        <is>
          <t>Normal</t>
        </is>
      </c>
      <c r="G696" s="97" t="inlineStr">
        <is>
          <t>Normal</t>
        </is>
      </c>
      <c r="H696" s="106" t="inlineStr">
        <is>
          <t>Gizi Baik</t>
        </is>
      </c>
      <c r="I696" s="97" t="inlineStr">
        <is>
          <t>Ya</t>
        </is>
      </c>
      <c r="J696" s="97" t="inlineStr">
        <is>
          <t>Tidak</t>
        </is>
      </c>
      <c r="K696" s="107" t="n"/>
    </row>
    <row r="697" ht="15.75" customHeight="1" s="95">
      <c r="A697" s="97" t="inlineStr">
        <is>
          <t>anonymus0696</t>
        </is>
      </c>
      <c r="B697" s="97" t="inlineStr">
        <is>
          <t>P</t>
        </is>
      </c>
      <c r="C697" s="97" t="inlineStr">
        <is>
          <t>35-69 Bulan</t>
        </is>
      </c>
      <c r="D697" s="97" t="n">
        <v>10.2</v>
      </c>
      <c r="E697" s="97" t="n">
        <v>91</v>
      </c>
      <c r="F697" s="97" t="inlineStr">
        <is>
          <t>Normal</t>
        </is>
      </c>
      <c r="G697" s="97" t="inlineStr">
        <is>
          <t>Normal</t>
        </is>
      </c>
      <c r="H697" s="106" t="inlineStr">
        <is>
          <t>Gizi Baik</t>
        </is>
      </c>
      <c r="I697" s="97" t="inlineStr">
        <is>
          <t>Ya</t>
        </is>
      </c>
      <c r="J697" s="97" t="inlineStr">
        <is>
          <t>Tidak</t>
        </is>
      </c>
      <c r="K697" s="107" t="n"/>
    </row>
    <row r="698" ht="15.75" customHeight="1" s="95">
      <c r="A698" s="97" t="inlineStr">
        <is>
          <t>anonymus0697</t>
        </is>
      </c>
      <c r="B698" s="97" t="inlineStr">
        <is>
          <t>L</t>
        </is>
      </c>
      <c r="C698" s="97" t="inlineStr">
        <is>
          <t>1-34 Bulan</t>
        </is>
      </c>
      <c r="D698" s="97" t="n">
        <v>14</v>
      </c>
      <c r="E698" s="97" t="n">
        <v>75</v>
      </c>
      <c r="F698" s="97" t="inlineStr">
        <is>
          <t>Normal</t>
        </is>
      </c>
      <c r="G698" s="97" t="inlineStr">
        <is>
          <t>Normal</t>
        </is>
      </c>
      <c r="H698" s="106" t="inlineStr">
        <is>
          <t>Gizi Baik</t>
        </is>
      </c>
      <c r="I698" s="97" t="inlineStr">
        <is>
          <t>Ya</t>
        </is>
      </c>
      <c r="J698" s="97" t="inlineStr">
        <is>
          <t>Tidak</t>
        </is>
      </c>
      <c r="K698" s="107" t="n"/>
    </row>
    <row r="699" ht="15.75" customHeight="1" s="95">
      <c r="A699" s="97" t="inlineStr">
        <is>
          <t>anonymus0698</t>
        </is>
      </c>
      <c r="B699" s="97" t="inlineStr">
        <is>
          <t>P</t>
        </is>
      </c>
      <c r="C699" s="97" t="inlineStr">
        <is>
          <t>35-69 Bulan</t>
        </is>
      </c>
      <c r="D699" s="97" t="n">
        <v>11</v>
      </c>
      <c r="E699" s="97" t="n">
        <v>93</v>
      </c>
      <c r="F699" s="97" t="inlineStr">
        <is>
          <t>Sangat Kurang</t>
        </is>
      </c>
      <c r="G699" s="97" t="inlineStr">
        <is>
          <t>Pendek</t>
        </is>
      </c>
      <c r="H699" s="106" t="inlineStr">
        <is>
          <t>Gizi Kurang</t>
        </is>
      </c>
      <c r="I699" s="97" t="inlineStr">
        <is>
          <t>Ya</t>
        </is>
      </c>
      <c r="J699" s="97" t="inlineStr">
        <is>
          <t>Potensi Stunting</t>
        </is>
      </c>
      <c r="K699" s="107" t="n"/>
    </row>
    <row r="700" ht="15.75" customHeight="1" s="95">
      <c r="A700" s="97" t="inlineStr">
        <is>
          <t>anonymus0699</t>
        </is>
      </c>
      <c r="B700" s="97" t="inlineStr">
        <is>
          <t>P</t>
        </is>
      </c>
      <c r="C700" s="97" t="inlineStr">
        <is>
          <t>35-69 Bulan</t>
        </is>
      </c>
      <c r="D700" s="97" t="inlineStr">
        <is>
          <t>17.1</t>
        </is>
      </c>
      <c r="E700" s="97" t="n">
        <v>104</v>
      </c>
      <c r="F700" s="97" t="inlineStr">
        <is>
          <t>Normal</t>
        </is>
      </c>
      <c r="G700" s="97" t="inlineStr">
        <is>
          <t>Normal</t>
        </is>
      </c>
      <c r="H700" s="106" t="inlineStr">
        <is>
          <t>Gizi Baik</t>
        </is>
      </c>
      <c r="I700" s="97" t="inlineStr">
        <is>
          <t>Ya</t>
        </is>
      </c>
      <c r="J700" s="97" t="inlineStr">
        <is>
          <t>Tidak</t>
        </is>
      </c>
      <c r="K700" s="107" t="n"/>
    </row>
    <row r="701" ht="15.75" customHeight="1" s="95">
      <c r="A701" s="97" t="inlineStr">
        <is>
          <t>anonymus0700</t>
        </is>
      </c>
      <c r="B701" s="97" t="inlineStr">
        <is>
          <t>P</t>
        </is>
      </c>
      <c r="C701" s="97" t="inlineStr">
        <is>
          <t>1-34 Bulan</t>
        </is>
      </c>
      <c r="D701" s="97" t="n">
        <v>11.6</v>
      </c>
      <c r="E701" s="97" t="n">
        <v>94</v>
      </c>
      <c r="F701" s="97" t="inlineStr">
        <is>
          <t>Normal</t>
        </is>
      </c>
      <c r="G701" s="97" t="inlineStr">
        <is>
          <t>Normal</t>
        </is>
      </c>
      <c r="H701" s="106" t="inlineStr">
        <is>
          <t>Gizi Baik</t>
        </is>
      </c>
      <c r="I701" s="97" t="inlineStr">
        <is>
          <t>Ya</t>
        </is>
      </c>
      <c r="J701" s="97" t="inlineStr">
        <is>
          <t>Tidak</t>
        </is>
      </c>
      <c r="K701" s="107" t="n"/>
    </row>
    <row r="702" ht="15.75" customHeight="1" s="95">
      <c r="A702" s="97" t="inlineStr">
        <is>
          <t>anonymus0701</t>
        </is>
      </c>
      <c r="B702" s="97" t="inlineStr">
        <is>
          <t>P</t>
        </is>
      </c>
      <c r="C702" s="97" t="inlineStr">
        <is>
          <t>1-34 Bulan</t>
        </is>
      </c>
      <c r="D702" s="97" t="n">
        <v>5.9</v>
      </c>
      <c r="E702" s="97" t="n">
        <v>67</v>
      </c>
      <c r="F702" s="97" t="inlineStr">
        <is>
          <t>Normal</t>
        </is>
      </c>
      <c r="G702" s="97" t="inlineStr">
        <is>
          <t>Normal</t>
        </is>
      </c>
      <c r="H702" s="106" t="inlineStr">
        <is>
          <t>Gizi Kurang</t>
        </is>
      </c>
      <c r="I702" s="97" t="inlineStr">
        <is>
          <t>Ya</t>
        </is>
      </c>
      <c r="J702" s="97" t="inlineStr">
        <is>
          <t>Tidak</t>
        </is>
      </c>
      <c r="K702" s="107" t="n"/>
    </row>
    <row r="703" ht="15.75" customHeight="1" s="95">
      <c r="A703" s="97" t="inlineStr">
        <is>
          <t>anonymus0702</t>
        </is>
      </c>
      <c r="B703" s="97" t="inlineStr">
        <is>
          <t>L</t>
        </is>
      </c>
      <c r="C703" s="97" t="inlineStr">
        <is>
          <t>35-69 Bulan</t>
        </is>
      </c>
      <c r="D703" s="97" t="n">
        <v>15.2</v>
      </c>
      <c r="E703" s="97" t="n">
        <v>98</v>
      </c>
      <c r="F703" s="97" t="inlineStr">
        <is>
          <t>Normal</t>
        </is>
      </c>
      <c r="G703" s="97" t="inlineStr">
        <is>
          <t>Normal</t>
        </is>
      </c>
      <c r="H703" s="106" t="inlineStr">
        <is>
          <t>Gizi Baik</t>
        </is>
      </c>
      <c r="I703" s="97" t="inlineStr">
        <is>
          <t>Ya</t>
        </is>
      </c>
      <c r="J703" s="97" t="inlineStr">
        <is>
          <t>Tidak</t>
        </is>
      </c>
      <c r="K703" s="107" t="n"/>
    </row>
    <row r="704" ht="15.75" customHeight="1" s="95">
      <c r="A704" s="97" t="inlineStr">
        <is>
          <t>anonymus0703</t>
        </is>
      </c>
      <c r="B704" s="97" t="inlineStr">
        <is>
          <t>P</t>
        </is>
      </c>
      <c r="C704" s="97" t="inlineStr">
        <is>
          <t>1-34 Bulan</t>
        </is>
      </c>
      <c r="D704" s="97" t="n">
        <v>7.7</v>
      </c>
      <c r="E704" s="97" t="n">
        <v>91</v>
      </c>
      <c r="F704" s="97" t="inlineStr">
        <is>
          <t>Kurang</t>
        </is>
      </c>
      <c r="G704" s="97" t="inlineStr">
        <is>
          <t>Normal</t>
        </is>
      </c>
      <c r="H704" s="106" t="inlineStr">
        <is>
          <t>Gizi Kurang</t>
        </is>
      </c>
      <c r="I704" s="97" t="inlineStr">
        <is>
          <t>Ya</t>
        </is>
      </c>
      <c r="J704" s="97" t="inlineStr">
        <is>
          <t>Tidak</t>
        </is>
      </c>
      <c r="K704" s="107" t="n"/>
    </row>
    <row r="705" ht="15.75" customHeight="1" s="95">
      <c r="A705" s="97" t="inlineStr">
        <is>
          <t>anonymus0704</t>
        </is>
      </c>
      <c r="B705" s="97" t="inlineStr">
        <is>
          <t>L</t>
        </is>
      </c>
      <c r="C705" s="97" t="inlineStr">
        <is>
          <t>1-34 Bulan</t>
        </is>
      </c>
      <c r="D705" s="97" t="n">
        <v>6</v>
      </c>
      <c r="E705" s="97" t="n">
        <v>60</v>
      </c>
      <c r="F705" s="97" t="inlineStr">
        <is>
          <t>Risiko Lebih</t>
        </is>
      </c>
      <c r="G705" s="97" t="inlineStr">
        <is>
          <t>Normal</t>
        </is>
      </c>
      <c r="H705" s="106" t="inlineStr">
        <is>
          <t>Gizi Baik</t>
        </is>
      </c>
      <c r="I705" s="97" t="inlineStr">
        <is>
          <t>Ya</t>
        </is>
      </c>
      <c r="J705" s="97" t="inlineStr">
        <is>
          <t>Tidak</t>
        </is>
      </c>
      <c r="K705" s="107" t="n"/>
    </row>
    <row r="706" ht="15.75" customHeight="1" s="95">
      <c r="A706" s="97" t="inlineStr">
        <is>
          <t>anonymus0705</t>
        </is>
      </c>
      <c r="B706" s="97" t="inlineStr">
        <is>
          <t>L</t>
        </is>
      </c>
      <c r="C706" s="97" t="inlineStr">
        <is>
          <t>35-69 Bulan</t>
        </is>
      </c>
      <c r="D706" s="97" t="n">
        <v>13.5</v>
      </c>
      <c r="E706" s="97" t="n">
        <v>96</v>
      </c>
      <c r="F706" s="97" t="inlineStr">
        <is>
          <t>Kurang</t>
        </is>
      </c>
      <c r="G706" s="97" t="inlineStr">
        <is>
          <t>Pendek</t>
        </is>
      </c>
      <c r="H706" s="106" t="inlineStr">
        <is>
          <t>Gizi Baik</t>
        </is>
      </c>
      <c r="I706" s="97" t="inlineStr">
        <is>
          <t>Ya</t>
        </is>
      </c>
      <c r="J706" s="97" t="inlineStr">
        <is>
          <t>Potensi Stunting</t>
        </is>
      </c>
      <c r="K706" s="107" t="n"/>
    </row>
    <row r="707" ht="15.75" customHeight="1" s="95">
      <c r="A707" s="97" t="inlineStr">
        <is>
          <t>anonymus0706</t>
        </is>
      </c>
      <c r="B707" s="97" t="inlineStr">
        <is>
          <t>P</t>
        </is>
      </c>
      <c r="C707" s="97" t="inlineStr">
        <is>
          <t>1-34 Bulan</t>
        </is>
      </c>
      <c r="D707" s="97" t="n">
        <v>12.3</v>
      </c>
      <c r="E707" s="97" t="n">
        <v>86</v>
      </c>
      <c r="F707" s="97" t="inlineStr">
        <is>
          <t>Normal</t>
        </is>
      </c>
      <c r="G707" s="97" t="inlineStr">
        <is>
          <t>Normal</t>
        </is>
      </c>
      <c r="H707" s="106" t="inlineStr">
        <is>
          <t>Gizi Baik</t>
        </is>
      </c>
      <c r="I707" s="97" t="inlineStr">
        <is>
          <t>Ya</t>
        </is>
      </c>
      <c r="J707" s="97" t="inlineStr">
        <is>
          <t>Tidak</t>
        </is>
      </c>
      <c r="K707" s="107" t="n"/>
    </row>
    <row r="708" ht="15.75" customHeight="1" s="95">
      <c r="A708" s="97" t="inlineStr">
        <is>
          <t>anonymus0707</t>
        </is>
      </c>
      <c r="B708" s="97" t="inlineStr">
        <is>
          <t>L</t>
        </is>
      </c>
      <c r="C708" s="97" t="inlineStr">
        <is>
          <t>1-34 Bulan</t>
        </is>
      </c>
      <c r="D708" s="97" t="n">
        <v>14.7</v>
      </c>
      <c r="E708" s="97" t="n">
        <v>88</v>
      </c>
      <c r="F708" s="97" t="inlineStr">
        <is>
          <t>Normal</t>
        </is>
      </c>
      <c r="G708" s="97" t="inlineStr">
        <is>
          <t>Normal</t>
        </is>
      </c>
      <c r="H708" s="106" t="inlineStr">
        <is>
          <t>Gizi Baik</t>
        </is>
      </c>
      <c r="I708" s="97" t="inlineStr">
        <is>
          <t>Ya</t>
        </is>
      </c>
      <c r="J708" s="97" t="inlineStr">
        <is>
          <t>Tidak</t>
        </is>
      </c>
      <c r="K708" s="107" t="n"/>
    </row>
    <row r="709" ht="15.75" customHeight="1" s="95">
      <c r="A709" s="97" t="inlineStr">
        <is>
          <t>anonymus0708</t>
        </is>
      </c>
      <c r="B709" s="97" t="inlineStr">
        <is>
          <t>L</t>
        </is>
      </c>
      <c r="C709" s="97" t="inlineStr">
        <is>
          <t>1-34 Bulan</t>
        </is>
      </c>
      <c r="D709" s="97" t="inlineStr">
        <is>
          <t>7.6</t>
        </is>
      </c>
      <c r="E709" s="97" t="n">
        <v>71</v>
      </c>
      <c r="F709" s="97" t="inlineStr">
        <is>
          <t>Normal</t>
        </is>
      </c>
      <c r="G709" s="97" t="inlineStr">
        <is>
          <t>Normal</t>
        </is>
      </c>
      <c r="H709" s="106" t="inlineStr">
        <is>
          <t>Gizi Baik</t>
        </is>
      </c>
      <c r="I709" s="97" t="inlineStr">
        <is>
          <t>Ya</t>
        </is>
      </c>
      <c r="J709" s="97" t="inlineStr">
        <is>
          <t>Tidak</t>
        </is>
      </c>
      <c r="K709" s="107" t="n"/>
    </row>
    <row r="710" ht="15.75" customHeight="1" s="95">
      <c r="A710" s="97" t="inlineStr">
        <is>
          <t>anonymus0709</t>
        </is>
      </c>
      <c r="B710" s="97" t="inlineStr">
        <is>
          <t>L</t>
        </is>
      </c>
      <c r="C710" s="97" t="inlineStr">
        <is>
          <t>1-34 Bulan</t>
        </is>
      </c>
      <c r="D710" s="97" t="n">
        <v>10.3</v>
      </c>
      <c r="E710" s="97" t="n">
        <v>74</v>
      </c>
      <c r="F710" s="97" t="inlineStr">
        <is>
          <t>Normal</t>
        </is>
      </c>
      <c r="G710" s="97" t="inlineStr">
        <is>
          <t>Normal</t>
        </is>
      </c>
      <c r="H710" s="106" t="inlineStr">
        <is>
          <t>Gizi Baik</t>
        </is>
      </c>
      <c r="I710" s="97" t="inlineStr">
        <is>
          <t>Ya</t>
        </is>
      </c>
      <c r="J710" s="97" t="inlineStr">
        <is>
          <t>Tidak</t>
        </is>
      </c>
      <c r="K710" s="107" t="n"/>
    </row>
    <row r="711" ht="15.75" customHeight="1" s="95">
      <c r="A711" s="97" t="inlineStr">
        <is>
          <t>anonymus0710</t>
        </is>
      </c>
      <c r="B711" s="97" t="inlineStr">
        <is>
          <t>P</t>
        </is>
      </c>
      <c r="C711" s="97" t="inlineStr">
        <is>
          <t>35-69 Bulan</t>
        </is>
      </c>
      <c r="D711" s="97" t="n">
        <v>19.9</v>
      </c>
      <c r="E711" s="97" t="n">
        <v>99</v>
      </c>
      <c r="F711" s="97" t="inlineStr">
        <is>
          <t>Risiko Lebih</t>
        </is>
      </c>
      <c r="G711" s="97" t="inlineStr">
        <is>
          <t>Normal</t>
        </is>
      </c>
      <c r="H711" s="106" t="inlineStr">
        <is>
          <t>Gizi Lebih</t>
        </is>
      </c>
      <c r="I711" s="97" t="inlineStr">
        <is>
          <t>Ya</t>
        </is>
      </c>
      <c r="J711" s="97" t="inlineStr">
        <is>
          <t>Tidak</t>
        </is>
      </c>
      <c r="K711" s="107" t="n"/>
    </row>
    <row r="712" ht="15.75" customHeight="1" s="95">
      <c r="A712" s="97" t="inlineStr">
        <is>
          <t>anonymus0711</t>
        </is>
      </c>
      <c r="B712" s="97" t="inlineStr">
        <is>
          <t>P</t>
        </is>
      </c>
      <c r="C712" s="97" t="inlineStr">
        <is>
          <t>1-34 Bulan</t>
        </is>
      </c>
      <c r="D712" s="97" t="inlineStr">
        <is>
          <t>11.7</t>
        </is>
      </c>
      <c r="E712" s="97" t="n">
        <v>86</v>
      </c>
      <c r="F712" s="97" t="inlineStr">
        <is>
          <t>Normal</t>
        </is>
      </c>
      <c r="G712" s="97" t="inlineStr">
        <is>
          <t>Normal</t>
        </is>
      </c>
      <c r="H712" s="106" t="inlineStr">
        <is>
          <t>Gizi Baik</t>
        </is>
      </c>
      <c r="I712" s="97" t="inlineStr">
        <is>
          <t>Ya</t>
        </is>
      </c>
      <c r="J712" s="97" t="inlineStr">
        <is>
          <t>Tidak</t>
        </is>
      </c>
      <c r="K712" s="107" t="n"/>
    </row>
    <row r="713" ht="15.75" customHeight="1" s="95">
      <c r="A713" s="97" t="inlineStr">
        <is>
          <t>anonymus0712</t>
        </is>
      </c>
      <c r="B713" s="97" t="inlineStr">
        <is>
          <t>P</t>
        </is>
      </c>
      <c r="C713" s="97" t="inlineStr">
        <is>
          <t>1-34 Bulan</t>
        </is>
      </c>
      <c r="D713" s="97" t="n">
        <v>12.9</v>
      </c>
      <c r="E713" s="97" t="n">
        <v>90</v>
      </c>
      <c r="F713" s="97" t="inlineStr">
        <is>
          <t>Normal</t>
        </is>
      </c>
      <c r="G713" s="97" t="inlineStr">
        <is>
          <t>Normal</t>
        </is>
      </c>
      <c r="H713" s="106" t="inlineStr">
        <is>
          <t>Gizi Baik</t>
        </is>
      </c>
      <c r="I713" s="97" t="inlineStr">
        <is>
          <t>Ya</t>
        </is>
      </c>
      <c r="J713" s="97" t="inlineStr">
        <is>
          <t>Tidak</t>
        </is>
      </c>
      <c r="K713" s="107" t="n"/>
    </row>
    <row r="714" ht="15.75" customHeight="1" s="95">
      <c r="A714" s="97" t="inlineStr">
        <is>
          <t>anonymus0713</t>
        </is>
      </c>
      <c r="B714" s="97" t="inlineStr">
        <is>
          <t>L</t>
        </is>
      </c>
      <c r="C714" s="97" t="inlineStr">
        <is>
          <t>1-34 Bulan</t>
        </is>
      </c>
      <c r="D714" s="97" t="n">
        <v>3</v>
      </c>
      <c r="E714" s="97" t="n">
        <v>50</v>
      </c>
      <c r="F714" s="97" t="inlineStr">
        <is>
          <t>Kurang</t>
        </is>
      </c>
      <c r="G714" s="97" t="inlineStr">
        <is>
          <t>Pendek</t>
        </is>
      </c>
      <c r="H714" s="106" t="inlineStr">
        <is>
          <t>Gizi Baik</t>
        </is>
      </c>
      <c r="I714" s="97" t="inlineStr">
        <is>
          <t>Ya</t>
        </is>
      </c>
      <c r="J714" s="97" t="inlineStr">
        <is>
          <t>Potensi Stunting</t>
        </is>
      </c>
      <c r="K714" s="107" t="n"/>
    </row>
    <row r="715" ht="15.75" customHeight="1" s="95">
      <c r="A715" s="97" t="inlineStr">
        <is>
          <t>anonymus0714</t>
        </is>
      </c>
      <c r="B715" s="97" t="inlineStr">
        <is>
          <t>P</t>
        </is>
      </c>
      <c r="C715" s="97" t="inlineStr">
        <is>
          <t>35-69 Bulan</t>
        </is>
      </c>
      <c r="D715" s="97" t="n">
        <v>11</v>
      </c>
      <c r="E715" s="97" t="n">
        <v>85</v>
      </c>
      <c r="F715" s="97" t="inlineStr">
        <is>
          <t>Normal</t>
        </is>
      </c>
      <c r="G715" s="97" t="inlineStr">
        <is>
          <t>Pendek</t>
        </is>
      </c>
      <c r="H715" s="106" t="inlineStr">
        <is>
          <t>Gizi Baik</t>
        </is>
      </c>
      <c r="I715" s="97" t="inlineStr">
        <is>
          <t>Ya</t>
        </is>
      </c>
      <c r="J715" s="97" t="inlineStr">
        <is>
          <t>Potensi Stunting</t>
        </is>
      </c>
      <c r="K715" s="107" t="n"/>
    </row>
    <row r="716" ht="15.75" customHeight="1" s="95">
      <c r="A716" s="97" t="inlineStr">
        <is>
          <t>anonymus0715</t>
        </is>
      </c>
      <c r="B716" s="97" t="inlineStr">
        <is>
          <t>L</t>
        </is>
      </c>
      <c r="C716" s="97" t="inlineStr">
        <is>
          <t>1-34 Bulan</t>
        </is>
      </c>
      <c r="D716" s="97" t="n">
        <v>10</v>
      </c>
      <c r="E716" s="97" t="n">
        <v>76</v>
      </c>
      <c r="F716" s="97" t="inlineStr">
        <is>
          <t>Normal</t>
        </is>
      </c>
      <c r="G716" s="97" t="inlineStr">
        <is>
          <t>Pendek</t>
        </is>
      </c>
      <c r="H716" s="106" t="inlineStr">
        <is>
          <t>Gizi Baik</t>
        </is>
      </c>
      <c r="I716" s="97" t="inlineStr">
        <is>
          <t>Ya</t>
        </is>
      </c>
      <c r="J716" s="97" t="inlineStr">
        <is>
          <t>Potensi Stunting</t>
        </is>
      </c>
      <c r="K716" s="107" t="n"/>
    </row>
    <row r="717" ht="15.75" customHeight="1" s="95">
      <c r="A717" s="97" t="inlineStr">
        <is>
          <t>anonymus0716</t>
        </is>
      </c>
      <c r="B717" s="97" t="inlineStr">
        <is>
          <t>L</t>
        </is>
      </c>
      <c r="C717" s="97" t="inlineStr">
        <is>
          <t>35-69 Bulan</t>
        </is>
      </c>
      <c r="D717" s="97" t="n">
        <v>12</v>
      </c>
      <c r="E717" s="97" t="n">
        <v>95</v>
      </c>
      <c r="F717" s="97" t="inlineStr">
        <is>
          <t>Kurang</t>
        </is>
      </c>
      <c r="G717" s="97" t="inlineStr">
        <is>
          <t>Normal</t>
        </is>
      </c>
      <c r="H717" s="106" t="inlineStr">
        <is>
          <t>Gizi Kurang</t>
        </is>
      </c>
      <c r="I717" s="97" t="inlineStr">
        <is>
          <t>Ya</t>
        </is>
      </c>
      <c r="J717" s="97" t="inlineStr">
        <is>
          <t>Tidak</t>
        </is>
      </c>
      <c r="K717" s="107" t="n"/>
    </row>
    <row r="718" ht="15.75" customHeight="1" s="95">
      <c r="A718" s="97" t="inlineStr">
        <is>
          <t>anonymus0717</t>
        </is>
      </c>
      <c r="B718" s="97" t="inlineStr">
        <is>
          <t>L</t>
        </is>
      </c>
      <c r="C718" s="97" t="inlineStr">
        <is>
          <t>1-34 Bulan</t>
        </is>
      </c>
      <c r="D718" s="97" t="n">
        <v>10.7</v>
      </c>
      <c r="E718" s="97" t="n">
        <v>73</v>
      </c>
      <c r="F718" s="97" t="inlineStr">
        <is>
          <t>Normal</t>
        </is>
      </c>
      <c r="G718" s="97" t="inlineStr">
        <is>
          <t>Normal</t>
        </is>
      </c>
      <c r="H718" s="106" t="inlineStr">
        <is>
          <t>Gizi Baik</t>
        </is>
      </c>
      <c r="I718" s="97" t="inlineStr">
        <is>
          <t>Ya</t>
        </is>
      </c>
      <c r="J718" s="97" t="inlineStr">
        <is>
          <t>Tidak</t>
        </is>
      </c>
      <c r="K718" s="107" t="n"/>
    </row>
    <row r="719" ht="15.75" customHeight="1" s="95">
      <c r="A719" s="97" t="inlineStr">
        <is>
          <t>anonymus0718</t>
        </is>
      </c>
      <c r="B719" s="97" t="inlineStr">
        <is>
          <t>P</t>
        </is>
      </c>
      <c r="C719" s="97" t="inlineStr">
        <is>
          <t>35-69 Bulan</t>
        </is>
      </c>
      <c r="D719" s="97" t="n">
        <v>12.2</v>
      </c>
      <c r="E719" s="97" t="n">
        <v>99</v>
      </c>
      <c r="F719" s="97" t="inlineStr">
        <is>
          <t>Normal</t>
        </is>
      </c>
      <c r="G719" s="97" t="inlineStr">
        <is>
          <t>Normal</t>
        </is>
      </c>
      <c r="H719" s="106" t="inlineStr">
        <is>
          <t>Gizi Kurang</t>
        </is>
      </c>
      <c r="I719" s="97" t="inlineStr">
        <is>
          <t>Ya</t>
        </is>
      </c>
      <c r="J719" s="97" t="inlineStr">
        <is>
          <t>Tidak</t>
        </is>
      </c>
      <c r="K719" s="107" t="n"/>
    </row>
    <row r="720" ht="15.75" customHeight="1" s="95">
      <c r="A720" s="97" t="inlineStr">
        <is>
          <t>anonymus0719</t>
        </is>
      </c>
      <c r="B720" s="97" t="inlineStr">
        <is>
          <t>P</t>
        </is>
      </c>
      <c r="C720" s="97" t="inlineStr">
        <is>
          <t>35-69 Bulan</t>
        </is>
      </c>
      <c r="D720" s="97" t="n">
        <v>11.4</v>
      </c>
      <c r="E720" s="97" t="n">
        <v>106</v>
      </c>
      <c r="F720" s="97" t="inlineStr">
        <is>
          <t>Normal</t>
        </is>
      </c>
      <c r="G720" s="97" t="inlineStr">
        <is>
          <t>Normal</t>
        </is>
      </c>
      <c r="H720" s="106" t="inlineStr">
        <is>
          <t>Gizi Baik</t>
        </is>
      </c>
      <c r="I720" s="97" t="inlineStr">
        <is>
          <t>Ya</t>
        </is>
      </c>
      <c r="J720" s="97" t="inlineStr">
        <is>
          <t>Tidak</t>
        </is>
      </c>
      <c r="K720" s="107" t="n"/>
    </row>
    <row r="721" ht="15.75" customHeight="1" s="95">
      <c r="A721" s="97" t="inlineStr">
        <is>
          <t>anonymus0720</t>
        </is>
      </c>
      <c r="B721" s="97" t="inlineStr">
        <is>
          <t>L</t>
        </is>
      </c>
      <c r="C721" s="97" t="inlineStr">
        <is>
          <t>35-69 Bulan</t>
        </is>
      </c>
      <c r="D721" s="97" t="inlineStr">
        <is>
          <t>15.3</t>
        </is>
      </c>
      <c r="E721" s="97" t="n">
        <v>100</v>
      </c>
      <c r="F721" s="97" t="inlineStr">
        <is>
          <t>Normal</t>
        </is>
      </c>
      <c r="G721" s="97" t="inlineStr">
        <is>
          <t>Normal</t>
        </is>
      </c>
      <c r="H721" s="106" t="inlineStr">
        <is>
          <t>Gizi Baik</t>
        </is>
      </c>
      <c r="I721" s="97" t="inlineStr">
        <is>
          <t>Ya</t>
        </is>
      </c>
      <c r="J721" s="97" t="inlineStr">
        <is>
          <t>Tidak</t>
        </is>
      </c>
      <c r="K721" s="107" t="n"/>
    </row>
    <row r="722" ht="15.75" customHeight="1" s="95">
      <c r="A722" s="97" t="inlineStr">
        <is>
          <t>anonymus0721</t>
        </is>
      </c>
      <c r="B722" s="97" t="inlineStr">
        <is>
          <t>L</t>
        </is>
      </c>
      <c r="C722" s="97" t="inlineStr">
        <is>
          <t>35-69 Bulan</t>
        </is>
      </c>
      <c r="D722" s="97" t="inlineStr">
        <is>
          <t>13.7</t>
        </is>
      </c>
      <c r="E722" s="97" t="n">
        <v>97</v>
      </c>
      <c r="F722" s="97" t="inlineStr">
        <is>
          <t>Normal</t>
        </is>
      </c>
      <c r="G722" s="97" t="inlineStr">
        <is>
          <t>Normal</t>
        </is>
      </c>
      <c r="H722" s="106" t="inlineStr">
        <is>
          <t>Gizi Baik</t>
        </is>
      </c>
      <c r="I722" s="97" t="inlineStr">
        <is>
          <t>Ya</t>
        </is>
      </c>
      <c r="J722" s="97" t="inlineStr">
        <is>
          <t>Tidak</t>
        </is>
      </c>
      <c r="K722" s="107" t="n"/>
    </row>
    <row r="723" ht="15.75" customHeight="1" s="95">
      <c r="A723" s="97" t="inlineStr">
        <is>
          <t>anonymus0722</t>
        </is>
      </c>
      <c r="B723" s="97" t="inlineStr">
        <is>
          <t>L</t>
        </is>
      </c>
      <c r="C723" s="97" t="inlineStr">
        <is>
          <t>35-69 Bulan</t>
        </is>
      </c>
      <c r="D723" s="97" t="n">
        <v>19.7</v>
      </c>
      <c r="E723" s="97" t="n">
        <v>114</v>
      </c>
      <c r="F723" s="97" t="inlineStr">
        <is>
          <t>Risiko Lebih</t>
        </is>
      </c>
      <c r="G723" s="97" t="inlineStr">
        <is>
          <t>Normal</t>
        </is>
      </c>
      <c r="H723" s="106" t="inlineStr">
        <is>
          <t>Gizi Lebih</t>
        </is>
      </c>
      <c r="I723" s="97" t="inlineStr">
        <is>
          <t>Ya</t>
        </is>
      </c>
      <c r="J723" s="97" t="inlineStr">
        <is>
          <t>Tidak</t>
        </is>
      </c>
      <c r="K723" s="107" t="n"/>
    </row>
    <row r="724" ht="15.75" customHeight="1" s="95">
      <c r="A724" s="97" t="inlineStr">
        <is>
          <t>anonymus0723</t>
        </is>
      </c>
      <c r="B724" s="97" t="inlineStr">
        <is>
          <t>L</t>
        </is>
      </c>
      <c r="C724" s="97" t="inlineStr">
        <is>
          <t>1-34 Bulan</t>
        </is>
      </c>
      <c r="D724" s="97" t="n">
        <v>6.9</v>
      </c>
      <c r="E724" s="97" t="n">
        <v>76</v>
      </c>
      <c r="F724" s="97" t="inlineStr">
        <is>
          <t>Kurang</t>
        </is>
      </c>
      <c r="G724" s="97" t="inlineStr">
        <is>
          <t>Normal</t>
        </is>
      </c>
      <c r="H724" s="106" t="inlineStr">
        <is>
          <t>Gizi Kurang</t>
        </is>
      </c>
      <c r="I724" s="97" t="inlineStr">
        <is>
          <t>Ya</t>
        </is>
      </c>
      <c r="J724" s="97" t="inlineStr">
        <is>
          <t>Tidak</t>
        </is>
      </c>
      <c r="K724" s="107" t="n"/>
    </row>
    <row r="725" ht="15.75" customHeight="1" s="95">
      <c r="A725" s="97" t="inlineStr">
        <is>
          <t>anonymus0724</t>
        </is>
      </c>
      <c r="B725" s="97" t="inlineStr">
        <is>
          <t>P</t>
        </is>
      </c>
      <c r="C725" s="97" t="inlineStr">
        <is>
          <t>1-34 Bulan</t>
        </is>
      </c>
      <c r="D725" s="97" t="inlineStr">
        <is>
          <t>13.9</t>
        </is>
      </c>
      <c r="E725" s="97" t="n">
        <v>81</v>
      </c>
      <c r="F725" s="97" t="inlineStr">
        <is>
          <t>Risiko Lebih</t>
        </is>
      </c>
      <c r="G725" s="97" t="inlineStr">
        <is>
          <t>Normal</t>
        </is>
      </c>
      <c r="H725" s="106" t="inlineStr">
        <is>
          <t>Gizi Buruk</t>
        </is>
      </c>
      <c r="I725" s="97" t="inlineStr">
        <is>
          <t>Ya</t>
        </is>
      </c>
      <c r="J725" s="97" t="inlineStr">
        <is>
          <t>Tidak</t>
        </is>
      </c>
      <c r="K725" s="107" t="n"/>
    </row>
    <row r="726" ht="15.75" customHeight="1" s="95">
      <c r="A726" s="97" t="inlineStr">
        <is>
          <t>anonymus0725</t>
        </is>
      </c>
      <c r="B726" s="97" t="inlineStr">
        <is>
          <t>P</t>
        </is>
      </c>
      <c r="C726" s="97" t="inlineStr">
        <is>
          <t>1-34 Bulan</t>
        </is>
      </c>
      <c r="D726" s="97" t="n">
        <v>9.6</v>
      </c>
      <c r="E726" s="97" t="n">
        <v>87</v>
      </c>
      <c r="F726" s="97" t="inlineStr">
        <is>
          <t>Normal</t>
        </is>
      </c>
      <c r="G726" s="97" t="inlineStr">
        <is>
          <t>Normal</t>
        </is>
      </c>
      <c r="H726" s="106" t="inlineStr">
        <is>
          <t>Gizi Baik</t>
        </is>
      </c>
      <c r="I726" s="97" t="inlineStr">
        <is>
          <t>Ya</t>
        </is>
      </c>
      <c r="J726" s="97" t="inlineStr">
        <is>
          <t>Tidak</t>
        </is>
      </c>
      <c r="K726" s="107" t="n"/>
    </row>
    <row r="727" ht="15.75" customHeight="1" s="95">
      <c r="A727" s="97" t="inlineStr">
        <is>
          <t>anonymus0726</t>
        </is>
      </c>
      <c r="B727" s="97" t="inlineStr">
        <is>
          <t>L</t>
        </is>
      </c>
      <c r="C727" s="97" t="inlineStr">
        <is>
          <t>35-69 Bulan</t>
        </is>
      </c>
      <c r="D727" s="97" t="inlineStr">
        <is>
          <t>10.8</t>
        </is>
      </c>
      <c r="E727" s="97" t="n">
        <v>86</v>
      </c>
      <c r="F727" s="97" t="inlineStr">
        <is>
          <t>Normal</t>
        </is>
      </c>
      <c r="G727" s="97" t="inlineStr">
        <is>
          <t>Normal</t>
        </is>
      </c>
      <c r="H727" s="106" t="inlineStr">
        <is>
          <t>Gizi Baik</t>
        </is>
      </c>
      <c r="I727" s="97" t="inlineStr">
        <is>
          <t>Ya</t>
        </is>
      </c>
      <c r="J727" s="97" t="inlineStr">
        <is>
          <t>Tidak</t>
        </is>
      </c>
      <c r="K727" s="107" t="n"/>
    </row>
    <row r="728" ht="15.75" customHeight="1" s="95">
      <c r="A728" s="97" t="inlineStr">
        <is>
          <t>anonymus0727</t>
        </is>
      </c>
      <c r="B728" s="97" t="inlineStr">
        <is>
          <t>L</t>
        </is>
      </c>
      <c r="C728" s="97" t="inlineStr">
        <is>
          <t>1-34 Bulan</t>
        </is>
      </c>
      <c r="D728" s="97" t="n">
        <v>6.6</v>
      </c>
      <c r="E728" s="97" t="n">
        <v>65</v>
      </c>
      <c r="F728" s="97" t="inlineStr">
        <is>
          <t>Kurang</t>
        </is>
      </c>
      <c r="G728" s="97" t="inlineStr">
        <is>
          <t>Sangat Pendek</t>
        </is>
      </c>
      <c r="H728" s="106" t="inlineStr">
        <is>
          <t>Gizi Baik</t>
        </is>
      </c>
      <c r="I728" s="97" t="inlineStr">
        <is>
          <t>Ya</t>
        </is>
      </c>
      <c r="J728" s="97" t="inlineStr">
        <is>
          <t>Stunting</t>
        </is>
      </c>
      <c r="K728" s="107" t="n"/>
    </row>
    <row r="729" ht="15.75" customHeight="1" s="95">
      <c r="A729" s="97" t="inlineStr">
        <is>
          <t>anonymus0728</t>
        </is>
      </c>
      <c r="B729" s="97" t="inlineStr">
        <is>
          <t>L</t>
        </is>
      </c>
      <c r="C729" s="97" t="inlineStr">
        <is>
          <t>35-69 Bulan</t>
        </is>
      </c>
      <c r="D729" s="97" t="n">
        <v>12.4</v>
      </c>
      <c r="E729" s="97" t="n">
        <v>98</v>
      </c>
      <c r="F729" s="97" t="inlineStr">
        <is>
          <t>Normal</t>
        </is>
      </c>
      <c r="G729" s="97" t="inlineStr">
        <is>
          <t>Normal</t>
        </is>
      </c>
      <c r="H729" s="106" t="inlineStr">
        <is>
          <t>Gizi Kurang</t>
        </is>
      </c>
      <c r="I729" s="97" t="inlineStr">
        <is>
          <t>Ya</t>
        </is>
      </c>
      <c r="J729" s="97" t="inlineStr">
        <is>
          <t>Tidak</t>
        </is>
      </c>
      <c r="K729" s="107" t="n"/>
    </row>
    <row r="730" ht="15.75" customHeight="1" s="95">
      <c r="A730" s="97" t="inlineStr">
        <is>
          <t>anonymus0729</t>
        </is>
      </c>
      <c r="B730" s="97" t="inlineStr">
        <is>
          <t>P</t>
        </is>
      </c>
      <c r="C730" s="97" t="inlineStr">
        <is>
          <t>35-69 Bulan</t>
        </is>
      </c>
      <c r="D730" s="97" t="inlineStr">
        <is>
          <t>13.6</t>
        </is>
      </c>
      <c r="E730" s="97" t="n">
        <v>102</v>
      </c>
      <c r="F730" s="97" t="inlineStr">
        <is>
          <t>Normal</t>
        </is>
      </c>
      <c r="G730" s="97" t="inlineStr">
        <is>
          <t>Normal</t>
        </is>
      </c>
      <c r="H730" s="106" t="inlineStr">
        <is>
          <t>Gizi Baik</t>
        </is>
      </c>
      <c r="I730" s="97" t="inlineStr">
        <is>
          <t>Ya</t>
        </is>
      </c>
      <c r="J730" s="97" t="inlineStr">
        <is>
          <t>Tidak</t>
        </is>
      </c>
      <c r="K730" s="107" t="n"/>
    </row>
    <row r="731" ht="15.75" customHeight="1" s="95">
      <c r="A731" s="97" t="inlineStr">
        <is>
          <t>anonymus0730</t>
        </is>
      </c>
      <c r="B731" s="97" t="inlineStr">
        <is>
          <t>P</t>
        </is>
      </c>
      <c r="C731" s="97" t="inlineStr">
        <is>
          <t>1-34 Bulan</t>
        </is>
      </c>
      <c r="D731" s="97" t="inlineStr">
        <is>
          <t>8.1</t>
        </is>
      </c>
      <c r="E731" s="97" t="n">
        <v>69</v>
      </c>
      <c r="F731" s="97" t="inlineStr">
        <is>
          <t>Normal</t>
        </is>
      </c>
      <c r="G731" s="97" t="inlineStr">
        <is>
          <t>Normal</t>
        </is>
      </c>
      <c r="H731" s="106" t="inlineStr">
        <is>
          <t>Gizi Baik</t>
        </is>
      </c>
      <c r="I731" s="97" t="inlineStr">
        <is>
          <t>Ya</t>
        </is>
      </c>
      <c r="J731" s="97" t="inlineStr">
        <is>
          <t>Tidak</t>
        </is>
      </c>
      <c r="K731" s="107" t="n"/>
    </row>
    <row r="732" ht="15.75" customHeight="1" s="95">
      <c r="A732" s="97" t="inlineStr">
        <is>
          <t>anonymus0731</t>
        </is>
      </c>
      <c r="B732" s="97" t="inlineStr">
        <is>
          <t>L</t>
        </is>
      </c>
      <c r="C732" s="97" t="inlineStr">
        <is>
          <t>1-34 Bulan</t>
        </is>
      </c>
      <c r="D732" s="97" t="n">
        <v>10.5</v>
      </c>
      <c r="E732" s="97" t="n">
        <v>76</v>
      </c>
      <c r="F732" s="97" t="inlineStr">
        <is>
          <t>Normal</t>
        </is>
      </c>
      <c r="G732" s="97" t="inlineStr">
        <is>
          <t>Pendek</t>
        </is>
      </c>
      <c r="H732" s="106" t="inlineStr">
        <is>
          <t>Gizi Baik</t>
        </is>
      </c>
      <c r="I732" s="97" t="inlineStr">
        <is>
          <t>Ya</t>
        </is>
      </c>
      <c r="J732" s="97" t="inlineStr">
        <is>
          <t>Potensi Stunting</t>
        </is>
      </c>
      <c r="K732" s="107" t="n"/>
    </row>
    <row r="733" ht="15.75" customHeight="1" s="95">
      <c r="A733" s="97" t="inlineStr">
        <is>
          <t>anonymus0732</t>
        </is>
      </c>
      <c r="B733" s="97" t="inlineStr">
        <is>
          <t>P</t>
        </is>
      </c>
      <c r="C733" s="97" t="inlineStr">
        <is>
          <t>35-69 Bulan</t>
        </is>
      </c>
      <c r="D733" s="97" t="n">
        <v>17.7</v>
      </c>
      <c r="E733" s="97" t="n">
        <v>114</v>
      </c>
      <c r="F733" s="97" t="inlineStr">
        <is>
          <t>Risiko Lebih</t>
        </is>
      </c>
      <c r="G733" s="97" t="inlineStr">
        <is>
          <t>Normal</t>
        </is>
      </c>
      <c r="H733" s="106" t="inlineStr">
        <is>
          <t>Gizi Lebih</t>
        </is>
      </c>
      <c r="I733" s="97" t="inlineStr">
        <is>
          <t>Ya</t>
        </is>
      </c>
      <c r="J733" s="97" t="inlineStr">
        <is>
          <t>Tidak</t>
        </is>
      </c>
      <c r="K733" s="107" t="n"/>
    </row>
    <row r="734" ht="15.75" customHeight="1" s="95">
      <c r="A734" s="97" t="inlineStr">
        <is>
          <t>anonymus0733</t>
        </is>
      </c>
      <c r="B734" s="97" t="inlineStr">
        <is>
          <t>L</t>
        </is>
      </c>
      <c r="C734" s="97" t="inlineStr">
        <is>
          <t>35-69 Bulan</t>
        </is>
      </c>
      <c r="D734" s="97" t="n">
        <v>15</v>
      </c>
      <c r="E734" s="97" t="n">
        <v>99</v>
      </c>
      <c r="F734" s="97" t="inlineStr">
        <is>
          <t>Normal</t>
        </is>
      </c>
      <c r="G734" s="97" t="inlineStr">
        <is>
          <t>Normal</t>
        </is>
      </c>
      <c r="H734" s="106" t="inlineStr">
        <is>
          <t>Gizi Baik</t>
        </is>
      </c>
      <c r="I734" s="97" t="inlineStr">
        <is>
          <t>Ya</t>
        </is>
      </c>
      <c r="J734" s="97" t="inlineStr">
        <is>
          <t>Tidak</t>
        </is>
      </c>
      <c r="K734" s="107" t="n"/>
    </row>
    <row r="735" ht="15.75" customHeight="1" s="95">
      <c r="A735" s="97" t="inlineStr">
        <is>
          <t>anonymus0734</t>
        </is>
      </c>
      <c r="B735" s="97" t="inlineStr">
        <is>
          <t>P</t>
        </is>
      </c>
      <c r="C735" s="97" t="inlineStr">
        <is>
          <t>1-34 Bulan</t>
        </is>
      </c>
      <c r="D735" s="97" t="inlineStr">
        <is>
          <t>13.1</t>
        </is>
      </c>
      <c r="E735" s="97" t="n">
        <v>90</v>
      </c>
      <c r="F735" s="97" t="inlineStr">
        <is>
          <t>Normal</t>
        </is>
      </c>
      <c r="G735" s="97" t="inlineStr">
        <is>
          <t>Normal</t>
        </is>
      </c>
      <c r="H735" s="106" t="inlineStr">
        <is>
          <t>Gizi Baik</t>
        </is>
      </c>
      <c r="I735" s="97" t="inlineStr">
        <is>
          <t>Ya</t>
        </is>
      </c>
      <c r="J735" s="97" t="inlineStr">
        <is>
          <t>Tidak</t>
        </is>
      </c>
      <c r="K735" s="107" t="n"/>
    </row>
    <row r="736" ht="15.75" customHeight="1" s="95">
      <c r="A736" s="97" t="inlineStr">
        <is>
          <t>anonymus0735</t>
        </is>
      </c>
      <c r="B736" s="97" t="inlineStr">
        <is>
          <t>P</t>
        </is>
      </c>
      <c r="C736" s="97" t="inlineStr">
        <is>
          <t>35-69 Bulan</t>
        </is>
      </c>
      <c r="D736" s="97" t="n">
        <v>13</v>
      </c>
      <c r="E736" s="97" t="n">
        <v>104</v>
      </c>
      <c r="F736" s="97" t="inlineStr">
        <is>
          <t>Kurang</t>
        </is>
      </c>
      <c r="G736" s="97" t="inlineStr">
        <is>
          <t>Normal</t>
        </is>
      </c>
      <c r="H736" s="106" t="inlineStr">
        <is>
          <t>Gizi Kurang</t>
        </is>
      </c>
      <c r="I736" s="97" t="inlineStr">
        <is>
          <t>Ya</t>
        </is>
      </c>
      <c r="J736" s="97" t="inlineStr">
        <is>
          <t>Tidak</t>
        </is>
      </c>
      <c r="K736" s="107" t="n"/>
    </row>
    <row r="737" ht="15.75" customHeight="1" s="95">
      <c r="A737" s="97" t="inlineStr">
        <is>
          <t>anonymus0736</t>
        </is>
      </c>
      <c r="B737" s="97" t="inlineStr">
        <is>
          <t>P</t>
        </is>
      </c>
      <c r="C737" s="97" t="inlineStr">
        <is>
          <t>35-69 Bulan</t>
        </is>
      </c>
      <c r="D737" s="97" t="inlineStr">
        <is>
          <t>17.2</t>
        </is>
      </c>
      <c r="E737" s="97" t="n">
        <v>107</v>
      </c>
      <c r="F737" s="97" t="inlineStr">
        <is>
          <t>Normal</t>
        </is>
      </c>
      <c r="G737" s="97" t="inlineStr">
        <is>
          <t>Normal</t>
        </is>
      </c>
      <c r="H737" s="106" t="inlineStr">
        <is>
          <t>Gizi Baik</t>
        </is>
      </c>
      <c r="I737" s="97" t="inlineStr">
        <is>
          <t>Ya</t>
        </is>
      </c>
      <c r="J737" s="97" t="inlineStr">
        <is>
          <t>Tidak</t>
        </is>
      </c>
      <c r="K737" s="107" t="n"/>
    </row>
    <row r="738" ht="15.75" customHeight="1" s="95">
      <c r="A738" s="97" t="inlineStr">
        <is>
          <t>anonymus0737</t>
        </is>
      </c>
      <c r="B738" s="97" t="inlineStr">
        <is>
          <t>P</t>
        </is>
      </c>
      <c r="C738" s="97" t="inlineStr">
        <is>
          <t>35-69 Bulan</t>
        </is>
      </c>
      <c r="D738" s="97" t="n">
        <v>9.300000000000001</v>
      </c>
      <c r="E738" s="97" t="n">
        <v>89</v>
      </c>
      <c r="F738" s="97" t="inlineStr">
        <is>
          <t>Sangat Kurang</t>
        </is>
      </c>
      <c r="G738" s="97" t="inlineStr">
        <is>
          <t>Pendek</t>
        </is>
      </c>
      <c r="H738" s="106" t="inlineStr">
        <is>
          <t>Gizi Buruk</t>
        </is>
      </c>
      <c r="I738" s="97" t="inlineStr">
        <is>
          <t>Ya</t>
        </is>
      </c>
      <c r="J738" s="97" t="inlineStr">
        <is>
          <t>Potensi Stunting</t>
        </is>
      </c>
      <c r="K738" s="107" t="n"/>
    </row>
    <row r="739" ht="15.75" customHeight="1" s="95">
      <c r="A739" s="97" t="inlineStr">
        <is>
          <t>anonymus0738</t>
        </is>
      </c>
      <c r="B739" s="97" t="inlineStr">
        <is>
          <t>P</t>
        </is>
      </c>
      <c r="C739" s="97" t="inlineStr">
        <is>
          <t>35-69 Bulan</t>
        </is>
      </c>
      <c r="D739" s="97" t="n">
        <v>9</v>
      </c>
      <c r="E739" s="97" t="n">
        <v>80</v>
      </c>
      <c r="F739" s="97" t="inlineStr">
        <is>
          <t>Kurang</t>
        </is>
      </c>
      <c r="G739" s="97" t="inlineStr">
        <is>
          <t>Pendek</t>
        </is>
      </c>
      <c r="H739" s="106" t="inlineStr">
        <is>
          <t>Gizi Baik</t>
        </is>
      </c>
      <c r="I739" s="97" t="inlineStr">
        <is>
          <t>Ya</t>
        </is>
      </c>
      <c r="J739" s="97" t="inlineStr">
        <is>
          <t>Potensi Stunting</t>
        </is>
      </c>
      <c r="K739" s="107" t="n"/>
    </row>
    <row r="740" ht="15.75" customHeight="1" s="95">
      <c r="A740" s="97" t="inlineStr">
        <is>
          <t>anonymus0739</t>
        </is>
      </c>
      <c r="B740" s="97" t="inlineStr">
        <is>
          <t>P</t>
        </is>
      </c>
      <c r="C740" s="97" t="inlineStr">
        <is>
          <t>35-69 Bulan</t>
        </is>
      </c>
      <c r="D740" s="97" t="n">
        <v>12.6</v>
      </c>
      <c r="E740" s="97" t="n">
        <v>91</v>
      </c>
      <c r="F740" s="97" t="inlineStr">
        <is>
          <t>Normal</t>
        </is>
      </c>
      <c r="G740" s="97" t="inlineStr">
        <is>
          <t>Normal</t>
        </is>
      </c>
      <c r="H740" s="106" t="inlineStr">
        <is>
          <t>Gizi Baik</t>
        </is>
      </c>
      <c r="I740" s="97" t="inlineStr">
        <is>
          <t>Ya</t>
        </is>
      </c>
      <c r="J740" s="97" t="inlineStr">
        <is>
          <t>Tidak</t>
        </is>
      </c>
      <c r="K740" s="107" t="n"/>
    </row>
    <row r="741" ht="15.75" customHeight="1" s="95">
      <c r="A741" s="97" t="inlineStr">
        <is>
          <t>anonymus0740</t>
        </is>
      </c>
      <c r="B741" s="97" t="inlineStr">
        <is>
          <t>L</t>
        </is>
      </c>
      <c r="C741" s="97" t="inlineStr">
        <is>
          <t>35-69 Bulan</t>
        </is>
      </c>
      <c r="D741" s="97" t="n">
        <v>11.4</v>
      </c>
      <c r="E741" s="97" t="n">
        <v>95</v>
      </c>
      <c r="F741" s="97" t="inlineStr">
        <is>
          <t>Normal</t>
        </is>
      </c>
      <c r="G741" s="97" t="inlineStr">
        <is>
          <t>Normal</t>
        </is>
      </c>
      <c r="H741" s="106" t="inlineStr">
        <is>
          <t>Gizi Baik</t>
        </is>
      </c>
      <c r="I741" s="97" t="inlineStr">
        <is>
          <t>Ya</t>
        </is>
      </c>
      <c r="J741" s="97" t="inlineStr">
        <is>
          <t>Tidak</t>
        </is>
      </c>
      <c r="K741" s="107" t="n"/>
    </row>
    <row r="742" ht="15.75" customHeight="1" s="95">
      <c r="A742" s="97" t="inlineStr">
        <is>
          <t>anonymus0741</t>
        </is>
      </c>
      <c r="B742" s="97" t="inlineStr">
        <is>
          <t>P</t>
        </is>
      </c>
      <c r="C742" s="97" t="inlineStr">
        <is>
          <t>35-69 Bulan</t>
        </is>
      </c>
      <c r="D742" s="97" t="n">
        <v>9.1</v>
      </c>
      <c r="E742" s="97" t="n">
        <v>80</v>
      </c>
      <c r="F742" s="97" t="inlineStr">
        <is>
          <t>Kurang</t>
        </is>
      </c>
      <c r="G742" s="97" t="inlineStr">
        <is>
          <t>Pendek</t>
        </is>
      </c>
      <c r="H742" s="106" t="inlineStr">
        <is>
          <t>Gizi Baik</t>
        </is>
      </c>
      <c r="I742" s="97" t="inlineStr">
        <is>
          <t>Ya</t>
        </is>
      </c>
      <c r="J742" s="97" t="inlineStr">
        <is>
          <t>Potensi Stunting</t>
        </is>
      </c>
      <c r="K742" s="107" t="n"/>
    </row>
    <row r="743" ht="15.75" customHeight="1" s="95">
      <c r="A743" s="97" t="inlineStr">
        <is>
          <t>anonymus0742</t>
        </is>
      </c>
      <c r="B743" s="97" t="inlineStr">
        <is>
          <t>L</t>
        </is>
      </c>
      <c r="C743" s="97" t="inlineStr">
        <is>
          <t>35-69 Bulan</t>
        </is>
      </c>
      <c r="D743" s="97" t="inlineStr">
        <is>
          <t>21.2</t>
        </is>
      </c>
      <c r="E743" s="97" t="n">
        <v>103</v>
      </c>
      <c r="F743" s="97" t="inlineStr">
        <is>
          <t>Risiko Lebih</t>
        </is>
      </c>
      <c r="G743" s="97" t="inlineStr">
        <is>
          <t>Normal</t>
        </is>
      </c>
      <c r="H743" s="106" t="inlineStr">
        <is>
          <t>Gizi Buruk</t>
        </is>
      </c>
      <c r="I743" s="97" t="inlineStr">
        <is>
          <t>Ya</t>
        </is>
      </c>
      <c r="J743" s="97" t="inlineStr">
        <is>
          <t>Tidak</t>
        </is>
      </c>
      <c r="K743" s="107" t="n"/>
    </row>
    <row r="744" ht="15.75" customHeight="1" s="95">
      <c r="A744" s="97" t="inlineStr">
        <is>
          <t>anonymus0743</t>
        </is>
      </c>
      <c r="B744" s="97" t="inlineStr">
        <is>
          <t>P</t>
        </is>
      </c>
      <c r="C744" s="97" t="inlineStr">
        <is>
          <t>35-69 Bulan</t>
        </is>
      </c>
      <c r="D744" s="97" t="n">
        <v>13</v>
      </c>
      <c r="E744" s="97" t="n">
        <v>104</v>
      </c>
      <c r="F744" s="97" t="inlineStr">
        <is>
          <t>Kurang</t>
        </is>
      </c>
      <c r="G744" s="97" t="inlineStr">
        <is>
          <t>Normal</t>
        </is>
      </c>
      <c r="H744" s="106" t="inlineStr">
        <is>
          <t>Gizi Baik</t>
        </is>
      </c>
      <c r="I744" s="97" t="inlineStr">
        <is>
          <t>Ya</t>
        </is>
      </c>
      <c r="J744" s="97" t="inlineStr">
        <is>
          <t>Tidak</t>
        </is>
      </c>
      <c r="K744" s="107" t="n"/>
    </row>
    <row r="745" ht="15.75" customHeight="1" s="95">
      <c r="A745" s="97" t="inlineStr">
        <is>
          <t>anonymus0744</t>
        </is>
      </c>
      <c r="B745" s="97" t="inlineStr">
        <is>
          <t>P</t>
        </is>
      </c>
      <c r="C745" s="97" t="inlineStr">
        <is>
          <t>35-69 Bulan</t>
        </is>
      </c>
      <c r="D745" s="97" t="n">
        <v>12</v>
      </c>
      <c r="E745" s="97" t="n">
        <v>97</v>
      </c>
      <c r="F745" s="97" t="inlineStr">
        <is>
          <t>Kurang</t>
        </is>
      </c>
      <c r="G745" s="97" t="inlineStr">
        <is>
          <t>Normal</t>
        </is>
      </c>
      <c r="H745" s="106" t="inlineStr">
        <is>
          <t>Gizi Kurang</t>
        </is>
      </c>
      <c r="I745" s="97" t="inlineStr">
        <is>
          <t>Ya</t>
        </is>
      </c>
      <c r="J745" s="97" t="inlineStr">
        <is>
          <t>Tidak</t>
        </is>
      </c>
      <c r="K745" s="107" t="n"/>
    </row>
    <row r="746" ht="15.75" customHeight="1" s="95">
      <c r="A746" s="97" t="inlineStr">
        <is>
          <t>anonymus0745</t>
        </is>
      </c>
      <c r="B746" s="97" t="inlineStr">
        <is>
          <t>P</t>
        </is>
      </c>
      <c r="C746" s="97" t="inlineStr">
        <is>
          <t>1-34 Bulan</t>
        </is>
      </c>
      <c r="D746" s="97" t="inlineStr">
        <is>
          <t>10.7</t>
        </is>
      </c>
      <c r="E746" s="97" t="n">
        <v>80</v>
      </c>
      <c r="F746" s="97" t="inlineStr">
        <is>
          <t>Normal</t>
        </is>
      </c>
      <c r="G746" s="97" t="inlineStr">
        <is>
          <t>Normal</t>
        </is>
      </c>
      <c r="H746" s="106" t="inlineStr">
        <is>
          <t>Gizi Baik</t>
        </is>
      </c>
      <c r="I746" s="97" t="inlineStr">
        <is>
          <t>Ya</t>
        </is>
      </c>
      <c r="J746" s="97" t="inlineStr">
        <is>
          <t>Tidak</t>
        </is>
      </c>
      <c r="K746" s="107" t="n"/>
    </row>
    <row r="747" ht="15.75" customHeight="1" s="95">
      <c r="A747" s="97" t="inlineStr">
        <is>
          <t>anonymus0746</t>
        </is>
      </c>
      <c r="B747" s="97" t="inlineStr">
        <is>
          <t>L</t>
        </is>
      </c>
      <c r="C747" s="97" t="inlineStr">
        <is>
          <t>1-34 Bulan</t>
        </is>
      </c>
      <c r="D747" s="97" t="n">
        <v>8.800000000000001</v>
      </c>
      <c r="E747" s="97" t="n">
        <v>74</v>
      </c>
      <c r="F747" s="97" t="inlineStr">
        <is>
          <t>Normal</t>
        </is>
      </c>
      <c r="G747" s="97" t="inlineStr">
        <is>
          <t>Pendek</t>
        </is>
      </c>
      <c r="H747" s="106" t="inlineStr">
        <is>
          <t>Gizi Baik</t>
        </is>
      </c>
      <c r="I747" s="97" t="inlineStr">
        <is>
          <t>Ya</t>
        </is>
      </c>
      <c r="J747" s="97" t="inlineStr">
        <is>
          <t>Potensi Stunting</t>
        </is>
      </c>
      <c r="K747" s="107" t="n"/>
    </row>
    <row r="748" ht="15" customHeight="1" s="95">
      <c r="H748" s="124" t="n"/>
    </row>
    <row r="1048576" ht="15" customHeight="1" s="95"/>
  </sheetData>
  <autoFilter ref="A1:J747"/>
  <mergeCells count="14">
    <mergeCell ref="L32:N32"/>
    <mergeCell ref="L24:N24"/>
    <mergeCell ref="P32:R32"/>
    <mergeCell ref="P24:R24"/>
    <mergeCell ref="L18:N18"/>
    <mergeCell ref="V54:X54"/>
    <mergeCell ref="L12:N12"/>
    <mergeCell ref="L39:N39"/>
    <mergeCell ref="P18:R18"/>
    <mergeCell ref="P48:R48"/>
    <mergeCell ref="P39:R39"/>
    <mergeCell ref="L48:N48"/>
    <mergeCell ref="Y54:Z55"/>
    <mergeCell ref="P12:R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AO190"/>
  <sheetViews>
    <sheetView showFormulas="0" showGridLines="1" showRowColHeaders="1" showZeros="1" rightToLeft="0" tabSelected="1" showOutlineSymbols="1" defaultGridColor="1" view="normal" topLeftCell="D1" colorId="64" zoomScale="77" zoomScaleNormal="77" zoomScalePageLayoutView="100" workbookViewId="0">
      <selection pane="topLeft" activeCell="M7" activeCellId="0" sqref="M7"/>
    </sheetView>
  </sheetViews>
  <sheetFormatPr baseColWidth="8" defaultColWidth="9.1484375" defaultRowHeight="15" zeroHeight="0" outlineLevelRow="0"/>
  <cols>
    <col width="16.14" customWidth="1" style="119" min="1" max="1"/>
    <col width="9.140000000000001" customWidth="1" style="119" min="2" max="2"/>
    <col width="14.86" customWidth="1" style="119" min="3" max="3"/>
    <col width="9.140000000000001" customWidth="1" style="119" min="4" max="5"/>
    <col width="14.86" customWidth="1" style="119" min="6" max="6"/>
    <col width="19.86" customWidth="1" style="119" min="7" max="7"/>
    <col width="17.15" customWidth="1" style="119" min="8" max="8"/>
    <col width="21" customWidth="1" style="119" min="9" max="9"/>
    <col width="20.14" customWidth="1" style="119" min="10" max="10"/>
    <col width="23.42" customWidth="1" style="112" min="11" max="11"/>
    <col width="20.14" customWidth="1" style="112" min="12" max="14"/>
    <col width="9.140000000000001" customWidth="1" style="119" min="15" max="15"/>
    <col width="17.57" customWidth="1" style="119" min="16" max="16"/>
    <col width="9.140000000000001" customWidth="1" style="119" min="17" max="17"/>
    <col width="17.71" customWidth="1" style="119" min="18" max="18"/>
    <col width="9.140000000000001" customWidth="1" style="119" min="19" max="19"/>
    <col width="17.71" customWidth="1" style="119" min="20" max="20"/>
    <col width="15.85" customWidth="1" style="119" min="21" max="21"/>
    <col width="10.29" customWidth="1" style="119" min="22" max="22"/>
    <col width="13" customWidth="1" style="119" min="23" max="23"/>
    <col width="17.29" customWidth="1" style="119" min="24" max="24"/>
    <col width="9.140000000000001" customWidth="1" style="119" min="25" max="25"/>
    <col width="13.42" customWidth="1" style="119" min="26" max="26"/>
    <col width="16.57" customWidth="1" style="119" min="27" max="27"/>
    <col width="17.57" customWidth="1" style="119" min="28" max="28"/>
    <col width="9.140000000000001" customWidth="1" style="119" min="29" max="29"/>
    <col width="6" customWidth="1" style="119" min="30" max="30"/>
    <col width="16.43" customWidth="1" style="119" min="31" max="31"/>
    <col width="17.71" customWidth="1" style="119" min="32" max="32"/>
    <col width="9.140000000000001" customWidth="1" style="119" min="33" max="34"/>
    <col width="13" customWidth="1" style="119" min="35" max="35"/>
    <col width="20" customWidth="1" style="119" min="36" max="36"/>
    <col width="9.140000000000001" customWidth="1" style="119" min="37" max="39"/>
    <col width="17.71" customWidth="1" style="119" min="40" max="40"/>
    <col width="9.140000000000001" customWidth="1" style="119" min="41" max="16384"/>
  </cols>
  <sheetData>
    <row r="1" ht="15" customHeight="1" s="95">
      <c r="K1" s="112" t="inlineStr">
        <is>
          <t>Prediksi</t>
        </is>
      </c>
      <c r="L1" s="116" t="n"/>
      <c r="M1" s="117" t="n"/>
    </row>
    <row r="2" ht="15.75" customHeight="1" s="95">
      <c r="A2" s="100" t="inlineStr">
        <is>
          <t>Nama/Kode balita</t>
        </is>
      </c>
      <c r="B2" s="100" t="inlineStr">
        <is>
          <t>JK</t>
        </is>
      </c>
      <c r="C2" s="100" t="inlineStr">
        <is>
          <t xml:space="preserve">Umur </t>
        </is>
      </c>
      <c r="D2" s="100" t="inlineStr">
        <is>
          <t xml:space="preserve">Berat </t>
        </is>
      </c>
      <c r="E2" s="100" t="inlineStr">
        <is>
          <t>Tinggi</t>
        </is>
      </c>
      <c r="F2" s="100" t="inlineStr">
        <is>
          <t>BB/U</t>
        </is>
      </c>
      <c r="G2" s="100" t="inlineStr">
        <is>
          <t>TB/U</t>
        </is>
      </c>
      <c r="H2" s="100" t="inlineStr">
        <is>
          <t>Status Gizi</t>
        </is>
      </c>
      <c r="I2" s="100" t="inlineStr">
        <is>
          <t>Status ASI Ekslusif</t>
        </is>
      </c>
      <c r="J2" s="125" t="inlineStr">
        <is>
          <t>Status Stunting</t>
        </is>
      </c>
      <c r="K2" s="100" t="inlineStr">
        <is>
          <t>Stunting</t>
        </is>
      </c>
      <c r="L2" s="100" t="inlineStr">
        <is>
          <t>Potensi Stunting</t>
        </is>
      </c>
      <c r="M2" s="100" t="inlineStr">
        <is>
          <t>Tidak</t>
        </is>
      </c>
      <c r="N2" s="100" t="inlineStr">
        <is>
          <t>Hasil</t>
        </is>
      </c>
      <c r="AI2" s="119" t="inlineStr">
        <is>
          <t>Status Gizi</t>
        </is>
      </c>
    </row>
    <row r="3" ht="15.75" customHeight="1" s="95">
      <c r="A3" s="97" t="inlineStr">
        <is>
          <t>anonymus0747</t>
        </is>
      </c>
      <c r="B3" s="97" t="inlineStr">
        <is>
          <t>L</t>
        </is>
      </c>
      <c r="C3" s="97" t="inlineStr">
        <is>
          <t>35-69 Bulan</t>
        </is>
      </c>
      <c r="D3" s="97" t="n">
        <v>7.9</v>
      </c>
      <c r="E3" s="97" t="n">
        <v>80</v>
      </c>
      <c r="F3" s="97" t="inlineStr">
        <is>
          <t>Sangat Kurang</t>
        </is>
      </c>
      <c r="G3" s="97" t="inlineStr">
        <is>
          <t>Sangat Pendek</t>
        </is>
      </c>
      <c r="H3" s="97" t="inlineStr">
        <is>
          <t>Gizi Buruk</t>
        </is>
      </c>
      <c r="I3" s="97" t="inlineStr">
        <is>
          <t>Tidak</t>
        </is>
      </c>
      <c r="J3" s="126" t="inlineStr">
        <is>
          <t>Stunting</t>
        </is>
      </c>
      <c r="K3" s="97">
        <f>($Q$4/$Q$3)*(IF(B3="L",$T$15,$T$16))*(IF(C3="1-34 Bulan",$T$21,$T$22))*(IF(F3="Risiko Lebih",$T$27,IF(F3="Normal",$T$28,IF(F3="Kurang",$T$29,$T$30))))*(IF(G3="Normal",$T$35,IF(G3="Pendek",$T$36,$T$37)))*(IF(H3="Gizi Buruk",$T$42,IF(H3="Gizi Lebih",$T$43,IF(H3="Risiko Gizi Lebih",$T$44,IF(H3="Gizi Baik",$T$45,$T$46)))))*(IF(I3="Ya",$T$51,$T$52))</f>
        <v/>
      </c>
      <c r="L3" s="97">
        <f>($Q$5/$Q$3)*(IF(B3="L",$U$15,$U$16))*(IF(C3="1-34 Bulan",$U$21,$U$22))*(IF(F3="Risiko Lebih",$U$27,IF(F3="Normal",$U$28,IF(F3="Kurang",$U$29,$U$30))))*(IF(G3="Normal",$U$35,IF(G3="Pendek",$U$36,$U$37)))*(IF(H3="Gizi Buruk",$U$42,IF(H3="Gizi Lebih",$U$43,IF(H3="Risiko Gizi Lebih",$U$44,IF(H3="Gizi Baik",$U$45,$U$46)))))*(IF(I3="Ya",$U$51,$U$52))</f>
        <v/>
      </c>
      <c r="M3" s="97">
        <f>($Q$6/$Q$3)*(IF(B3="L",$V$15,$V$16))*(IF(C3="1-34 Bulan",$V$21,$V$22))*(IF(F3="Risiko Lebih",$V$27,IF(F3="Normal",$V$28,IF(F3="Kurang",$V$29,$V$30))))*(IF(G3="Normal",$V$35,IF(G3="Pendek",$V$36,$V$37)))*(IF(H3="Gizi Buruk",$V$42,IF(H3="Gizi Lebih",$V$43,IF(H3="Risiko Gizi Lebih",$V$44,IF(H3="Gizi Baik",$V$45,$V$46)))))*(IF(I3="Ya",$V$51,$V$52))</f>
        <v/>
      </c>
      <c r="N3" s="97">
        <f>IF(K3=MAX(K3,L3,M3),"Stunting",IF(L3=MAX(K3,L3,M3),"Potensi Stunting","Tidak"))</f>
        <v/>
      </c>
      <c r="P3" s="127" t="inlineStr">
        <is>
          <t>Jumlah Data</t>
        </is>
      </c>
      <c r="Q3" s="112">
        <f>SUM(Q4:Q6)</f>
        <v/>
      </c>
      <c r="S3" s="128" t="inlineStr">
        <is>
          <t>L</t>
        </is>
      </c>
      <c r="T3" s="129" t="inlineStr">
        <is>
          <t>Stunting</t>
        </is>
      </c>
      <c r="U3" s="112">
        <f>COUNTIFS(B3:B189,"L",J3:J189,"Stunting")</f>
        <v/>
      </c>
      <c r="W3" s="112" t="inlineStr">
        <is>
          <t>1-34 Bulan</t>
        </is>
      </c>
      <c r="X3" s="129" t="inlineStr">
        <is>
          <t>Stunting</t>
        </is>
      </c>
      <c r="Y3" s="112">
        <f>COUNTIFS(C3:C748,"1-34 Bulan",J3:J748,"Stunting")</f>
        <v/>
      </c>
      <c r="AA3" s="112" t="inlineStr">
        <is>
          <t>Risiko Lebih</t>
        </is>
      </c>
      <c r="AB3" s="129" t="inlineStr">
        <is>
          <t>Stunting</t>
        </is>
      </c>
      <c r="AC3" s="112">
        <f>COUNTIFS(F3:F748,"Risiko Lebih",J3:J748,"Stunting")</f>
        <v/>
      </c>
      <c r="AE3" s="112" t="inlineStr">
        <is>
          <t>Normal</t>
        </is>
      </c>
      <c r="AF3" s="129" t="inlineStr">
        <is>
          <t>Stunting</t>
        </is>
      </c>
      <c r="AG3" s="112">
        <f>COUNTIFS(G3:G748,"Normal",J3:J748,"Stunting")</f>
        <v/>
      </c>
      <c r="AI3" s="113" t="inlineStr">
        <is>
          <t>Gizi Buruk</t>
        </is>
      </c>
      <c r="AJ3" s="111" t="inlineStr">
        <is>
          <t>Stunting</t>
        </is>
      </c>
      <c r="AK3" s="109">
        <f>COUNTIFS(H3:H748,"Gizi Buruk",J3:J748,"Stunting")</f>
        <v/>
      </c>
      <c r="AM3" s="113" t="inlineStr">
        <is>
          <t>Ya</t>
        </is>
      </c>
      <c r="AN3" s="111" t="inlineStr">
        <is>
          <t>Stunting</t>
        </is>
      </c>
      <c r="AO3" s="109">
        <f>COUNTIFS(I3:I748,"Ya",J3:J748,"Stunting")</f>
        <v/>
      </c>
    </row>
    <row r="4" ht="15.75" customHeight="1" s="95">
      <c r="A4" s="97" t="inlineStr">
        <is>
          <t>anonymus0748</t>
        </is>
      </c>
      <c r="B4" s="97" t="inlineStr">
        <is>
          <t>P</t>
        </is>
      </c>
      <c r="C4" s="97" t="inlineStr">
        <is>
          <t>35-69 Bulan</t>
        </is>
      </c>
      <c r="D4" s="97" t="n">
        <v>11.3</v>
      </c>
      <c r="E4" s="97" t="n">
        <v>115</v>
      </c>
      <c r="F4" s="97" t="inlineStr">
        <is>
          <t>Normal</t>
        </is>
      </c>
      <c r="G4" s="97" t="inlineStr">
        <is>
          <t>Normal</t>
        </is>
      </c>
      <c r="H4" s="97" t="inlineStr">
        <is>
          <t>Gizi Baik</t>
        </is>
      </c>
      <c r="I4" s="97" t="inlineStr">
        <is>
          <t>Ya</t>
        </is>
      </c>
      <c r="J4" s="126" t="inlineStr">
        <is>
          <t>Tidak</t>
        </is>
      </c>
      <c r="K4" s="97">
        <f>($Q$4/$Q$3)*(IF(B4="L",$T$15,$T$16))*(IF(C4="1-34 Bulan",$T$21,$T$22))*(IF(F4="Risiko Lebih",$T$27,IF(F4="Normal",$T$28,IF(F4="Kurang",$T$29,$T$30))))*(IF(G4="Normal",$T$35,IF(G4="Pendek",$T$36,$T$37)))*(IF(H4="Gizi Buruk",$T$42,IF(H4="Gizi Lebih",$T$43,IF(H4="Risiko Gizi Lebih",$T$44,IF(H4="Gizi Baik",$T$45,$T$46)))))*(IF(I4="Ya",$T$51,$T$52))</f>
        <v/>
      </c>
      <c r="L4" s="97">
        <f>($Q$5/$Q$3)*(IF(B4="L",$U$15,$U$16))*(IF(C4="1-34 Bulan",$U$21,$U$22))*(IF(F4="Risiko Lebih",$U$27,IF(F4="Normal",$U$28,IF(F4="Kurang",$U$29,$U$30))))*(IF(G4="Normal",$U$35,IF(G4="Pendek",$U$36,$U$37)))*(IF(H4="Gizi Buruk",$U$42,IF(H4="Gizi Lebih",$U$43,IF(H4="Risiko Gizi Lebih",$U$44,IF(H4="Gizi Baik",$U$45,$U$46)))))*(IF(I4="Ya",$U$51,$U$52))</f>
        <v/>
      </c>
      <c r="M4" s="113">
        <f>($Q$6/$Q$3)*(IF(B4="L",$V$15,$V$16))*(IF(C4="1-34 Bulan",$V$21,$V$22))*(IF(F4="Risiko Lebih",$V$27,IF(F4="Normal",$V$28,IF(F4="Kurang",$V$29,$V$30))))*(IF(G4="Normal",$V$35,IF(G4="Pendek",$V$36,$V$37)))*(IF(H4="Gizi Buruk",$V$42,IF(H4="Gizi Lebih",$V$43,IF(H4="Risiko Gizi Lebih",$V$44,IF(H4="Gizi Baik",$V$45,$V$46)))))*(IF(I4="Ya",$V$51,$V$52))</f>
        <v/>
      </c>
      <c r="N4" s="97">
        <f>IF(K4=MAX(K4,L4,M4),"Stunting",IF(L4=MAX(K4,L4,M4),"Potensi Stunting","Tidak"))</f>
        <v/>
      </c>
      <c r="P4" s="127" t="inlineStr">
        <is>
          <t>Stunting</t>
        </is>
      </c>
      <c r="Q4" s="112">
        <f>COUNTIF(J3:J189, "Stunting")</f>
        <v/>
      </c>
      <c r="S4" s="112">
        <f>COUNTIF(B3:B748, "L")</f>
        <v/>
      </c>
      <c r="T4" s="129" t="inlineStr">
        <is>
          <t>Potensi Stunting</t>
        </is>
      </c>
      <c r="U4" s="112">
        <f>COUNTIFS(B3:B189,"L",J3:J189,"Potensi Stunting")</f>
        <v/>
      </c>
      <c r="W4" s="112" t="n"/>
      <c r="X4" s="129" t="inlineStr">
        <is>
          <t>Potensi Stunting</t>
        </is>
      </c>
      <c r="Y4" s="112">
        <f>COUNTIFS(C3:C748,"1-34 Bulan",J3:J748,"Potensi Stunting")</f>
        <v/>
      </c>
      <c r="AA4" s="112" t="n"/>
      <c r="AB4" s="129" t="inlineStr">
        <is>
          <t>Potensi Stunting</t>
        </is>
      </c>
      <c r="AC4" s="112">
        <f>COUNTIFS(F3:F748,"Risiko Lebih",J3:J748,"Potensi Stunting")</f>
        <v/>
      </c>
      <c r="AE4" s="112" t="n"/>
      <c r="AF4" s="129" t="inlineStr">
        <is>
          <t>Potensi Stunting</t>
        </is>
      </c>
      <c r="AG4" s="112">
        <f>COUNTIFS(G3:G748,"Normal",J3:J748,"Potensi Stunting")</f>
        <v/>
      </c>
      <c r="AI4" s="113" t="n"/>
      <c r="AJ4" s="111" t="inlineStr">
        <is>
          <t>Potensi Stunting</t>
        </is>
      </c>
      <c r="AK4" s="109">
        <f>COUNTIFS(H3:H748,"Gizi Buruk",J3:J748,"Potensi Stunting")</f>
        <v/>
      </c>
      <c r="AM4" s="113" t="n"/>
      <c r="AN4" s="111" t="inlineStr">
        <is>
          <t>Potensi Stunting</t>
        </is>
      </c>
      <c r="AO4" s="109">
        <f>COUNTIFS(I3:I748,"Ya",J3:J748,"Potensi Stunting")</f>
        <v/>
      </c>
    </row>
    <row r="5" ht="15.75" customHeight="1" s="95">
      <c r="A5" s="97" t="inlineStr">
        <is>
          <t>anonymus0749</t>
        </is>
      </c>
      <c r="B5" s="97" t="inlineStr">
        <is>
          <t>L</t>
        </is>
      </c>
      <c r="C5" s="97" t="inlineStr">
        <is>
          <t>1-34 Bulan</t>
        </is>
      </c>
      <c r="D5" s="97" t="inlineStr">
        <is>
          <t>9.5</t>
        </is>
      </c>
      <c r="E5" s="97" t="n">
        <v>81</v>
      </c>
      <c r="F5" s="97" t="inlineStr">
        <is>
          <t>Kurang</t>
        </is>
      </c>
      <c r="G5" s="97" t="inlineStr">
        <is>
          <t>Sangat Pendek</t>
        </is>
      </c>
      <c r="H5" s="97" t="inlineStr">
        <is>
          <t>Gizi Baik</t>
        </is>
      </c>
      <c r="I5" s="97" t="inlineStr">
        <is>
          <t>Ya</t>
        </is>
      </c>
      <c r="J5" s="126" t="inlineStr">
        <is>
          <t>Potensi Stunting</t>
        </is>
      </c>
      <c r="K5" s="97">
        <f>($Q$4/$Q$3)*(IF(B5="L",$T$15,$T$16))*(IF(C5="1-34 Bulan",$T$21,$T$22))*(IF(F5="Risiko Lebih",$T$27,IF(F5="Normal",$T$28,IF(F5="Kurang",$T$29,$T$30))))*(IF(G5="Normal",$T$35,IF(G5="Pendek",$T$36,$T$37)))*(IF(H5="Gizi Buruk",$T$42,IF(H5="Gizi Lebih",$T$43,IF(H5="Risiko Gizi Lebih",$T$44,IF(H5="Gizi Baik",$T$45,$T$46)))))*(IF(I5="Ya",$T$51,$T$52))</f>
        <v/>
      </c>
      <c r="L5" s="97">
        <f>($Q$5/$Q$3)*(IF(B5="L",$U$15,$U$16))*(IF(C5="1-34 Bulan",$U$21,$U$22))*(IF(F5="Risiko Lebih",$U$27,IF(F5="Normal",$U$28,IF(F5="Kurang",$U$29,$U$30))))*(IF(G5="Normal",$U$35,IF(G5="Pendek",$U$36,$U$37)))*(IF(H5="Gizi Buruk",$U$42,IF(H5="Gizi Lebih",$U$43,IF(H5="Risiko Gizi Lebih",$U$44,IF(H5="Gizi Baik",$U$45,$U$46)))))*(IF(I5="Ya",$U$51,$U$52))</f>
        <v/>
      </c>
      <c r="M5" s="113">
        <f>($Q$6/$Q$3)*(IF(B5="L",$V$15,$V$16))*(IF(C5="1-34 Bulan",$V$21,$V$22))*(IF(F5="Risiko Lebih",$V$27,IF(F5="Normal",$V$28,IF(F5="Kurang",$V$29,$V$30))))*(IF(G5="Normal",$V$35,IF(G5="Pendek",$V$36,$V$37)))*(IF(H5="Gizi Buruk",$V$42,IF(H5="Gizi Lebih",$V$43,IF(H5="Risiko Gizi Lebih",$V$44,IF(H5="Gizi Baik",$V$45,$V$46)))))*(IF(I5="Ya",$V$51,$V$52))</f>
        <v/>
      </c>
      <c r="N5" s="97">
        <f>IF(K5=MAX(K5,L5,M5),"Stunting",IF(L5=MAX(K5,L5,M5),"Potensi Stunting","Tidak"))</f>
        <v/>
      </c>
      <c r="P5" s="127" t="inlineStr">
        <is>
          <t>Potensi Stunting</t>
        </is>
      </c>
      <c r="Q5" s="112">
        <f>COUNTIF(J3:J189, "Potensi Stunting")</f>
        <v/>
      </c>
      <c r="S5" s="112" t="n"/>
      <c r="T5" s="129" t="inlineStr">
        <is>
          <t>Tidak</t>
        </is>
      </c>
      <c r="U5" s="112">
        <f>COUNTIFS(B3:B189,"L",J3:J189,"Tidak")</f>
        <v/>
      </c>
      <c r="W5" s="112" t="n"/>
      <c r="X5" s="129" t="inlineStr">
        <is>
          <t>Tidak</t>
        </is>
      </c>
      <c r="Y5" s="112">
        <f>COUNTIFS(C3:C748,"1-34 Bulan",J3:J748,"Tidak")</f>
        <v/>
      </c>
      <c r="AA5" s="112" t="n"/>
      <c r="AB5" s="129" t="inlineStr">
        <is>
          <t>Tidak</t>
        </is>
      </c>
      <c r="AC5" s="112">
        <f>COUNTIFS(F3:F748,"Risiko Lebih",J3:J748,"Tidak")</f>
        <v/>
      </c>
      <c r="AE5" s="112" t="n"/>
      <c r="AF5" s="129" t="inlineStr">
        <is>
          <t>Tidak</t>
        </is>
      </c>
      <c r="AG5" s="112">
        <f>COUNTIFS(G3:G748,"Normal",J3:J748,"Tidak")</f>
        <v/>
      </c>
      <c r="AI5" s="113" t="n"/>
      <c r="AJ5" s="111" t="inlineStr">
        <is>
          <t>Tidak</t>
        </is>
      </c>
      <c r="AK5" s="109">
        <f>COUNTIFS(H3:H748,"Gizi Buruk",J3:J748,"Tidak")</f>
        <v/>
      </c>
      <c r="AM5" s="113" t="n"/>
      <c r="AN5" s="111" t="inlineStr">
        <is>
          <t>Tidak</t>
        </is>
      </c>
      <c r="AO5" s="109">
        <f>COUNTIFS(I3:I748,"Ya",J3:J748,"Tidak")</f>
        <v/>
      </c>
    </row>
    <row r="6" ht="15.75" customHeight="1" s="95">
      <c r="A6" s="97" t="inlineStr">
        <is>
          <t>anonymus0750</t>
        </is>
      </c>
      <c r="B6" s="97" t="inlineStr">
        <is>
          <t>P</t>
        </is>
      </c>
      <c r="C6" s="97" t="inlineStr">
        <is>
          <t>35-69 Bulan</t>
        </is>
      </c>
      <c r="D6" s="97" t="inlineStr">
        <is>
          <t>13.6</t>
        </is>
      </c>
      <c r="E6" s="97" t="n">
        <v>92</v>
      </c>
      <c r="F6" s="97" t="inlineStr">
        <is>
          <t>Normal</t>
        </is>
      </c>
      <c r="G6" s="97" t="inlineStr">
        <is>
          <t>Normal</t>
        </is>
      </c>
      <c r="H6" s="97" t="inlineStr">
        <is>
          <t>Gizi Baik</t>
        </is>
      </c>
      <c r="I6" s="97" t="inlineStr">
        <is>
          <t>Ya</t>
        </is>
      </c>
      <c r="J6" s="126" t="inlineStr">
        <is>
          <t>Tidak</t>
        </is>
      </c>
      <c r="K6" s="97">
        <f>($Q$4/$Q$3)*(IF(B6="L",$T$15,$T$16))*(IF(C6="1-34 Bulan",$T$21,$T$22))*(IF(F6="Risiko Lebih",$T$27,IF(F6="Normal",$T$28,IF(F6="Kurang",$T$29,$T$30))))*(IF(G6="Normal",$T$35,IF(G6="Pendek",$T$36,$T$37)))*(IF(H6="Gizi Buruk",$T$42,IF(H6="Gizi Lebih",$T$43,IF(H6="Risiko Gizi Lebih",$T$44,IF(H6="Gizi Baik",$T$45,$T$46)))))*(IF(I6="Ya",$T$51,$T$52))</f>
        <v/>
      </c>
      <c r="L6" s="97">
        <f>($Q$5/$Q$3)*(IF(B6="L",$U$15,$U$16))*(IF(C6="1-34 Bulan",$U$21,$U$22))*(IF(F6="Risiko Lebih",$U$27,IF(F6="Normal",$U$28,IF(F6="Kurang",$U$29,$U$30))))*(IF(G6="Normal",$U$35,IF(G6="Pendek",$U$36,$U$37)))*(IF(H6="Gizi Buruk",$U$42,IF(H6="Gizi Lebih",$U$43,IF(H6="Risiko Gizi Lebih",$U$44,IF(H6="Gizi Baik",$U$45,$U$46)))))*(IF(I6="Ya",$U$51,$U$52))</f>
        <v/>
      </c>
      <c r="M6" s="113">
        <f>($Q$6/$Q$3)*(IF(B6="L",$V$15,$V$16))*(IF(C6="1-34 Bulan",$V$21,$V$22))*(IF(F6="Risiko Lebih",$V$27,IF(F6="Normal",$V$28,IF(F6="Kurang",$V$29,$V$30))))*(IF(G6="Normal",$V$35,IF(G6="Pendek",$V$36,$V$37)))*(IF(H6="Gizi Buruk",$V$42,IF(H6="Gizi Lebih",$V$43,IF(H6="Risiko Gizi Lebih",$V$44,IF(H6="Gizi Baik",$V$45,$V$46)))))*(IF(I6="Ya",$V$51,$V$52))</f>
        <v/>
      </c>
      <c r="N6" s="97">
        <f>IF(K6=MAX(K6,L6,M6),"Stunting",IF(L6=MAX(K6,L6,M6),"Potensi Stunting","Tidak"))</f>
        <v/>
      </c>
      <c r="P6" s="127" t="inlineStr">
        <is>
          <t>Tidak</t>
        </is>
      </c>
      <c r="Q6" s="112">
        <f>COUNTIF(J3:J189, "Tidak")</f>
        <v/>
      </c>
      <c r="S6" s="128" t="inlineStr">
        <is>
          <t>P</t>
        </is>
      </c>
      <c r="T6" s="129" t="inlineStr">
        <is>
          <t>Stunting</t>
        </is>
      </c>
      <c r="U6" s="112">
        <f>COUNTIFS(B3:B189,"P",J3:J189,"Stunting")</f>
        <v/>
      </c>
      <c r="W6" s="112" t="inlineStr">
        <is>
          <t>35-69 Bulan</t>
        </is>
      </c>
      <c r="X6" s="129" t="inlineStr">
        <is>
          <t>Stunting</t>
        </is>
      </c>
      <c r="Y6" s="112">
        <f>COUNTIFS(C3:C748,"35-69 Bulan",J3:J748,"Stunting")</f>
        <v/>
      </c>
      <c r="AA6" s="112" t="inlineStr">
        <is>
          <t>Normal</t>
        </is>
      </c>
      <c r="AB6" s="129" t="inlineStr">
        <is>
          <t>Stunting</t>
        </is>
      </c>
      <c r="AC6" s="112">
        <f>COUNTIFS(F3:F748,"Normal",J3:J748,"Stunting")</f>
        <v/>
      </c>
      <c r="AE6" s="112" t="inlineStr">
        <is>
          <t>Pendek</t>
        </is>
      </c>
      <c r="AF6" s="129" t="inlineStr">
        <is>
          <t>Stunting</t>
        </is>
      </c>
      <c r="AG6" s="112">
        <f>COUNTIFS(G3:G748,"Pendek",J3:J748,"Stunting")</f>
        <v/>
      </c>
      <c r="AI6" s="113" t="inlineStr">
        <is>
          <t>Gizi Lebih</t>
        </is>
      </c>
      <c r="AJ6" s="111" t="inlineStr">
        <is>
          <t>Stunting</t>
        </is>
      </c>
      <c r="AK6" s="109">
        <f>COUNTIFS(H3:H748,"Gizi Lebih",J3:J748,"Stunting")</f>
        <v/>
      </c>
      <c r="AM6" s="113" t="inlineStr">
        <is>
          <t>Tidak</t>
        </is>
      </c>
      <c r="AN6" s="111" t="inlineStr">
        <is>
          <t>Stunting</t>
        </is>
      </c>
      <c r="AO6" s="109">
        <f>COUNTIFS(I3:I748,"Tidak",J3:J748,"Stunting")</f>
        <v/>
      </c>
    </row>
    <row r="7" ht="15.75" customHeight="1" s="95">
      <c r="A7" s="97" t="inlineStr">
        <is>
          <t>anonymus0751</t>
        </is>
      </c>
      <c r="B7" s="97" t="inlineStr">
        <is>
          <t>P</t>
        </is>
      </c>
      <c r="C7" s="97" t="inlineStr">
        <is>
          <t>35-69 Bulan</t>
        </is>
      </c>
      <c r="D7" s="97" t="n">
        <v>12.6</v>
      </c>
      <c r="E7" s="97" t="n">
        <v>99.59999999999999</v>
      </c>
      <c r="F7" s="97" t="inlineStr">
        <is>
          <t>Normal</t>
        </is>
      </c>
      <c r="G7" s="97" t="inlineStr">
        <is>
          <t>Normal</t>
        </is>
      </c>
      <c r="H7" s="97" t="inlineStr">
        <is>
          <t>Gizi Kurang</t>
        </is>
      </c>
      <c r="I7" s="97" t="inlineStr">
        <is>
          <t>Ya</t>
        </is>
      </c>
      <c r="J7" s="126" t="inlineStr">
        <is>
          <t>Tidak</t>
        </is>
      </c>
      <c r="K7" s="97">
        <f>($Q$4/$Q$3)*(IF(B7="L",$T$15,$T$16))*(IF(C7="1-34 Bulan",$T$21,$T$22))*(IF(F7="Risiko Lebih",$T$27,IF(F7="Normal",$T$28,IF(F7="Kurang",$T$29,$T$30))))*(IF(G7="Normal",$T$35,IF(G7="Pendek",$T$36,$T$37)))*(IF(H7="Gizi Buruk",$T$42,IF(H7="Gizi Lebih",$T$43,IF(H7="Risiko Gizi Lebih",$T$44,IF(H7="Gizi Baik",$T$45,$T$46)))))*(IF(I7="Ya",$T$51,$T$52))</f>
        <v/>
      </c>
      <c r="L7" s="97">
        <f>($Q$5/$Q$3)*(IF(B7="L",$U$15,$U$16))*(IF(C7="1-34 Bulan",$U$21,$U$22))*(IF(F7="Risiko Lebih",$U$27,IF(F7="Normal",$U$28,IF(F7="Kurang",$U$29,$U$30))))*(IF(G7="Normal",$U$35,IF(G7="Pendek",$U$36,$U$37)))*(IF(H7="Gizi Buruk",$U$42,IF(H7="Gizi Lebih",$U$43,IF(H7="Risiko Gizi Lebih",$U$44,IF(H7="Gizi Baik",$U$45,$U$46)))))*(IF(I7="Ya",$U$51,$U$52))</f>
        <v/>
      </c>
      <c r="M7" s="113">
        <f>($Q$6/$Q$3)*(IF(B7="L",$V$15,$V$16))*(IF(C7="1-34 Bulan",$V$21,$V$22))*(IF(F7="Risiko Lebih",$V$27,IF(F7="Normal",$V$28,IF(F7="Kurang",$V$29,$V$30))))*(IF(G7="Normal",$V$35,IF(G7="Pendek",$V$36,$V$37)))*(IF(H7="Gizi Buruk",$V$42,IF(H7="Gizi Lebih",$V$43,IF(H7="Risiko Gizi Lebih",$V$44,IF(H7="Gizi Baik",$V$45,$V$46)))))*(IF(I7="Ya",$V$51,$V$52))</f>
        <v/>
      </c>
      <c r="N7" s="97">
        <f>IF(K7=MAX(K7,L7,M7),"Stunting",IF(L7=MAX(K7,L7,M7),"Potensi Stunting","Tidak"))</f>
        <v/>
      </c>
      <c r="S7" s="112">
        <f>COUNTIF(B3:B748, "p")</f>
        <v/>
      </c>
      <c r="T7" s="129" t="inlineStr">
        <is>
          <t>Potensi Stunting</t>
        </is>
      </c>
      <c r="U7" s="112">
        <f>COUNTIFS(B3:B189,"P",J3:J189,"Potensi Stunting")</f>
        <v/>
      </c>
      <c r="W7" s="112" t="n"/>
      <c r="X7" s="129" t="inlineStr">
        <is>
          <t>Potensi Stunting</t>
        </is>
      </c>
      <c r="Y7" s="112">
        <f>COUNTIFS(C3:C748,"35-69 Bulan",J3:J748,"Potensi Stunting")</f>
        <v/>
      </c>
      <c r="AA7" s="112" t="n"/>
      <c r="AB7" s="129" t="inlineStr">
        <is>
          <t>Potensi Stunting</t>
        </is>
      </c>
      <c r="AC7" s="112">
        <f>COUNTIFS(F3:F748,"Normal",J3:J748,"Potensi Stunting")</f>
        <v/>
      </c>
      <c r="AE7" s="112" t="n"/>
      <c r="AF7" s="129" t="inlineStr">
        <is>
          <t>Potensi Stunting</t>
        </is>
      </c>
      <c r="AG7" s="112">
        <f>COUNTIFS(G3:G748,"Pendek",J3:J748,"Potensi Stunting")</f>
        <v/>
      </c>
      <c r="AI7" s="113" t="n"/>
      <c r="AJ7" s="111" t="inlineStr">
        <is>
          <t>Potensi Stunting</t>
        </is>
      </c>
      <c r="AK7" s="109">
        <f>COUNTIFS(H3:H748,"Gizi Lebih",J3:J748,"Potensi Stunting")</f>
        <v/>
      </c>
      <c r="AM7" s="113" t="n"/>
      <c r="AN7" s="111" t="inlineStr">
        <is>
          <t>Potensi Stunting</t>
        </is>
      </c>
      <c r="AO7" s="109">
        <f>COUNTIFS(I3:I748,"Tidak",J3:J748,"Potensi Stunting")</f>
        <v/>
      </c>
    </row>
    <row r="8" ht="15.75" customHeight="1" s="95">
      <c r="A8" s="97" t="inlineStr">
        <is>
          <t>anonymus0752</t>
        </is>
      </c>
      <c r="B8" s="97" t="inlineStr">
        <is>
          <t>L</t>
        </is>
      </c>
      <c r="C8" s="97" t="inlineStr">
        <is>
          <t>35-69 Bulan</t>
        </is>
      </c>
      <c r="D8" s="97" t="n">
        <v>12.6</v>
      </c>
      <c r="E8" s="97" t="n">
        <v>93.2</v>
      </c>
      <c r="F8" s="97" t="inlineStr">
        <is>
          <t>Kurang</t>
        </is>
      </c>
      <c r="G8" s="97" t="inlineStr">
        <is>
          <t>Pendek</t>
        </is>
      </c>
      <c r="H8" s="97" t="inlineStr">
        <is>
          <t>Gizi Baik</t>
        </is>
      </c>
      <c r="I8" s="97" t="inlineStr">
        <is>
          <t>Ya</t>
        </is>
      </c>
      <c r="J8" s="126" t="inlineStr">
        <is>
          <t>Potensi Stunting</t>
        </is>
      </c>
      <c r="K8" s="97">
        <f>($Q$4/$Q$3)*(IF(B8="L",$T$15,$T$16))*(IF(C8="1-34 Bulan",$T$21,$T$22))*(IF(F8="Risiko Lebih",$T$27,IF(F8="Normal",$T$28,IF(F8="Kurang",$T$29,$T$30))))*(IF(G8="Normal",$T$35,IF(G8="Pendek",$T$36,$T$37)))*(IF(H8="Gizi Buruk",$T$42,IF(H8="Gizi Lebih",$T$43,IF(H8="Risiko Gizi Lebih",$T$44,IF(H8="Gizi Baik",$T$45,$T$46)))))*(IF(I8="Ya",$T$51,$T$52))</f>
        <v/>
      </c>
      <c r="L8" s="97">
        <f>($Q$5/$Q$3)*(IF(B8="L",$U$15,$U$16))*(IF(C8="1-34 Bulan",$U$21,$U$22))*(IF(F8="Risiko Lebih",$U$27,IF(F8="Normal",$U$28,IF(F8="Kurang",$U$29,$U$30))))*(IF(G8="Normal",$U$35,IF(G8="Pendek",$U$36,$U$37)))*(IF(H8="Gizi Buruk",$U$42,IF(H8="Gizi Lebih",$U$43,IF(H8="Risiko Gizi Lebih",$U$44,IF(H8="Gizi Baik",$U$45,$U$46)))))*(IF(I8="Ya",$U$51,$U$52))</f>
        <v/>
      </c>
      <c r="M8" s="113">
        <f>($Q$6/$Q$3)*(IF(B8="L",$V$15,$V$16))*(IF(C8="1-34 Bulan",$V$21,$V$22))*(IF(F8="Risiko Lebih",$V$27,IF(F8="Normal",$V$28,IF(F8="Kurang",$V$29,$V$30))))*(IF(G8="Normal",$V$35,IF(G8="Pendek",$V$36,$V$37)))*(IF(H8="Gizi Buruk",$V$42,IF(H8="Gizi Lebih",$V$43,IF(H8="Risiko Gizi Lebih",$V$44,IF(H8="Gizi Baik",$V$45,$V$46)))))*(IF(I8="Ya",$V$51,$V$52))</f>
        <v/>
      </c>
      <c r="N8" s="97">
        <f>IF(K8=MAX(K8,L8,M8),"Stunting",IF(L8=MAX(K8,L8,M8),"Potensi Stunting","Tidak"))</f>
        <v/>
      </c>
      <c r="S8" s="112" t="n"/>
      <c r="T8" s="129" t="inlineStr">
        <is>
          <t>Tidak</t>
        </is>
      </c>
      <c r="U8" s="112">
        <f>COUNTIFS(B3:B189,"P",J3:J189,"Tidak")</f>
        <v/>
      </c>
      <c r="W8" s="112" t="n"/>
      <c r="X8" s="129" t="inlineStr">
        <is>
          <t>Tidak</t>
        </is>
      </c>
      <c r="Y8" s="112">
        <f>COUNTIFS(C3:C748,"35-69 Bulan",J3:J748,"Tidak")</f>
        <v/>
      </c>
      <c r="AA8" s="112" t="n"/>
      <c r="AB8" s="129" t="inlineStr">
        <is>
          <t>Tidak</t>
        </is>
      </c>
      <c r="AC8" s="112">
        <f>COUNTIFS(F3:F748,"Normal",J3:J748,"Tidak")</f>
        <v/>
      </c>
      <c r="AE8" s="112" t="n"/>
      <c r="AF8" s="129" t="inlineStr">
        <is>
          <t>Tidak</t>
        </is>
      </c>
      <c r="AG8" s="112">
        <f>COUNTIFS(G3:G748,"Pendek",J3:J748,"Tidak")</f>
        <v/>
      </c>
      <c r="AI8" s="113" t="n"/>
      <c r="AJ8" s="111" t="inlineStr">
        <is>
          <t>Tidak</t>
        </is>
      </c>
      <c r="AK8" s="109">
        <f>COUNTIFS(H3:H748,"Gizi Lebih",J3:J748,"Tidak")</f>
        <v/>
      </c>
      <c r="AM8" s="113" t="n"/>
      <c r="AN8" s="111" t="inlineStr">
        <is>
          <t>Tidak</t>
        </is>
      </c>
      <c r="AO8" s="109">
        <f>COUNTIFS(I3:I748,"Tidak",J3:J748,"Tidak")</f>
        <v/>
      </c>
    </row>
    <row r="9" ht="15.75" customHeight="1" s="95">
      <c r="A9" s="97" t="inlineStr">
        <is>
          <t>anonymus0753</t>
        </is>
      </c>
      <c r="B9" s="97" t="inlineStr">
        <is>
          <t>L</t>
        </is>
      </c>
      <c r="C9" s="97" t="inlineStr">
        <is>
          <t>35-69 Bulan</t>
        </is>
      </c>
      <c r="D9" s="97" t="inlineStr">
        <is>
          <t>11.1</t>
        </is>
      </c>
      <c r="E9" s="97" t="n">
        <v>93</v>
      </c>
      <c r="F9" s="97" t="inlineStr">
        <is>
          <t>Kurang</t>
        </is>
      </c>
      <c r="G9" s="97" t="inlineStr">
        <is>
          <t>Normal</t>
        </is>
      </c>
      <c r="H9" s="97" t="inlineStr">
        <is>
          <t>Gizi Kurang</t>
        </is>
      </c>
      <c r="I9" s="97" t="inlineStr">
        <is>
          <t>Ya</t>
        </is>
      </c>
      <c r="J9" s="126" t="inlineStr">
        <is>
          <t>Tidak</t>
        </is>
      </c>
      <c r="K9" s="97">
        <f>($Q$4/$Q$3)*(IF(B9="L",$T$15,$T$16))*(IF(C9="1-34 Bulan",$T$21,$T$22))*(IF(F9="Risiko Lebih",$T$27,IF(F9="Normal",$T$28,IF(F9="Kurang",$T$29,$T$30))))*(IF(G9="Normal",$T$35,IF(G9="Pendek",$T$36,$T$37)))*(IF(H9="Gizi Buruk",$T$42,IF(H9="Gizi Lebih",$T$43,IF(H9="Risiko Gizi Lebih",$T$44,IF(H9="Gizi Baik",$T$45,$T$46)))))*(IF(I9="Ya",$T$51,$T$52))</f>
        <v/>
      </c>
      <c r="L9" s="97">
        <f>($Q$5/$Q$3)*(IF(B9="L",$U$15,$U$16))*(IF(C9="1-34 Bulan",$U$21,$U$22))*(IF(F9="Risiko Lebih",$U$27,IF(F9="Normal",$U$28,IF(F9="Kurang",$U$29,$U$30))))*(IF(G9="Normal",$U$35,IF(G9="Pendek",$U$36,$U$37)))*(IF(H9="Gizi Buruk",$U$42,IF(H9="Gizi Lebih",$U$43,IF(H9="Risiko Gizi Lebih",$U$44,IF(H9="Gizi Baik",$U$45,$U$46)))))*(IF(I9="Ya",$U$51,$U$52))</f>
        <v/>
      </c>
      <c r="M9" s="113">
        <f>($Q$6/$Q$3)*(IF(B9="L",$V$15,$V$16))*(IF(C9="1-34 Bulan",$V$21,$V$22))*(IF(F9="Risiko Lebih",$V$27,IF(F9="Normal",$V$28,IF(F9="Kurang",$V$29,$V$30))))*(IF(G9="Normal",$V$35,IF(G9="Pendek",$V$36,$V$37)))*(IF(H9="Gizi Buruk",$V$42,IF(H9="Gizi Lebih",$V$43,IF(H9="Risiko Gizi Lebih",$V$44,IF(H9="Gizi Baik",$V$45,$V$46)))))*(IF(I9="Ya",$V$51,$V$52))</f>
        <v/>
      </c>
      <c r="N9" s="97">
        <f>IF(K9=MAX(K9,L9,M9),"Stunting",IF(L9=MAX(K9,L9,M9),"Potensi Stunting","Tidak"))</f>
        <v/>
      </c>
      <c r="S9" s="119">
        <f>SUM(S4,S7)</f>
        <v/>
      </c>
      <c r="U9" s="119">
        <f>SUM(U3:U8)</f>
        <v/>
      </c>
      <c r="Y9" s="119">
        <f>SUM(Y3:Y8)</f>
        <v/>
      </c>
      <c r="AA9" s="112" t="inlineStr">
        <is>
          <t>Kurang</t>
        </is>
      </c>
      <c r="AB9" s="129" t="inlineStr">
        <is>
          <t>Stunting</t>
        </is>
      </c>
      <c r="AC9" s="112">
        <f>COUNTIFS(F3:F748,"Kurang",J3:J748,"Stunting")</f>
        <v/>
      </c>
      <c r="AE9" s="112" t="inlineStr">
        <is>
          <t>Sangat Pendek</t>
        </is>
      </c>
      <c r="AF9" s="129" t="inlineStr">
        <is>
          <t>Stunting</t>
        </is>
      </c>
      <c r="AG9" s="112">
        <f>COUNTIFS(G3:G748,"Sangat Pendek",J3:J748,"Stunting")</f>
        <v/>
      </c>
      <c r="AI9" s="113" t="inlineStr">
        <is>
          <t>Risiko Gizi Lebih</t>
        </is>
      </c>
      <c r="AJ9" s="111" t="inlineStr">
        <is>
          <t>Stunting</t>
        </is>
      </c>
      <c r="AK9" s="109">
        <f>COUNTIFS(H3:H748,"Risiko Gizi Lebih",J3:J748,"Stunting")</f>
        <v/>
      </c>
      <c r="AO9" s="119">
        <f>SUM(AO3:AO8)</f>
        <v/>
      </c>
    </row>
    <row r="10" ht="15.75" customHeight="1" s="95">
      <c r="A10" s="97" t="inlineStr">
        <is>
          <t>anonymus0754</t>
        </is>
      </c>
      <c r="B10" s="97" t="inlineStr">
        <is>
          <t>L</t>
        </is>
      </c>
      <c r="C10" s="97" t="inlineStr">
        <is>
          <t>1-34 Bulan</t>
        </is>
      </c>
      <c r="D10" s="97" t="n">
        <v>8</v>
      </c>
      <c r="E10" s="97" t="n">
        <v>89</v>
      </c>
      <c r="F10" s="97" t="inlineStr">
        <is>
          <t>Kurang</t>
        </is>
      </c>
      <c r="G10" s="97" t="inlineStr">
        <is>
          <t>Normal</t>
        </is>
      </c>
      <c r="H10" s="97" t="inlineStr">
        <is>
          <t>Gizi Kurang</t>
        </is>
      </c>
      <c r="I10" s="97" t="inlineStr">
        <is>
          <t>Ya</t>
        </is>
      </c>
      <c r="J10" s="126" t="inlineStr">
        <is>
          <t>Tidak</t>
        </is>
      </c>
      <c r="K10" s="97">
        <f>($Q$4/$Q$3)*(IF(B10="L",$T$15,$T$16))*(IF(C10="1-34 Bulan",$T$21,$T$22))*(IF(F10="Risiko Lebih",$T$27,IF(F10="Normal",$T$28,IF(F10="Kurang",$T$29,$T$30))))*(IF(G10="Normal",$T$35,IF(G10="Pendek",$T$36,$T$37)))*(IF(H10="Gizi Buruk",$T$42,IF(H10="Gizi Lebih",$T$43,IF(H10="Risiko Gizi Lebih",$T$44,IF(H10="Gizi Baik",$T$45,$T$46)))))*(IF(I10="Ya",$T$51,$T$52))</f>
        <v/>
      </c>
      <c r="L10" s="97">
        <f>($Q$5/$Q$3)*(IF(B10="L",$U$15,$U$16))*(IF(C10="1-34 Bulan",$U$21,$U$22))*(IF(F10="Risiko Lebih",$U$27,IF(F10="Normal",$U$28,IF(F10="Kurang",$U$29,$U$30))))*(IF(G10="Normal",$U$35,IF(G10="Pendek",$U$36,$U$37)))*(IF(H10="Gizi Buruk",$U$42,IF(H10="Gizi Lebih",$U$43,IF(H10="Risiko Gizi Lebih",$U$44,IF(H10="Gizi Baik",$U$45,$U$46)))))*(IF(I10="Ya",$U$51,$U$52))</f>
        <v/>
      </c>
      <c r="M10" s="113">
        <f>($Q$6/$Q$3)*(IF(B10="L",$V$15,$V$16))*(IF(C10="1-34 Bulan",$V$21,$V$22))*(IF(F10="Risiko Lebih",$V$27,IF(F10="Normal",$V$28,IF(F10="Kurang",$V$29,$V$30))))*(IF(G10="Normal",$V$35,IF(G10="Pendek",$V$36,$V$37)))*(IF(H10="Gizi Buruk",$V$42,IF(H10="Gizi Lebih",$V$43,IF(H10="Risiko Gizi Lebih",$V$44,IF(H10="Gizi Baik",$V$45,$V$46)))))*(IF(I10="Ya",$V$51,$V$52))</f>
        <v/>
      </c>
      <c r="N10" s="97">
        <f>IF(K10=MAX(K10,L10,M10),"Stunting",IF(L10=MAX(K10,L10,M10),"Potensi Stunting","Tidak"))</f>
        <v/>
      </c>
      <c r="AA10" s="112" t="n"/>
      <c r="AB10" s="129" t="inlineStr">
        <is>
          <t>Potensi Stunting</t>
        </is>
      </c>
      <c r="AC10" s="112">
        <f>COUNTIFS(F3:F748,"Kurang",J3:J748,"Potensi Stunting")</f>
        <v/>
      </c>
      <c r="AE10" s="112" t="n"/>
      <c r="AF10" s="129" t="inlineStr">
        <is>
          <t>Potensi Stunting</t>
        </is>
      </c>
      <c r="AG10" s="112">
        <f>COUNTIFS(G3:G748,"Sangat Pendek",J3:J748,"Potensi Stunting")</f>
        <v/>
      </c>
      <c r="AI10" s="113" t="n"/>
      <c r="AJ10" s="111" t="inlineStr">
        <is>
          <t>Potensi Stunting</t>
        </is>
      </c>
      <c r="AK10" s="109">
        <f>COUNTIFS(H3:H748,"Risiko Gizi Lebih",J3:J748,"Potensi Stunting")</f>
        <v/>
      </c>
    </row>
    <row r="11" ht="15.75" customHeight="1" s="95">
      <c r="A11" s="97" t="inlineStr">
        <is>
          <t>anonymus0755</t>
        </is>
      </c>
      <c r="B11" s="97" t="inlineStr">
        <is>
          <t>L</t>
        </is>
      </c>
      <c r="C11" s="97" t="inlineStr">
        <is>
          <t>1-34 Bulan</t>
        </is>
      </c>
      <c r="D11" s="97" t="inlineStr">
        <is>
          <t>5.2</t>
        </is>
      </c>
      <c r="E11" s="97" t="n">
        <v>55</v>
      </c>
      <c r="F11" s="97" t="inlineStr">
        <is>
          <t>Normal</t>
        </is>
      </c>
      <c r="G11" s="97" t="inlineStr">
        <is>
          <t>Normal</t>
        </is>
      </c>
      <c r="H11" s="97" t="inlineStr">
        <is>
          <t>Risiko Gizi Lebih</t>
        </is>
      </c>
      <c r="I11" s="97" t="inlineStr">
        <is>
          <t>Ya</t>
        </is>
      </c>
      <c r="J11" s="126" t="inlineStr">
        <is>
          <t>Tidak</t>
        </is>
      </c>
      <c r="K11" s="97">
        <f>($Q$4/$Q$3)*(IF(B11="L",$T$15,$T$16))*(IF(C11="1-34 Bulan",$T$21,$T$22))*(IF(F11="Risiko Lebih",$T$27,IF(F11="Normal",$T$28,IF(F11="Kurang",$T$29,$T$30))))*(IF(G11="Normal",$T$35,IF(G11="Pendek",$T$36,$T$37)))*(IF(H11="Gizi Buruk",$T$42,IF(H11="Gizi Lebih",$T$43,IF(H11="Risiko Gizi Lebih",$T$44,IF(H11="Gizi Baik",$T$45,$T$46)))))*(IF(I11="Ya",$T$51,$T$52))</f>
        <v/>
      </c>
      <c r="L11" s="97">
        <f>($Q$5/$Q$3)*(IF(B11="L",$U$15,$U$16))*(IF(C11="1-34 Bulan",$U$21,$U$22))*(IF(F11="Risiko Lebih",$U$27,IF(F11="Normal",$U$28,IF(F11="Kurang",$U$29,$U$30))))*(IF(G11="Normal",$U$35,IF(G11="Pendek",$U$36,$U$37)))*(IF(H11="Gizi Buruk",$U$42,IF(H11="Gizi Lebih",$U$43,IF(H11="Risiko Gizi Lebih",$U$44,IF(H11="Gizi Baik",$U$45,$U$46)))))*(IF(I11="Ya",$U$51,$U$52))</f>
        <v/>
      </c>
      <c r="M11" s="113">
        <f>($Q$6/$Q$3)*(IF(B11="L",$V$15,$V$16))*(IF(C11="1-34 Bulan",$V$21,$V$22))*(IF(F11="Risiko Lebih",$V$27,IF(F11="Normal",$V$28,IF(F11="Kurang",$V$29,$V$30))))*(IF(G11="Normal",$V$35,IF(G11="Pendek",$V$36,$V$37)))*(IF(H11="Gizi Buruk",$V$42,IF(H11="Gizi Lebih",$V$43,IF(H11="Risiko Gizi Lebih",$V$44,IF(H11="Gizi Baik",$V$45,$V$46)))))*(IF(I11="Ya",$V$51,$V$52))</f>
        <v/>
      </c>
      <c r="N11" s="97">
        <f>IF(K11=MAX(K11,L11,M11),"Stunting",IF(L11=MAX(K11,L11,M11),"Potensi Stunting","Tidak"))</f>
        <v/>
      </c>
      <c r="AA11" s="112" t="n"/>
      <c r="AB11" s="129" t="inlineStr">
        <is>
          <t>Tidak</t>
        </is>
      </c>
      <c r="AC11" s="112">
        <f>COUNTIFS(F3:F748,"Kurang",J3:J748,"Tidak")</f>
        <v/>
      </c>
      <c r="AE11" s="112" t="n"/>
      <c r="AF11" s="129" t="inlineStr">
        <is>
          <t>Tidak</t>
        </is>
      </c>
      <c r="AG11" s="112">
        <f>COUNTIFS(G3:G748,"Sangat Pendek",J3:J748,"Tidak")</f>
        <v/>
      </c>
      <c r="AI11" s="113" t="n"/>
      <c r="AJ11" s="111" t="inlineStr">
        <is>
          <t>Tidak</t>
        </is>
      </c>
      <c r="AK11" s="109">
        <f>COUNTIFS(H3:H748,"Risiko Gizi Lebih",J3:J748,"Tidak")</f>
        <v/>
      </c>
    </row>
    <row r="12" ht="15.75" customHeight="1" s="95">
      <c r="A12" s="97" t="inlineStr">
        <is>
          <t>anonymus0756</t>
        </is>
      </c>
      <c r="B12" s="97" t="inlineStr">
        <is>
          <t>L</t>
        </is>
      </c>
      <c r="C12" s="97" t="inlineStr">
        <is>
          <t>1-34 Bulan</t>
        </is>
      </c>
      <c r="D12" s="97" t="n">
        <v>4.1</v>
      </c>
      <c r="E12" s="97" t="n">
        <v>53</v>
      </c>
      <c r="F12" s="97" t="inlineStr">
        <is>
          <t>Normal</t>
        </is>
      </c>
      <c r="G12" s="97" t="inlineStr">
        <is>
          <t>Pendek</t>
        </is>
      </c>
      <c r="H12" s="97" t="inlineStr">
        <is>
          <t>Gizi Buruk</t>
        </is>
      </c>
      <c r="I12" s="97" t="inlineStr">
        <is>
          <t>Ya</t>
        </is>
      </c>
      <c r="J12" s="126" t="inlineStr">
        <is>
          <t>Potensi Stunting</t>
        </is>
      </c>
      <c r="K12" s="97">
        <f>($Q$4/$Q$3)*(IF(B12="L",$T$15,$T$16))*(IF(C12="1-34 Bulan",$T$21,$T$22))*(IF(F12="Risiko Lebih",$T$27,IF(F12="Normal",$T$28,IF(F12="Kurang",$T$29,$T$30))))*(IF(G12="Normal",$T$35,IF(G12="Pendek",$T$36,$T$37)))*(IF(H12="Gizi Buruk",$T$42,IF(H12="Gizi Lebih",$T$43,IF(H12="Risiko Gizi Lebih",$T$44,IF(H12="Gizi Baik",$T$45,$T$46)))))*(IF(I12="Ya",$T$51,$T$52))</f>
        <v/>
      </c>
      <c r="L12" s="97">
        <f>($Q$5/$Q$3)*(IF(B12="L",$U$15,$U$16))*(IF(C12="1-34 Bulan",$U$21,$U$22))*(IF(F12="Risiko Lebih",$U$27,IF(F12="Normal",$U$28,IF(F12="Kurang",$U$29,$U$30))))*(IF(G12="Normal",$U$35,IF(G12="Pendek",$U$36,$U$37)))*(IF(H12="Gizi Buruk",$U$42,IF(H12="Gizi Lebih",$U$43,IF(H12="Risiko Gizi Lebih",$U$44,IF(H12="Gizi Baik",$U$45,$U$46)))))*(IF(I12="Ya",$U$51,$U$52))</f>
        <v/>
      </c>
      <c r="M12" s="113">
        <f>($Q$6/$Q$3)*(IF(B12="L",$V$15,$V$16))*(IF(C12="1-34 Bulan",$V$21,$V$22))*(IF(F12="Risiko Lebih",$V$27,IF(F12="Normal",$V$28,IF(F12="Kurang",$V$29,$V$30))))*(IF(G12="Normal",$V$35,IF(G12="Pendek",$V$36,$V$37)))*(IF(H12="Gizi Buruk",$V$42,IF(H12="Gizi Lebih",$V$43,IF(H12="Risiko Gizi Lebih",$V$44,IF(H12="Gizi Baik",$V$45,$V$46)))))*(IF(I12="Ya",$V$51,$V$52))</f>
        <v/>
      </c>
      <c r="N12" s="97">
        <f>IF(K12=MAX(K12,L12,M12),"Stunting",IF(L12=MAX(K12,L12,M12),"Potensi Stunting","Tidak"))</f>
        <v/>
      </c>
      <c r="AA12" s="112" t="inlineStr">
        <is>
          <t>Sangat Kurang</t>
        </is>
      </c>
      <c r="AB12" s="129" t="inlineStr">
        <is>
          <t>Stunting</t>
        </is>
      </c>
      <c r="AC12" s="112">
        <f>COUNTIFS(F3:F748,"Sangat Kurang",J3:J748,"Stunting")</f>
        <v/>
      </c>
      <c r="AG12" s="119">
        <f>SUM(AG3:AG11)</f>
        <v/>
      </c>
      <c r="AI12" s="113" t="inlineStr">
        <is>
          <t>Gizi Baik</t>
        </is>
      </c>
      <c r="AJ12" s="111" t="inlineStr">
        <is>
          <t>Stunting</t>
        </is>
      </c>
      <c r="AK12" s="109">
        <f>COUNTIFS(H3:H748,"Gizi Baik",J3:J748,"Stunting")</f>
        <v/>
      </c>
    </row>
    <row r="13" ht="15.75" customHeight="1" s="95">
      <c r="A13" s="97" t="inlineStr">
        <is>
          <t>anonymus0757</t>
        </is>
      </c>
      <c r="B13" s="97" t="inlineStr">
        <is>
          <t>L</t>
        </is>
      </c>
      <c r="C13" s="97" t="inlineStr">
        <is>
          <t>35-69 Bulan</t>
        </is>
      </c>
      <c r="D13" s="97" t="n">
        <v>11.4</v>
      </c>
      <c r="E13" s="97" t="n">
        <v>114</v>
      </c>
      <c r="F13" s="97" t="inlineStr">
        <is>
          <t>Normal</t>
        </is>
      </c>
      <c r="G13" s="97" t="inlineStr">
        <is>
          <t>Normal</t>
        </is>
      </c>
      <c r="H13" s="97" t="inlineStr">
        <is>
          <t>Gizi Baik</t>
        </is>
      </c>
      <c r="I13" s="97" t="inlineStr">
        <is>
          <t>Ya</t>
        </is>
      </c>
      <c r="J13" s="126" t="inlineStr">
        <is>
          <t>Tidak</t>
        </is>
      </c>
      <c r="K13" s="97">
        <f>($Q$4/$Q$3)*(IF(B13="L",$T$15,$T$16))*(IF(C13="1-34 Bulan",$T$21,$T$22))*(IF(F13="Risiko Lebih",$T$27,IF(F13="Normal",$T$28,IF(F13="Kurang",$T$29,$T$30))))*(IF(G13="Normal",$T$35,IF(G13="Pendek",$T$36,$T$37)))*(IF(H13="Gizi Buruk",$T$42,IF(H13="Gizi Lebih",$T$43,IF(H13="Risiko Gizi Lebih",$T$44,IF(H13="Gizi Baik",$T$45,$T$46)))))*(IF(I13="Ya",$T$51,$T$52))</f>
        <v/>
      </c>
      <c r="L13" s="97">
        <f>($Q$5/$Q$3)*(IF(B13="L",$U$15,$U$16))*(IF(C13="1-34 Bulan",$U$21,$U$22))*(IF(F13="Risiko Lebih",$U$27,IF(F13="Normal",$U$28,IF(F13="Kurang",$U$29,$U$30))))*(IF(G13="Normal",$U$35,IF(G13="Pendek",$U$36,$U$37)))*(IF(H13="Gizi Buruk",$U$42,IF(H13="Gizi Lebih",$U$43,IF(H13="Risiko Gizi Lebih",$U$44,IF(H13="Gizi Baik",$U$45,$U$46)))))*(IF(I13="Ya",$U$51,$U$52))</f>
        <v/>
      </c>
      <c r="M13" s="113">
        <f>($Q$6/$Q$3)*(IF(B13="L",$V$15,$V$16))*(IF(C13="1-34 Bulan",$V$21,$V$22))*(IF(F13="Risiko Lebih",$V$27,IF(F13="Normal",$V$28,IF(F13="Kurang",$V$29,$V$30))))*(IF(G13="Normal",$V$35,IF(G13="Pendek",$V$36,$V$37)))*(IF(H13="Gizi Buruk",$V$42,IF(H13="Gizi Lebih",$V$43,IF(H13="Risiko Gizi Lebih",$V$44,IF(H13="Gizi Baik",$V$45,$V$46)))))*(IF(I13="Ya",$V$51,$V$52))</f>
        <v/>
      </c>
      <c r="N13" s="97">
        <f>IF(K13=MAX(K13,L13,M13),"Stunting",IF(L13=MAX(K13,L13,M13),"Potensi Stunting","Tidak"))</f>
        <v/>
      </c>
      <c r="P13" s="115" t="inlineStr">
        <is>
          <t>Jumlah kejadian</t>
        </is>
      </c>
      <c r="Q13" s="116" t="n"/>
      <c r="R13" s="117" t="n"/>
      <c r="S13" s="115" t="n"/>
      <c r="T13" s="115" t="inlineStr">
        <is>
          <t>Probabilitas</t>
        </is>
      </c>
      <c r="U13" s="116" t="n"/>
      <c r="V13" s="117" t="n"/>
      <c r="AA13" s="112" t="n"/>
      <c r="AB13" s="129" t="inlineStr">
        <is>
          <t>Potensi Stunting</t>
        </is>
      </c>
      <c r="AC13" s="112">
        <f>COUNTIFS(F3:F748,"Sangat Kurang",J3:J748,"Potensi Stunting")</f>
        <v/>
      </c>
      <c r="AI13" s="113" t="n"/>
      <c r="AJ13" s="111" t="inlineStr">
        <is>
          <t>Potensi Stunting</t>
        </is>
      </c>
      <c r="AK13" s="109">
        <f>COUNTIFS(H3:H748,"Gizi Baik",J3:J748,"Potensi Stunting")</f>
        <v/>
      </c>
    </row>
    <row r="14" ht="15.75" customHeight="1" s="95">
      <c r="A14" s="97" t="inlineStr">
        <is>
          <t>anonymus0758</t>
        </is>
      </c>
      <c r="B14" s="97" t="inlineStr">
        <is>
          <t>L</t>
        </is>
      </c>
      <c r="C14" s="97" t="inlineStr">
        <is>
          <t>1-34 Bulan</t>
        </is>
      </c>
      <c r="D14" s="97" t="n">
        <v>9.1</v>
      </c>
      <c r="E14" s="97" t="n">
        <v>76</v>
      </c>
      <c r="F14" s="97" t="inlineStr">
        <is>
          <t>Normal</t>
        </is>
      </c>
      <c r="G14" s="97" t="inlineStr">
        <is>
          <t>Normal</t>
        </is>
      </c>
      <c r="H14" s="97" t="inlineStr">
        <is>
          <t>Gizi Baik</t>
        </is>
      </c>
      <c r="I14" s="97" t="inlineStr">
        <is>
          <t>Ya</t>
        </is>
      </c>
      <c r="J14" s="126" t="inlineStr">
        <is>
          <t>Tidak</t>
        </is>
      </c>
      <c r="K14" s="97">
        <f>($Q$4/$Q$3)*(IF(B14="L",$T$15,$T$16))*(IF(C14="1-34 Bulan",$T$21,$T$22))*(IF(F14="Risiko Lebih",$T$27,IF(F14="Normal",$T$28,IF(F14="Kurang",$T$29,$T$30))))*(IF(G14="Normal",$T$35,IF(G14="Pendek",$T$36,$T$37)))*(IF(H14="Gizi Buruk",$T$42,IF(H14="Gizi Lebih",$T$43,IF(H14="Risiko Gizi Lebih",$T$44,IF(H14="Gizi Baik",$T$45,$T$46)))))*(IF(I14="Ya",$T$51,$T$52))</f>
        <v/>
      </c>
      <c r="L14" s="97">
        <f>($Q$5/$Q$3)*(IF(B14="L",$U$15,$U$16))*(IF(C14="1-34 Bulan",$U$21,$U$22))*(IF(F14="Risiko Lebih",$U$27,IF(F14="Normal",$U$28,IF(F14="Kurang",$U$29,$U$30))))*(IF(G14="Normal",$U$35,IF(G14="Pendek",$U$36,$U$37)))*(IF(H14="Gizi Buruk",$U$42,IF(H14="Gizi Lebih",$U$43,IF(H14="Risiko Gizi Lebih",$U$44,IF(H14="Gizi Baik",$U$45,$U$46)))))*(IF(I14="Ya",$U$51,$U$52))</f>
        <v/>
      </c>
      <c r="M14" s="113">
        <f>($Q$6/$Q$3)*(IF(B14="L",$V$15,$V$16))*(IF(C14="1-34 Bulan",$V$21,$V$22))*(IF(F14="Risiko Lebih",$V$27,IF(F14="Normal",$V$28,IF(F14="Kurang",$V$29,$V$30))))*(IF(G14="Normal",$V$35,IF(G14="Pendek",$V$36,$V$37)))*(IF(H14="Gizi Buruk",$V$42,IF(H14="Gizi Lebih",$V$43,IF(H14="Risiko Gizi Lebih",$V$44,IF(H14="Gizi Baik",$V$45,$V$46)))))*(IF(I14="Ya",$V$51,$V$52))</f>
        <v/>
      </c>
      <c r="N14" s="97">
        <f>IF(K14=MAX(K14,L14,M14),"Stunting",IF(L14=MAX(K14,L14,M14),"Potensi Stunting","Tidak"))</f>
        <v/>
      </c>
      <c r="P14" s="115" t="inlineStr">
        <is>
          <t>Jenis Kelamin</t>
        </is>
      </c>
      <c r="Q14" s="115" t="inlineStr">
        <is>
          <t>Stunting</t>
        </is>
      </c>
      <c r="R14" s="115" t="inlineStr">
        <is>
          <t>Potensi Stunting</t>
        </is>
      </c>
      <c r="S14" s="115" t="inlineStr">
        <is>
          <t>Tidak</t>
        </is>
      </c>
      <c r="T14" s="115" t="inlineStr">
        <is>
          <t>Stunting</t>
        </is>
      </c>
      <c r="U14" s="115" t="inlineStr">
        <is>
          <t>Potensi Stuting</t>
        </is>
      </c>
      <c r="V14" s="115" t="inlineStr">
        <is>
          <t>Tidak</t>
        </is>
      </c>
      <c r="AA14" s="112" t="n"/>
      <c r="AB14" s="129" t="inlineStr">
        <is>
          <t>Tidak</t>
        </is>
      </c>
      <c r="AC14" s="112">
        <f>COUNTIFS(F3:F748,"Sangat Kurang",J3:J748,"Tidak")</f>
        <v/>
      </c>
      <c r="AI14" s="113" t="n"/>
      <c r="AJ14" s="111" t="inlineStr">
        <is>
          <t>Tidak</t>
        </is>
      </c>
      <c r="AK14" s="109">
        <f>COUNTIFS(H3:H748,"Gizi Baik",J3:J748,"Tidak")</f>
        <v/>
      </c>
    </row>
    <row r="15" ht="15.75" customHeight="1" s="95">
      <c r="A15" s="97" t="inlineStr">
        <is>
          <t>anonymus0759</t>
        </is>
      </c>
      <c r="B15" s="97" t="inlineStr">
        <is>
          <t>L</t>
        </is>
      </c>
      <c r="C15" s="97" t="inlineStr">
        <is>
          <t>35-69 Bulan</t>
        </is>
      </c>
      <c r="D15" s="97" t="n">
        <v>12.8</v>
      </c>
      <c r="E15" s="97" t="n">
        <v>104</v>
      </c>
      <c r="F15" s="97" t="inlineStr">
        <is>
          <t>Normal</t>
        </is>
      </c>
      <c r="G15" s="97" t="inlineStr">
        <is>
          <t>Normal</t>
        </is>
      </c>
      <c r="H15" s="97" t="inlineStr">
        <is>
          <t>Gizi Baik</t>
        </is>
      </c>
      <c r="I15" s="97" t="inlineStr">
        <is>
          <t>Ya</t>
        </is>
      </c>
      <c r="J15" s="126" t="inlineStr">
        <is>
          <t>Tidak</t>
        </is>
      </c>
      <c r="K15" s="97">
        <f>($Q$4/$Q$3)*(IF(B15="L",$T$15,$T$16))*(IF(C15="1-34 Bulan",$T$21,$T$22))*(IF(F15="Risiko Lebih",$T$27,IF(F15="Normal",$T$28,IF(F15="Kurang",$T$29,$T$30))))*(IF(G15="Normal",$T$35,IF(G15="Pendek",$T$36,$T$37)))*(IF(H15="Gizi Buruk",$T$42,IF(H15="Gizi Lebih",$T$43,IF(H15="Risiko Gizi Lebih",$T$44,IF(H15="Gizi Baik",$T$45,$T$46)))))*(IF(I15="Ya",$T$51,$T$52))</f>
        <v/>
      </c>
      <c r="L15" s="97">
        <f>($Q$5/$Q$3)*(IF(B15="L",$U$15,$U$16))*(IF(C15="1-34 Bulan",$U$21,$U$22))*(IF(F15="Risiko Lebih",$U$27,IF(F15="Normal",$U$28,IF(F15="Kurang",$U$29,$U$30))))*(IF(G15="Normal",$U$35,IF(G15="Pendek",$U$36,$U$37)))*(IF(H15="Gizi Buruk",$U$42,IF(H15="Gizi Lebih",$U$43,IF(H15="Risiko Gizi Lebih",$U$44,IF(H15="Gizi Baik",$U$45,$U$46)))))*(IF(I15="Ya",$U$51,$U$52))</f>
        <v/>
      </c>
      <c r="M15" s="113">
        <f>($Q$6/$Q$3)*(IF(B15="L",$V$15,$V$16))*(IF(C15="1-34 Bulan",$V$21,$V$22))*(IF(F15="Risiko Lebih",$V$27,IF(F15="Normal",$V$28,IF(F15="Kurang",$V$29,$V$30))))*(IF(G15="Normal",$V$35,IF(G15="Pendek",$V$36,$V$37)))*(IF(H15="Gizi Buruk",$V$42,IF(H15="Gizi Lebih",$V$43,IF(H15="Risiko Gizi Lebih",$V$44,IF(H15="Gizi Baik",$V$45,$V$46)))))*(IF(I15="Ya",$V$51,$V$52))</f>
        <v/>
      </c>
      <c r="N15" s="97">
        <f>IF(K15=MAX(K15,L15,M15),"Stunting",IF(L15=MAX(K15,L15,M15),"Potensi Stunting","Tidak"))</f>
        <v/>
      </c>
      <c r="P15" s="112" t="inlineStr">
        <is>
          <t>Laki-laki</t>
        </is>
      </c>
      <c r="Q15" s="112">
        <f>U3</f>
        <v/>
      </c>
      <c r="R15" s="112">
        <f>U4</f>
        <v/>
      </c>
      <c r="S15" s="112">
        <f>U5</f>
        <v/>
      </c>
      <c r="T15" s="112">
        <f>Q15/Q17</f>
        <v/>
      </c>
      <c r="U15" s="112">
        <f>R15/R17</f>
        <v/>
      </c>
      <c r="V15" s="112">
        <f>S15/S17</f>
        <v/>
      </c>
      <c r="AC15" s="119">
        <f>SUM(AC3:AC14)</f>
        <v/>
      </c>
      <c r="AI15" s="113" t="inlineStr">
        <is>
          <t>Gizi Kurang</t>
        </is>
      </c>
      <c r="AJ15" s="111" t="inlineStr">
        <is>
          <t>Stunting</t>
        </is>
      </c>
      <c r="AK15" s="109">
        <f>COUNTIFS(H3:H748,"Gizi Kurang",J3:J748,"Stunting")</f>
        <v/>
      </c>
    </row>
    <row r="16" ht="15.75" customHeight="1" s="95">
      <c r="A16" s="97" t="inlineStr">
        <is>
          <t>anonymus0760</t>
        </is>
      </c>
      <c r="B16" s="97" t="inlineStr">
        <is>
          <t>P</t>
        </is>
      </c>
      <c r="C16" s="97" t="inlineStr">
        <is>
          <t>1-34 Bulan</t>
        </is>
      </c>
      <c r="D16" s="97" t="n">
        <v>11.8</v>
      </c>
      <c r="E16" s="97" t="n">
        <v>93</v>
      </c>
      <c r="F16" s="97" t="inlineStr">
        <is>
          <t>Normal</t>
        </is>
      </c>
      <c r="G16" s="97" t="inlineStr">
        <is>
          <t>Normal</t>
        </is>
      </c>
      <c r="H16" s="97" t="inlineStr">
        <is>
          <t>Gizi Baik</t>
        </is>
      </c>
      <c r="I16" s="97" t="inlineStr">
        <is>
          <t>Ya</t>
        </is>
      </c>
      <c r="J16" s="126" t="inlineStr">
        <is>
          <t>Tidak</t>
        </is>
      </c>
      <c r="K16" s="97">
        <f>($Q$4/$Q$3)*(IF(B16="L",$T$15,$T$16))*(IF(C16="1-34 Bulan",$T$21,$T$22))*(IF(F16="Risiko Lebih",$T$27,IF(F16="Normal",$T$28,IF(F16="Kurang",$T$29,$T$30))))*(IF(G16="Normal",$T$35,IF(G16="Pendek",$T$36,$T$37)))*(IF(H16="Gizi Buruk",$T$42,IF(H16="Gizi Lebih",$T$43,IF(H16="Risiko Gizi Lebih",$T$44,IF(H16="Gizi Baik",$T$45,$T$46)))))*(IF(I16="Ya",$T$51,$T$52))</f>
        <v/>
      </c>
      <c r="L16" s="97">
        <f>($Q$5/$Q$3)*(IF(B16="L",$U$15,$U$16))*(IF(C16="1-34 Bulan",$U$21,$U$22))*(IF(F16="Risiko Lebih",$U$27,IF(F16="Normal",$U$28,IF(F16="Kurang",$U$29,$U$30))))*(IF(G16="Normal",$U$35,IF(G16="Pendek",$U$36,$U$37)))*(IF(H16="Gizi Buruk",$U$42,IF(H16="Gizi Lebih",$U$43,IF(H16="Risiko Gizi Lebih",$U$44,IF(H16="Gizi Baik",$U$45,$U$46)))))*(IF(I16="Ya",$U$51,$U$52))</f>
        <v/>
      </c>
      <c r="M16" s="113">
        <f>($Q$6/$Q$3)*(IF(B16="L",$V$15,$V$16))*(IF(C16="1-34 Bulan",$V$21,$V$22))*(IF(F16="Risiko Lebih",$V$27,IF(F16="Normal",$V$28,IF(F16="Kurang",$V$29,$V$30))))*(IF(G16="Normal",$V$35,IF(G16="Pendek",$V$36,$V$37)))*(IF(H16="Gizi Buruk",$V$42,IF(H16="Gizi Lebih",$V$43,IF(H16="Risiko Gizi Lebih",$V$44,IF(H16="Gizi Baik",$V$45,$V$46)))))*(IF(I16="Ya",$V$51,$V$52))</f>
        <v/>
      </c>
      <c r="N16" s="97">
        <f>IF(K16=MAX(K16,L16,M16),"Stunting",IF(L16=MAX(K16,L16,M16),"Potensi Stunting","Tidak"))</f>
        <v/>
      </c>
      <c r="P16" s="112" t="inlineStr">
        <is>
          <t>Perempuan</t>
        </is>
      </c>
      <c r="Q16" s="112">
        <f>U6</f>
        <v/>
      </c>
      <c r="R16" s="112">
        <f>U7</f>
        <v/>
      </c>
      <c r="S16" s="112">
        <f>U8</f>
        <v/>
      </c>
      <c r="T16" s="112">
        <f>Q16/Q17</f>
        <v/>
      </c>
      <c r="U16" s="112">
        <f>R16/R17</f>
        <v/>
      </c>
      <c r="V16" s="112">
        <f>S16/S17</f>
        <v/>
      </c>
      <c r="AI16" s="113" t="n"/>
      <c r="AJ16" s="111" t="inlineStr">
        <is>
          <t>Potensi Stunting</t>
        </is>
      </c>
      <c r="AK16" s="109">
        <f>COUNTIFS(H3:H748,"Gizi Kurang",J3:J748,"Potensi Stunting")</f>
        <v/>
      </c>
    </row>
    <row r="17" ht="15.75" customHeight="1" s="95">
      <c r="A17" s="97" t="inlineStr">
        <is>
          <t>anonymus0761</t>
        </is>
      </c>
      <c r="B17" s="97" t="inlineStr">
        <is>
          <t>P</t>
        </is>
      </c>
      <c r="C17" s="97" t="inlineStr">
        <is>
          <t>35-69 Bulan</t>
        </is>
      </c>
      <c r="D17" s="97" t="n">
        <v>18.8</v>
      </c>
      <c r="E17" s="97" t="n">
        <v>101</v>
      </c>
      <c r="F17" s="97" t="inlineStr">
        <is>
          <t>Risiko Lebih</t>
        </is>
      </c>
      <c r="G17" s="97" t="inlineStr">
        <is>
          <t>Normal</t>
        </is>
      </c>
      <c r="H17" s="97" t="inlineStr">
        <is>
          <t>Gizi Lebih</t>
        </is>
      </c>
      <c r="I17" s="97" t="inlineStr">
        <is>
          <t>Ya</t>
        </is>
      </c>
      <c r="J17" s="126" t="inlineStr">
        <is>
          <t>Tidak</t>
        </is>
      </c>
      <c r="K17" s="97">
        <f>($Q$4/$Q$3)*(IF(B17="L",$T$15,$T$16))*(IF(C17="1-34 Bulan",$T$21,$T$22))*(IF(F17="Risiko Lebih",$T$27,IF(F17="Normal",$T$28,IF(F17="Kurang",$T$29,$T$30))))*(IF(G17="Normal",$T$35,IF(G17="Pendek",$T$36,$T$37)))*(IF(H17="Gizi Buruk",$T$42,IF(H17="Gizi Lebih",$T$43,IF(H17="Risiko Gizi Lebih",$T$44,IF(H17="Gizi Baik",$T$45,$T$46)))))*(IF(I17="Ya",$T$51,$T$52))</f>
        <v/>
      </c>
      <c r="L17" s="97">
        <f>($Q$5/$Q$3)*(IF(B17="L",$U$15,$U$16))*(IF(C17="1-34 Bulan",$U$21,$U$22))*(IF(F17="Risiko Lebih",$U$27,IF(F17="Normal",$U$28,IF(F17="Kurang",$U$29,$U$30))))*(IF(G17="Normal",$U$35,IF(G17="Pendek",$U$36,$U$37)))*(IF(H17="Gizi Buruk",$U$42,IF(H17="Gizi Lebih",$U$43,IF(H17="Risiko Gizi Lebih",$U$44,IF(H17="Gizi Baik",$U$45,$U$46)))))*(IF(I17="Ya",$U$51,$U$52))</f>
        <v/>
      </c>
      <c r="M17" s="113">
        <f>($Q$6/$Q$3)*(IF(B17="L",$V$15,$V$16))*(IF(C17="1-34 Bulan",$V$21,$V$22))*(IF(F17="Risiko Lebih",$V$27,IF(F17="Normal",$V$28,IF(F17="Kurang",$V$29,$V$30))))*(IF(G17="Normal",$V$35,IF(G17="Pendek",$V$36,$V$37)))*(IF(H17="Gizi Buruk",$V$42,IF(H17="Gizi Lebih",$V$43,IF(H17="Risiko Gizi Lebih",$V$44,IF(H17="Gizi Baik",$V$45,$V$46)))))*(IF(I17="Ya",$V$51,$V$52))</f>
        <v/>
      </c>
      <c r="N17" s="97">
        <f>IF(K17=MAX(K17,L17,M17),"Stunting",IF(L17=MAX(K17,L17,M17),"Potensi Stunting","Tidak"))</f>
        <v/>
      </c>
      <c r="P17" s="112" t="n"/>
      <c r="Q17" s="112">
        <f>SUM(Q15:Q16)</f>
        <v/>
      </c>
      <c r="R17" s="112">
        <f>SUM(R15:R16)</f>
        <v/>
      </c>
      <c r="S17" s="112">
        <f>SUM(S15:S16)</f>
        <v/>
      </c>
      <c r="T17" s="112">
        <f>SUM(T15:T16)</f>
        <v/>
      </c>
      <c r="U17" s="112">
        <f>SUM(U15:U16)</f>
        <v/>
      </c>
      <c r="V17" s="112">
        <f>SUM(V15:V16)</f>
        <v/>
      </c>
      <c r="AI17" s="113" t="n"/>
      <c r="AJ17" s="111" t="inlineStr">
        <is>
          <t>Tidak</t>
        </is>
      </c>
      <c r="AK17" s="109">
        <f>COUNTIFS(H3:H748,"Gizi Kurang",J3:J748,"Tidak")</f>
        <v/>
      </c>
    </row>
    <row r="18" ht="15.75" customHeight="1" s="95">
      <c r="A18" s="97" t="inlineStr">
        <is>
          <t>anonymus0762</t>
        </is>
      </c>
      <c r="B18" s="97" t="inlineStr">
        <is>
          <t>P</t>
        </is>
      </c>
      <c r="C18" s="97" t="inlineStr">
        <is>
          <t>35-69 Bulan</t>
        </is>
      </c>
      <c r="D18" s="97" t="n">
        <v>12.8</v>
      </c>
      <c r="E18" s="97" t="n">
        <v>91</v>
      </c>
      <c r="F18" s="97" t="inlineStr">
        <is>
          <t>Normal</t>
        </is>
      </c>
      <c r="G18" s="97" t="inlineStr">
        <is>
          <t>Normal</t>
        </is>
      </c>
      <c r="H18" s="97" t="inlineStr">
        <is>
          <t>Gizi Baik</t>
        </is>
      </c>
      <c r="I18" s="97" t="inlineStr">
        <is>
          <t>Ya</t>
        </is>
      </c>
      <c r="J18" s="126" t="inlineStr">
        <is>
          <t>Tidak</t>
        </is>
      </c>
      <c r="K18" s="97">
        <f>($Q$4/$Q$3)*(IF(B18="L",$T$15,$T$16))*(IF(C18="1-34 Bulan",$T$21,$T$22))*(IF(F18="Risiko Lebih",$T$27,IF(F18="Normal",$T$28,IF(F18="Kurang",$T$29,$T$30))))*(IF(G18="Normal",$T$35,IF(G18="Pendek",$T$36,$T$37)))*(IF(H18="Gizi Buruk",$T$42,IF(H18="Gizi Lebih",$T$43,IF(H18="Risiko Gizi Lebih",$T$44,IF(H18="Gizi Baik",$T$45,$T$46)))))*(IF(I18="Ya",$T$51,$T$52))</f>
        <v/>
      </c>
      <c r="L18" s="97">
        <f>($Q$5/$Q$3)*(IF(B18="L",$U$15,$U$16))*(IF(C18="1-34 Bulan",$U$21,$U$22))*(IF(F18="Risiko Lebih",$U$27,IF(F18="Normal",$U$28,IF(F18="Kurang",$U$29,$U$30))))*(IF(G18="Normal",$U$35,IF(G18="Pendek",$U$36,$U$37)))*(IF(H18="Gizi Buruk",$U$42,IF(H18="Gizi Lebih",$U$43,IF(H18="Risiko Gizi Lebih",$U$44,IF(H18="Gizi Baik",$U$45,$U$46)))))*(IF(I18="Ya",$U$51,$U$52))</f>
        <v/>
      </c>
      <c r="M18" s="113">
        <f>($Q$6/$Q$3)*(IF(B18="L",$V$15,$V$16))*(IF(C18="1-34 Bulan",$V$21,$V$22))*(IF(F18="Risiko Lebih",$V$27,IF(F18="Normal",$V$28,IF(F18="Kurang",$V$29,$V$30))))*(IF(G18="Normal",$V$35,IF(G18="Pendek",$V$36,$V$37)))*(IF(H18="Gizi Buruk",$V$42,IF(H18="Gizi Lebih",$V$43,IF(H18="Risiko Gizi Lebih",$V$44,IF(H18="Gizi Baik",$V$45,$V$46)))))*(IF(I18="Ya",$V$51,$V$52))</f>
        <v/>
      </c>
      <c r="N18" s="97">
        <f>IF(K18=MAX(K18,L18,M18),"Stunting",IF(L18=MAX(K18,L18,M18),"Potensi Stunting","Tidak"))</f>
        <v/>
      </c>
      <c r="AK18" s="119">
        <f>SUM(AK3:AK17)</f>
        <v/>
      </c>
    </row>
    <row r="19" ht="15.75" customHeight="1" s="95">
      <c r="A19" s="97" t="inlineStr">
        <is>
          <t>anonymus0763</t>
        </is>
      </c>
      <c r="B19" s="97" t="inlineStr">
        <is>
          <t>P</t>
        </is>
      </c>
      <c r="C19" s="97" t="inlineStr">
        <is>
          <t>1-34 Bulan</t>
        </is>
      </c>
      <c r="D19" s="97" t="n">
        <v>14.2</v>
      </c>
      <c r="E19" s="97" t="n">
        <v>95</v>
      </c>
      <c r="F19" s="97" t="inlineStr">
        <is>
          <t>Normal</t>
        </is>
      </c>
      <c r="G19" s="97" t="inlineStr">
        <is>
          <t>Normal</t>
        </is>
      </c>
      <c r="H19" s="97" t="inlineStr">
        <is>
          <t>Gizi Baik</t>
        </is>
      </c>
      <c r="I19" s="97" t="inlineStr">
        <is>
          <t>Ya</t>
        </is>
      </c>
      <c r="J19" s="126" t="inlineStr">
        <is>
          <t>Tidak</t>
        </is>
      </c>
      <c r="K19" s="97">
        <f>($Q$4/$Q$3)*(IF(B19="L",$T$15,$T$16))*(IF(C19="1-34 Bulan",$T$21,$T$22))*(IF(F19="Risiko Lebih",$T$27,IF(F19="Normal",$T$28,IF(F19="Kurang",$T$29,$T$30))))*(IF(G19="Normal",$T$35,IF(G19="Pendek",$T$36,$T$37)))*(IF(H19="Gizi Buruk",$T$42,IF(H19="Gizi Lebih",$T$43,IF(H19="Risiko Gizi Lebih",$T$44,IF(H19="Gizi Baik",$T$45,$T$46)))))*(IF(I19="Ya",$T$51,$T$52))</f>
        <v/>
      </c>
      <c r="L19" s="97">
        <f>($Q$5/$Q$3)*(IF(B19="L",$U$15,$U$16))*(IF(C19="1-34 Bulan",$U$21,$U$22))*(IF(F19="Risiko Lebih",$U$27,IF(F19="Normal",$U$28,IF(F19="Kurang",$U$29,$U$30))))*(IF(G19="Normal",$U$35,IF(G19="Pendek",$U$36,$U$37)))*(IF(H19="Gizi Buruk",$U$42,IF(H19="Gizi Lebih",$U$43,IF(H19="Risiko Gizi Lebih",$U$44,IF(H19="Gizi Baik",$U$45,$U$46)))))*(IF(I19="Ya",$U$51,$U$52))</f>
        <v/>
      </c>
      <c r="M19" s="113">
        <f>($Q$6/$Q$3)*(IF(B19="L",$V$15,$V$16))*(IF(C19="1-34 Bulan",$V$21,$V$22))*(IF(F19="Risiko Lebih",$V$27,IF(F19="Normal",$V$28,IF(F19="Kurang",$V$29,$V$30))))*(IF(G19="Normal",$V$35,IF(G19="Pendek",$V$36,$V$37)))*(IF(H19="Gizi Buruk",$V$42,IF(H19="Gizi Lebih",$V$43,IF(H19="Risiko Gizi Lebih",$V$44,IF(H19="Gizi Baik",$V$45,$V$46)))))*(IF(I19="Ya",$V$51,$V$52))</f>
        <v/>
      </c>
      <c r="N19" s="97">
        <f>IF(K19=MAX(K19,L19,M19),"Stunting",IF(L19=MAX(K19,L19,M19),"Potensi Stunting","Tidak"))</f>
        <v/>
      </c>
      <c r="P19" s="115" t="inlineStr">
        <is>
          <t>Jumlah kejadian</t>
        </is>
      </c>
      <c r="Q19" s="116" t="n"/>
      <c r="R19" s="117" t="n"/>
      <c r="S19" s="115" t="n"/>
      <c r="T19" s="115" t="inlineStr">
        <is>
          <t>Probabilitas</t>
        </is>
      </c>
      <c r="U19" s="116" t="n"/>
      <c r="V19" s="117" t="n"/>
    </row>
    <row r="20" ht="15.75" customHeight="1" s="95">
      <c r="A20" s="97" t="inlineStr">
        <is>
          <t>anonymus0764</t>
        </is>
      </c>
      <c r="B20" s="97" t="inlineStr">
        <is>
          <t>L</t>
        </is>
      </c>
      <c r="C20" s="97" t="inlineStr">
        <is>
          <t>1-34 Bulan</t>
        </is>
      </c>
      <c r="D20" s="97" t="n">
        <v>9</v>
      </c>
      <c r="E20" s="97" t="n">
        <v>84</v>
      </c>
      <c r="F20" s="97" t="inlineStr">
        <is>
          <t>Normal</t>
        </is>
      </c>
      <c r="G20" s="97" t="inlineStr">
        <is>
          <t>Normal</t>
        </is>
      </c>
      <c r="H20" s="97" t="inlineStr">
        <is>
          <t>Gizi Baik</t>
        </is>
      </c>
      <c r="I20" s="97" t="inlineStr">
        <is>
          <t>Ya</t>
        </is>
      </c>
      <c r="J20" s="126" t="inlineStr">
        <is>
          <t>Tidak</t>
        </is>
      </c>
      <c r="K20" s="97">
        <f>($Q$4/$Q$3)*(IF(B20="L",$T$15,$T$16))*(IF(C20="1-34 Bulan",$T$21,$T$22))*(IF(F20="Risiko Lebih",$T$27,IF(F20="Normal",$T$28,IF(F20="Kurang",$T$29,$T$30))))*(IF(G20="Normal",$T$35,IF(G20="Pendek",$T$36,$T$37)))*(IF(H20="Gizi Buruk",$T$42,IF(H20="Gizi Lebih",$T$43,IF(H20="Risiko Gizi Lebih",$T$44,IF(H20="Gizi Baik",$T$45,$T$46)))))*(IF(I20="Ya",$T$51,$T$52))</f>
        <v/>
      </c>
      <c r="L20" s="97">
        <f>($Q$5/$Q$3)*(IF(B20="L",$U$15,$U$16))*(IF(C20="1-34 Bulan",$U$21,$U$22))*(IF(F20="Risiko Lebih",$U$27,IF(F20="Normal",$U$28,IF(F20="Kurang",$U$29,$U$30))))*(IF(G20="Normal",$U$35,IF(G20="Pendek",$U$36,$U$37)))*(IF(H20="Gizi Buruk",$U$42,IF(H20="Gizi Lebih",$U$43,IF(H20="Risiko Gizi Lebih",$U$44,IF(H20="Gizi Baik",$U$45,$U$46)))))*(IF(I20="Ya",$U$51,$U$52))</f>
        <v/>
      </c>
      <c r="M20" s="113">
        <f>($Q$6/$Q$3)*(IF(B20="L",$V$15,$V$16))*(IF(C20="1-34 Bulan",$V$21,$V$22))*(IF(F20="Risiko Lebih",$V$27,IF(F20="Normal",$V$28,IF(F20="Kurang",$V$29,$V$30))))*(IF(G20="Normal",$V$35,IF(G20="Pendek",$V$36,$V$37)))*(IF(H20="Gizi Buruk",$V$42,IF(H20="Gizi Lebih",$V$43,IF(H20="Risiko Gizi Lebih",$V$44,IF(H20="Gizi Baik",$V$45,$V$46)))))*(IF(I20="Ya",$V$51,$V$52))</f>
        <v/>
      </c>
      <c r="N20" s="97">
        <f>IF(K20=MAX(K20,L20,M20),"Stunting",IF(L20=MAX(K20,L20,M20),"Potensi Stunting","Tidak"))</f>
        <v/>
      </c>
      <c r="P20" s="115" t="inlineStr">
        <is>
          <t>Umur</t>
        </is>
      </c>
      <c r="Q20" s="115" t="inlineStr">
        <is>
          <t>Stunting</t>
        </is>
      </c>
      <c r="R20" s="115" t="inlineStr">
        <is>
          <t>Potensi Stunting</t>
        </is>
      </c>
      <c r="S20" s="115" t="inlineStr">
        <is>
          <t>Tidak</t>
        </is>
      </c>
      <c r="T20" s="115" t="inlineStr">
        <is>
          <t>Stunting</t>
        </is>
      </c>
      <c r="U20" s="115" t="inlineStr">
        <is>
          <t>Potensi Stuting</t>
        </is>
      </c>
      <c r="V20" s="115" t="inlineStr">
        <is>
          <t>Tidak</t>
        </is>
      </c>
    </row>
    <row r="21" ht="15.75" customHeight="1" s="95">
      <c r="A21" s="97" t="inlineStr">
        <is>
          <t>anonymus0765</t>
        </is>
      </c>
      <c r="B21" s="97" t="inlineStr">
        <is>
          <t>P</t>
        </is>
      </c>
      <c r="C21" s="97" t="inlineStr">
        <is>
          <t>35-69 Bulan</t>
        </is>
      </c>
      <c r="D21" s="97" t="n">
        <v>10.8</v>
      </c>
      <c r="E21" s="97" t="n">
        <v>86</v>
      </c>
      <c r="F21" s="97" t="inlineStr">
        <is>
          <t>Kurang</t>
        </is>
      </c>
      <c r="G21" s="97" t="inlineStr">
        <is>
          <t>Sangat Pendek</t>
        </is>
      </c>
      <c r="H21" s="97" t="inlineStr">
        <is>
          <t>Gizi Buruk</t>
        </is>
      </c>
      <c r="I21" s="97" t="inlineStr">
        <is>
          <t>Tidak</t>
        </is>
      </c>
      <c r="J21" s="126" t="inlineStr">
        <is>
          <t>Stunting</t>
        </is>
      </c>
      <c r="K21" s="97">
        <f>($Q$4/$Q$3)*(IF(B21="L",$T$15,$T$16))*(IF(C21="1-34 Bulan",$T$21,$T$22))*(IF(F21="Risiko Lebih",$T$27,IF(F21="Normal",$T$28,IF(F21="Kurang",$T$29,$T$30))))*(IF(G21="Normal",$T$35,IF(G21="Pendek",$T$36,$T$37)))*(IF(H21="Gizi Buruk",$T$42,IF(H21="Gizi Lebih",$T$43,IF(H21="Risiko Gizi Lebih",$T$44,IF(H21="Gizi Baik",$T$45,$T$46)))))*(IF(I21="Ya",$T$51,$T$52))</f>
        <v/>
      </c>
      <c r="L21" s="97">
        <f>($Q$5/$Q$3)*(IF(B21="L",$U$15,$U$16))*(IF(C21="1-34 Bulan",$U$21,$U$22))*(IF(F21="Risiko Lebih",$U$27,IF(F21="Normal",$U$28,IF(F21="Kurang",$U$29,$U$30))))*(IF(G21="Normal",$U$35,IF(G21="Pendek",$U$36,$U$37)))*(IF(H21="Gizi Buruk",$U$42,IF(H21="Gizi Lebih",$U$43,IF(H21="Risiko Gizi Lebih",$U$44,IF(H21="Gizi Baik",$U$45,$U$46)))))*(IF(I21="Ya",$U$51,$U$52))</f>
        <v/>
      </c>
      <c r="M21" s="113">
        <f>($Q$6/$Q$3)*(IF(B21="L",$V$15,$V$16))*(IF(C21="1-34 Bulan",$V$21,$V$22))*(IF(F21="Risiko Lebih",$V$27,IF(F21="Normal",$V$28,IF(F21="Kurang",$V$29,$V$30))))*(IF(G21="Normal",$V$35,IF(G21="Pendek",$V$36,$V$37)))*(IF(H21="Gizi Buruk",$V$42,IF(H21="Gizi Lebih",$V$43,IF(H21="Risiko Gizi Lebih",$V$44,IF(H21="Gizi Baik",$V$45,$V$46)))))*(IF(I21="Ya",$V$51,$V$52))</f>
        <v/>
      </c>
      <c r="N21" s="97">
        <f>IF(K21=MAX(K21,L21,M21),"Stunting",IF(L21=MAX(K21,L21,M21),"Potensi Stunting","Tidak"))</f>
        <v/>
      </c>
      <c r="P21" s="112" t="inlineStr">
        <is>
          <t>1-34 Bulan</t>
        </is>
      </c>
      <c r="Q21" s="112">
        <f>Y3</f>
        <v/>
      </c>
      <c r="R21" s="112">
        <f>Y4</f>
        <v/>
      </c>
      <c r="S21" s="112">
        <f>Y5</f>
        <v/>
      </c>
      <c r="T21" s="112">
        <f>Q21/Q23</f>
        <v/>
      </c>
      <c r="U21" s="112">
        <f>S21/S23</f>
        <v/>
      </c>
      <c r="V21" s="112">
        <f>S21/S23</f>
        <v/>
      </c>
    </row>
    <row r="22" ht="15.75" customHeight="1" s="95">
      <c r="A22" s="97" t="inlineStr">
        <is>
          <t>anonymus0766</t>
        </is>
      </c>
      <c r="B22" s="97" t="inlineStr">
        <is>
          <t>P</t>
        </is>
      </c>
      <c r="C22" s="97" t="inlineStr">
        <is>
          <t>35-69 Bulan</t>
        </is>
      </c>
      <c r="D22" s="97" t="n">
        <v>18</v>
      </c>
      <c r="E22" s="97" t="n">
        <v>93</v>
      </c>
      <c r="F22" s="97" t="inlineStr">
        <is>
          <t>Risiko Lebih</t>
        </is>
      </c>
      <c r="G22" s="97" t="inlineStr">
        <is>
          <t>Normal</t>
        </is>
      </c>
      <c r="H22" s="97" t="inlineStr">
        <is>
          <t>Gizi Lebih</t>
        </is>
      </c>
      <c r="I22" s="97" t="inlineStr">
        <is>
          <t>Ya</t>
        </is>
      </c>
      <c r="J22" s="126" t="inlineStr">
        <is>
          <t>Tidak</t>
        </is>
      </c>
      <c r="K22" s="97">
        <f>($Q$4/$Q$3)*(IF(B22="L",$T$15,$T$16))*(IF(C22="1-34 Bulan",$T$21,$T$22))*(IF(F22="Risiko Lebih",$T$27,IF(F22="Normal",$T$28,IF(F22="Kurang",$T$29,$T$30))))*(IF(G22="Normal",$T$35,IF(G22="Pendek",$T$36,$T$37)))*(IF(H22="Gizi Buruk",$T$42,IF(H22="Gizi Lebih",$T$43,IF(H22="Risiko Gizi Lebih",$T$44,IF(H22="Gizi Baik",$T$45,$T$46)))))*(IF(I22="Ya",$T$51,$T$52))</f>
        <v/>
      </c>
      <c r="L22" s="97">
        <f>($Q$5/$Q$3)*(IF(B22="L",$U$15,$U$16))*(IF(C22="1-34 Bulan",$U$21,$U$22))*(IF(F22="Risiko Lebih",$U$27,IF(F22="Normal",$U$28,IF(F22="Kurang",$U$29,$U$30))))*(IF(G22="Normal",$U$35,IF(G22="Pendek",$U$36,$U$37)))*(IF(H22="Gizi Buruk",$U$42,IF(H22="Gizi Lebih",$U$43,IF(H22="Risiko Gizi Lebih",$U$44,IF(H22="Gizi Baik",$U$45,$U$46)))))*(IF(I22="Ya",$U$51,$U$52))</f>
        <v/>
      </c>
      <c r="M22" s="113">
        <f>($Q$6/$Q$3)*(IF(B22="L",$V$15,$V$16))*(IF(C22="1-34 Bulan",$V$21,$V$22))*(IF(F22="Risiko Lebih",$V$27,IF(F22="Normal",$V$28,IF(F22="Kurang",$V$29,$V$30))))*(IF(G22="Normal",$V$35,IF(G22="Pendek",$V$36,$V$37)))*(IF(H22="Gizi Buruk",$V$42,IF(H22="Gizi Lebih",$V$43,IF(H22="Risiko Gizi Lebih",$V$44,IF(H22="Gizi Baik",$V$45,$V$46)))))*(IF(I22="Ya",$V$51,$V$52))</f>
        <v/>
      </c>
      <c r="N22" s="97">
        <f>IF(K22=MAX(K22,L22,M22),"Stunting",IF(L22=MAX(K22,L22,M22),"Potensi Stunting","Tidak"))</f>
        <v/>
      </c>
      <c r="P22" s="112" t="inlineStr">
        <is>
          <t>35-69 Bulan</t>
        </is>
      </c>
      <c r="Q22" s="112">
        <f>Y6</f>
        <v/>
      </c>
      <c r="R22" s="112">
        <f>Y7</f>
        <v/>
      </c>
      <c r="S22" s="112">
        <f>Y8</f>
        <v/>
      </c>
      <c r="T22" s="112">
        <f>Q22/Q23</f>
        <v/>
      </c>
      <c r="U22" s="112">
        <f>S22/S23</f>
        <v/>
      </c>
      <c r="V22" s="112">
        <f>S22/S23</f>
        <v/>
      </c>
    </row>
    <row r="23" ht="15.75" customHeight="1" s="95">
      <c r="A23" s="97" t="inlineStr">
        <is>
          <t>anonymus0767</t>
        </is>
      </c>
      <c r="B23" s="97" t="inlineStr">
        <is>
          <t>L</t>
        </is>
      </c>
      <c r="C23" s="97" t="inlineStr">
        <is>
          <t>1-34 Bulan</t>
        </is>
      </c>
      <c r="D23" s="97" t="n">
        <v>9.300000000000001</v>
      </c>
      <c r="E23" s="97" t="n">
        <v>71</v>
      </c>
      <c r="F23" s="97" t="inlineStr">
        <is>
          <t>Normal</t>
        </is>
      </c>
      <c r="G23" s="97" t="inlineStr">
        <is>
          <t>Pendek</t>
        </is>
      </c>
      <c r="H23" s="97" t="inlineStr">
        <is>
          <t>Gizi Baik</t>
        </is>
      </c>
      <c r="I23" s="97" t="inlineStr">
        <is>
          <t>Ya</t>
        </is>
      </c>
      <c r="J23" s="126" t="inlineStr">
        <is>
          <t>Potensi Stunting</t>
        </is>
      </c>
      <c r="K23" s="97">
        <f>($Q$4/$Q$3)*(IF(B23="L",$T$15,$T$16))*(IF(C23="1-34 Bulan",$T$21,$T$22))*(IF(F23="Risiko Lebih",$T$27,IF(F23="Normal",$T$28,IF(F23="Kurang",$T$29,$T$30))))*(IF(G23="Normal",$T$35,IF(G23="Pendek",$T$36,$T$37)))*(IF(H23="Gizi Buruk",$T$42,IF(H23="Gizi Lebih",$T$43,IF(H23="Risiko Gizi Lebih",$T$44,IF(H23="Gizi Baik",$T$45,$T$46)))))*(IF(I23="Ya",$T$51,$T$52))</f>
        <v/>
      </c>
      <c r="L23" s="97">
        <f>($Q$5/$Q$3)*(IF(B23="L",$U$15,$U$16))*(IF(C23="1-34 Bulan",$U$21,$U$22))*(IF(F23="Risiko Lebih",$U$27,IF(F23="Normal",$U$28,IF(F23="Kurang",$U$29,$U$30))))*(IF(G23="Normal",$U$35,IF(G23="Pendek",$U$36,$U$37)))*(IF(H23="Gizi Buruk",$U$42,IF(H23="Gizi Lebih",$U$43,IF(H23="Risiko Gizi Lebih",$U$44,IF(H23="Gizi Baik",$U$45,$U$46)))))*(IF(I23="Ya",$U$51,$U$52))</f>
        <v/>
      </c>
      <c r="M23" s="113">
        <f>($Q$6/$Q$3)*(IF(B23="L",$V$15,$V$16))*(IF(C23="1-34 Bulan",$V$21,$V$22))*(IF(F23="Risiko Lebih",$V$27,IF(F23="Normal",$V$28,IF(F23="Kurang",$V$29,$V$30))))*(IF(G23="Normal",$V$35,IF(G23="Pendek",$V$36,$V$37)))*(IF(H23="Gizi Buruk",$V$42,IF(H23="Gizi Lebih",$V$43,IF(H23="Risiko Gizi Lebih",$V$44,IF(H23="Gizi Baik",$V$45,$V$46)))))*(IF(I23="Ya",$V$51,$V$52))</f>
        <v/>
      </c>
      <c r="N23" s="97">
        <f>IF(K23=MAX(K23,L23,M23),"Stunting",IF(L23=MAX(K23,L23,M23),"Potensi Stunting","Tidak"))</f>
        <v/>
      </c>
      <c r="P23" s="112" t="n"/>
      <c r="Q23" s="112">
        <f>SUM(Q21:Q22)</f>
        <v/>
      </c>
      <c r="R23" s="112">
        <f>SUM(R21:R22)</f>
        <v/>
      </c>
      <c r="S23" s="112">
        <f>SUM(S21:S22)</f>
        <v/>
      </c>
      <c r="T23" s="112">
        <f>SUM(T21:T22)</f>
        <v/>
      </c>
      <c r="U23" s="112">
        <f>SUM(U21:U22)</f>
        <v/>
      </c>
      <c r="V23" s="112">
        <f>SUM(V21:V22)</f>
        <v/>
      </c>
    </row>
    <row r="24" ht="15.75" customHeight="1" s="95">
      <c r="A24" s="97" t="inlineStr">
        <is>
          <t>anonymus0768</t>
        </is>
      </c>
      <c r="B24" s="97" t="inlineStr">
        <is>
          <t>L</t>
        </is>
      </c>
      <c r="C24" s="97" t="inlineStr">
        <is>
          <t>35-69 Bulan</t>
        </is>
      </c>
      <c r="D24" s="97" t="n">
        <v>14.8</v>
      </c>
      <c r="E24" s="97" t="n">
        <v>103</v>
      </c>
      <c r="F24" s="97" t="inlineStr">
        <is>
          <t>Normal</t>
        </is>
      </c>
      <c r="G24" s="97" t="inlineStr">
        <is>
          <t>Normal</t>
        </is>
      </c>
      <c r="H24" s="97" t="inlineStr">
        <is>
          <t>Gizi Baik</t>
        </is>
      </c>
      <c r="I24" s="97" t="inlineStr">
        <is>
          <t>Ya</t>
        </is>
      </c>
      <c r="J24" s="126" t="inlineStr">
        <is>
          <t>Tidak</t>
        </is>
      </c>
      <c r="K24" s="97">
        <f>($Q$4/$Q$3)*(IF(B24="L",$T$15,$T$16))*(IF(C24="1-34 Bulan",$T$21,$T$22))*(IF(F24="Risiko Lebih",$T$27,IF(F24="Normal",$T$28,IF(F24="Kurang",$T$29,$T$30))))*(IF(G24="Normal",$T$35,IF(G24="Pendek",$T$36,$T$37)))*(IF(H24="Gizi Buruk",$T$42,IF(H24="Gizi Lebih",$T$43,IF(H24="Risiko Gizi Lebih",$T$44,IF(H24="Gizi Baik",$T$45,$T$46)))))*(IF(I24="Ya",$T$51,$T$52))</f>
        <v/>
      </c>
      <c r="L24" s="97">
        <f>($Q$5/$Q$3)*(IF(B24="L",$U$15,$U$16))*(IF(C24="1-34 Bulan",$U$21,$U$22))*(IF(F24="Risiko Lebih",$U$27,IF(F24="Normal",$U$28,IF(F24="Kurang",$U$29,$U$30))))*(IF(G24="Normal",$U$35,IF(G24="Pendek",$U$36,$U$37)))*(IF(H24="Gizi Buruk",$U$42,IF(H24="Gizi Lebih",$U$43,IF(H24="Risiko Gizi Lebih",$U$44,IF(H24="Gizi Baik",$U$45,$U$46)))))*(IF(I24="Ya",$U$51,$U$52))</f>
        <v/>
      </c>
      <c r="M24" s="113">
        <f>($Q$6/$Q$3)*(IF(B24="L",$V$15,$V$16))*(IF(C24="1-34 Bulan",$V$21,$V$22))*(IF(F24="Risiko Lebih",$V$27,IF(F24="Normal",$V$28,IF(F24="Kurang",$V$29,$V$30))))*(IF(G24="Normal",$V$35,IF(G24="Pendek",$V$36,$V$37)))*(IF(H24="Gizi Buruk",$V$42,IF(H24="Gizi Lebih",$V$43,IF(H24="Risiko Gizi Lebih",$V$44,IF(H24="Gizi Baik",$V$45,$V$46)))))*(IF(I24="Ya",$V$51,$V$52))</f>
        <v/>
      </c>
      <c r="N24" s="97">
        <f>IF(K24=MAX(K24,L24,M24),"Stunting",IF(L24=MAX(K24,L24,M24),"Potensi Stunting","Tidak"))</f>
        <v/>
      </c>
    </row>
    <row r="25" ht="15.75" customHeight="1" s="95">
      <c r="A25" s="97" t="inlineStr">
        <is>
          <t>anonymus0769</t>
        </is>
      </c>
      <c r="B25" s="97" t="inlineStr">
        <is>
          <t>P</t>
        </is>
      </c>
      <c r="C25" s="97" t="inlineStr">
        <is>
          <t>1-34 Bulan</t>
        </is>
      </c>
      <c r="D25" s="97" t="n">
        <v>13</v>
      </c>
      <c r="E25" s="97" t="n">
        <v>77</v>
      </c>
      <c r="F25" s="97" t="inlineStr">
        <is>
          <t>Normal</t>
        </is>
      </c>
      <c r="G25" s="97" t="inlineStr">
        <is>
          <t>Normal</t>
        </is>
      </c>
      <c r="H25" s="97" t="inlineStr">
        <is>
          <t>Gizi Baik</t>
        </is>
      </c>
      <c r="I25" s="97" t="inlineStr">
        <is>
          <t>Ya</t>
        </is>
      </c>
      <c r="J25" s="126" t="inlineStr">
        <is>
          <t>Tidak</t>
        </is>
      </c>
      <c r="K25" s="97">
        <f>($Q$4/$Q$3)*(IF(B25="L",$T$15,$T$16))*(IF(C25="1-34 Bulan",$T$21,$T$22))*(IF(F25="Risiko Lebih",$T$27,IF(F25="Normal",$T$28,IF(F25="Kurang",$T$29,$T$30))))*(IF(G25="Normal",$T$35,IF(G25="Pendek",$T$36,$T$37)))*(IF(H25="Gizi Buruk",$T$42,IF(H25="Gizi Lebih",$T$43,IF(H25="Risiko Gizi Lebih",$T$44,IF(H25="Gizi Baik",$T$45,$T$46)))))*(IF(I25="Ya",$T$51,$T$52))</f>
        <v/>
      </c>
      <c r="L25" s="97">
        <f>($Q$5/$Q$3)*(IF(B25="L",$U$15,$U$16))*(IF(C25="1-34 Bulan",$U$21,$U$22))*(IF(F25="Risiko Lebih",$U$27,IF(F25="Normal",$U$28,IF(F25="Kurang",$U$29,$U$30))))*(IF(G25="Normal",$U$35,IF(G25="Pendek",$U$36,$U$37)))*(IF(H25="Gizi Buruk",$U$42,IF(H25="Gizi Lebih",$U$43,IF(H25="Risiko Gizi Lebih",$U$44,IF(H25="Gizi Baik",$U$45,$U$46)))))*(IF(I25="Ya",$U$51,$U$52))</f>
        <v/>
      </c>
      <c r="M25" s="113">
        <f>($Q$6/$Q$3)*(IF(B25="L",$V$15,$V$16))*(IF(C25="1-34 Bulan",$V$21,$V$22))*(IF(F25="Risiko Lebih",$V$27,IF(F25="Normal",$V$28,IF(F25="Kurang",$V$29,$V$30))))*(IF(G25="Normal",$V$35,IF(G25="Pendek",$V$36,$V$37)))*(IF(H25="Gizi Buruk",$V$42,IF(H25="Gizi Lebih",$V$43,IF(H25="Risiko Gizi Lebih",$V$44,IF(H25="Gizi Baik",$V$45,$V$46)))))*(IF(I25="Ya",$V$51,$V$52))</f>
        <v/>
      </c>
      <c r="N25" s="97">
        <f>IF(K25=MAX(K25,L25,M25),"Stunting",IF(L25=MAX(K25,L25,M25),"Potensi Stunting","Tidak"))</f>
        <v/>
      </c>
      <c r="P25" s="115" t="inlineStr">
        <is>
          <t>Jumlah kejadian</t>
        </is>
      </c>
      <c r="Q25" s="116" t="n"/>
      <c r="R25" s="117" t="n"/>
      <c r="S25" s="115" t="n"/>
      <c r="T25" s="115" t="inlineStr">
        <is>
          <t>Probabilitas</t>
        </is>
      </c>
      <c r="U25" s="116" t="n"/>
      <c r="V25" s="117" t="n"/>
    </row>
    <row r="26" ht="15.75" customHeight="1" s="95">
      <c r="A26" s="97" t="inlineStr">
        <is>
          <t>anonymus0770</t>
        </is>
      </c>
      <c r="B26" s="97" t="inlineStr">
        <is>
          <t>P</t>
        </is>
      </c>
      <c r="C26" s="97" t="inlineStr">
        <is>
          <t>1-34 Bulan</t>
        </is>
      </c>
      <c r="D26" s="97" t="n">
        <v>12.9</v>
      </c>
      <c r="E26" s="97" t="n">
        <v>72</v>
      </c>
      <c r="F26" s="97" t="inlineStr">
        <is>
          <t>Normal</t>
        </is>
      </c>
      <c r="G26" s="97" t="inlineStr">
        <is>
          <t>Normal</t>
        </is>
      </c>
      <c r="H26" s="97" t="inlineStr">
        <is>
          <t>Gizi Baik</t>
        </is>
      </c>
      <c r="I26" s="97" t="inlineStr">
        <is>
          <t>Ya</t>
        </is>
      </c>
      <c r="J26" s="126" t="inlineStr">
        <is>
          <t>Tidak</t>
        </is>
      </c>
      <c r="K26" s="97">
        <f>($Q$4/$Q$3)*(IF(B26="L",$T$15,$T$16))*(IF(C26="1-34 Bulan",$T$21,$T$22))*(IF(F26="Risiko Lebih",$T$27,IF(F26="Normal",$T$28,IF(F26="Kurang",$T$29,$T$30))))*(IF(G26="Normal",$T$35,IF(G26="Pendek",$T$36,$T$37)))*(IF(H26="Gizi Buruk",$T$42,IF(H26="Gizi Lebih",$T$43,IF(H26="Risiko Gizi Lebih",$T$44,IF(H26="Gizi Baik",$T$45,$T$46)))))*(IF(I26="Ya",$T$51,$T$52))</f>
        <v/>
      </c>
      <c r="L26" s="97">
        <f>($Q$5/$Q$3)*(IF(B26="L",$U$15,$U$16))*(IF(C26="1-34 Bulan",$U$21,$U$22))*(IF(F26="Risiko Lebih",$U$27,IF(F26="Normal",$U$28,IF(F26="Kurang",$U$29,$U$30))))*(IF(G26="Normal",$U$35,IF(G26="Pendek",$U$36,$U$37)))*(IF(H26="Gizi Buruk",$U$42,IF(H26="Gizi Lebih",$U$43,IF(H26="Risiko Gizi Lebih",$U$44,IF(H26="Gizi Baik",$U$45,$U$46)))))*(IF(I26="Ya",$U$51,$U$52))</f>
        <v/>
      </c>
      <c r="M26" s="113">
        <f>($Q$6/$Q$3)*(IF(B26="L",$V$15,$V$16))*(IF(C26="1-34 Bulan",$V$21,$V$22))*(IF(F26="Risiko Lebih",$V$27,IF(F26="Normal",$V$28,IF(F26="Kurang",$V$29,$V$30))))*(IF(G26="Normal",$V$35,IF(G26="Pendek",$V$36,$V$37)))*(IF(H26="Gizi Buruk",$V$42,IF(H26="Gizi Lebih",$V$43,IF(H26="Risiko Gizi Lebih",$V$44,IF(H26="Gizi Baik",$V$45,$V$46)))))*(IF(I26="Ya",$V$51,$V$52))</f>
        <v/>
      </c>
      <c r="N26" s="97">
        <f>IF(K26=MAX(K26,L26,M26),"Stunting",IF(L26=MAX(K26,L26,M26),"Potensi Stunting","Tidak"))</f>
        <v/>
      </c>
      <c r="P26" s="115" t="inlineStr">
        <is>
          <t>BB/U</t>
        </is>
      </c>
      <c r="Q26" s="115" t="inlineStr">
        <is>
          <t>Stunting</t>
        </is>
      </c>
      <c r="R26" s="115" t="inlineStr">
        <is>
          <t>Potensi Stunting</t>
        </is>
      </c>
      <c r="S26" s="115" t="inlineStr">
        <is>
          <t>Tidak</t>
        </is>
      </c>
      <c r="T26" s="115" t="inlineStr">
        <is>
          <t>Stunting</t>
        </is>
      </c>
      <c r="U26" s="115" t="inlineStr">
        <is>
          <t>Potensi Stuting</t>
        </is>
      </c>
      <c r="V26" s="115" t="inlineStr">
        <is>
          <t>Tidak</t>
        </is>
      </c>
    </row>
    <row r="27" ht="15.75" customHeight="1" s="95">
      <c r="A27" s="97" t="inlineStr">
        <is>
          <t>anonymus0771</t>
        </is>
      </c>
      <c r="B27" s="97" t="inlineStr">
        <is>
          <t>L</t>
        </is>
      </c>
      <c r="C27" s="97" t="inlineStr">
        <is>
          <t>1-34 Bulan</t>
        </is>
      </c>
      <c r="D27" s="97" t="n">
        <v>9.800000000000001</v>
      </c>
      <c r="E27" s="97" t="n">
        <v>76</v>
      </c>
      <c r="F27" s="97" t="inlineStr">
        <is>
          <t>Normal</t>
        </is>
      </c>
      <c r="G27" s="97" t="inlineStr">
        <is>
          <t>Pendek</t>
        </is>
      </c>
      <c r="H27" s="97" t="inlineStr">
        <is>
          <t>Gizi Baik</t>
        </is>
      </c>
      <c r="I27" s="97" t="inlineStr">
        <is>
          <t>Ya</t>
        </is>
      </c>
      <c r="J27" s="126" t="inlineStr">
        <is>
          <t>Potensi Stunting</t>
        </is>
      </c>
      <c r="K27" s="97">
        <f>($Q$4/$Q$3)*(IF(B27="L",$T$15,$T$16))*(IF(C27="1-34 Bulan",$T$21,$T$22))*(IF(F27="Risiko Lebih",$T$27,IF(F27="Normal",$T$28,IF(F27="Kurang",$T$29,$T$30))))*(IF(G27="Normal",$T$35,IF(G27="Pendek",$T$36,$T$37)))*(IF(H27="Gizi Buruk",$T$42,IF(H27="Gizi Lebih",$T$43,IF(H27="Risiko Gizi Lebih",$T$44,IF(H27="Gizi Baik",$T$45,$T$46)))))*(IF(I27="Ya",$T$51,$T$52))</f>
        <v/>
      </c>
      <c r="L27" s="97">
        <f>($Q$5/$Q$3)*(IF(B27="L",$U$15,$U$16))*(IF(C27="1-34 Bulan",$U$21,$U$22))*(IF(F27="Risiko Lebih",$U$27,IF(F27="Normal",$U$28,IF(F27="Kurang",$U$29,$U$30))))*(IF(G27="Normal",$U$35,IF(G27="Pendek",$U$36,$U$37)))*(IF(H27="Gizi Buruk",$U$42,IF(H27="Gizi Lebih",$U$43,IF(H27="Risiko Gizi Lebih",$U$44,IF(H27="Gizi Baik",$U$45,$U$46)))))*(IF(I27="Ya",$U$51,$U$52))</f>
        <v/>
      </c>
      <c r="M27" s="113">
        <f>($Q$6/$Q$3)*(IF(B27="L",$V$15,$V$16))*(IF(C27="1-34 Bulan",$V$21,$V$22))*(IF(F27="Risiko Lebih",$V$27,IF(F27="Normal",$V$28,IF(F27="Kurang",$V$29,$V$30))))*(IF(G27="Normal",$V$35,IF(G27="Pendek",$V$36,$V$37)))*(IF(H27="Gizi Buruk",$V$42,IF(H27="Gizi Lebih",$V$43,IF(H27="Risiko Gizi Lebih",$V$44,IF(H27="Gizi Baik",$V$45,$V$46)))))*(IF(I27="Ya",$V$51,$V$52))</f>
        <v/>
      </c>
      <c r="N27" s="97">
        <f>IF(K27=MAX(K27,L27,M27),"Stunting",IF(L27=MAX(K27,L27,M27),"Potensi Stunting","Tidak"))</f>
        <v/>
      </c>
      <c r="P27" s="112" t="inlineStr">
        <is>
          <t>Risiko lebih</t>
        </is>
      </c>
      <c r="Q27" s="112">
        <f>AC3</f>
        <v/>
      </c>
      <c r="R27" s="112">
        <f>AC4</f>
        <v/>
      </c>
      <c r="S27" s="112">
        <f>AC5</f>
        <v/>
      </c>
      <c r="T27" s="112">
        <f>Q27/Q31</f>
        <v/>
      </c>
      <c r="U27" s="112">
        <f>R27/R31</f>
        <v/>
      </c>
      <c r="V27" s="112">
        <f>S27/S31</f>
        <v/>
      </c>
    </row>
    <row r="28" ht="15.75" customHeight="1" s="95">
      <c r="A28" s="97" t="inlineStr">
        <is>
          <t>anonymus0772</t>
        </is>
      </c>
      <c r="B28" s="97" t="inlineStr">
        <is>
          <t>L</t>
        </is>
      </c>
      <c r="C28" s="97" t="inlineStr">
        <is>
          <t>1-34 Bulan</t>
        </is>
      </c>
      <c r="D28" s="97" t="n">
        <v>2.5</v>
      </c>
      <c r="E28" s="97" t="n">
        <v>48</v>
      </c>
      <c r="F28" s="97" t="inlineStr">
        <is>
          <t>Sangat Kurang</t>
        </is>
      </c>
      <c r="G28" s="97" t="inlineStr">
        <is>
          <t>Pendek</t>
        </is>
      </c>
      <c r="H28" s="97" t="inlineStr">
        <is>
          <t>Gizi Kurang</t>
        </is>
      </c>
      <c r="I28" s="97" t="inlineStr">
        <is>
          <t>Tidak</t>
        </is>
      </c>
      <c r="J28" s="126" t="inlineStr">
        <is>
          <t>Stunting</t>
        </is>
      </c>
      <c r="K28" s="97">
        <f>($Q$4/$Q$3)*(IF(B28="L",$T$15,$T$16))*(IF(C28="1-34 Bulan",$T$21,$T$22))*(IF(F28="Risiko Lebih",$T$27,IF(F28="Normal",$T$28,IF(F28="Kurang",$T$29,$T$30))))*(IF(G28="Normal",$T$35,IF(G28="Pendek",$T$36,$T$37)))*(IF(H28="Gizi Buruk",$T$42,IF(H28="Gizi Lebih",$T$43,IF(H28="Risiko Gizi Lebih",$T$44,IF(H28="Gizi Baik",$T$45,$T$46)))))*(IF(I28="Ya",$T$51,$T$52))</f>
        <v/>
      </c>
      <c r="L28" s="97">
        <f>($Q$5/$Q$3)*(IF(B28="L",$U$15,$U$16))*(IF(C28="1-34 Bulan",$U$21,$U$22))*(IF(F28="Risiko Lebih",$U$27,IF(F28="Normal",$U$28,IF(F28="Kurang",$U$29,$U$30))))*(IF(G28="Normal",$U$35,IF(G28="Pendek",$U$36,$U$37)))*(IF(H28="Gizi Buruk",$U$42,IF(H28="Gizi Lebih",$U$43,IF(H28="Risiko Gizi Lebih",$U$44,IF(H28="Gizi Baik",$U$45,$U$46)))))*(IF(I28="Ya",$U$51,$U$52))</f>
        <v/>
      </c>
      <c r="M28" s="113">
        <f>($Q$6/$Q$3)*(IF(B28="L",$V$15,$V$16))*(IF(C28="1-34 Bulan",$V$21,$V$22))*(IF(F28="Risiko Lebih",$V$27,IF(F28="Normal",$V$28,IF(F28="Kurang",$V$29,$V$30))))*(IF(G28="Normal",$V$35,IF(G28="Pendek",$V$36,$V$37)))*(IF(H28="Gizi Buruk",$V$42,IF(H28="Gizi Lebih",$V$43,IF(H28="Risiko Gizi Lebih",$V$44,IF(H28="Gizi Baik",$V$45,$V$46)))))*(IF(I28="Ya",$V$51,$V$52))</f>
        <v/>
      </c>
      <c r="N28" s="97">
        <f>IF(K28=MAX(K28,L28,M28),"Stunting",IF(L28=MAX(K28,L28,M28),"Potensi Stunting","Tidak"))</f>
        <v/>
      </c>
      <c r="P28" s="112" t="inlineStr">
        <is>
          <t>Normal</t>
        </is>
      </c>
      <c r="Q28" s="112">
        <f>AC6</f>
        <v/>
      </c>
      <c r="R28" s="112">
        <f>AC7</f>
        <v/>
      </c>
      <c r="S28" s="112">
        <f>AC8</f>
        <v/>
      </c>
      <c r="T28" s="112">
        <f>Q28/Q31</f>
        <v/>
      </c>
      <c r="U28" s="112">
        <f>R28/R31</f>
        <v/>
      </c>
      <c r="V28" s="112">
        <f>S28/S31</f>
        <v/>
      </c>
    </row>
    <row r="29" ht="15.75" customHeight="1" s="95">
      <c r="A29" s="97" t="inlineStr">
        <is>
          <t>anonymus0773</t>
        </is>
      </c>
      <c r="B29" s="97" t="inlineStr">
        <is>
          <t>P</t>
        </is>
      </c>
      <c r="C29" s="97" t="inlineStr">
        <is>
          <t>1-34 Bulan</t>
        </is>
      </c>
      <c r="D29" s="97" t="n">
        <v>14</v>
      </c>
      <c r="E29" s="97" t="n">
        <v>96</v>
      </c>
      <c r="F29" s="97" t="inlineStr">
        <is>
          <t>Normal</t>
        </is>
      </c>
      <c r="G29" s="97" t="inlineStr">
        <is>
          <t>Normal</t>
        </is>
      </c>
      <c r="H29" s="97" t="inlineStr">
        <is>
          <t>Gizi Baik</t>
        </is>
      </c>
      <c r="I29" s="97" t="inlineStr">
        <is>
          <t>Ya</t>
        </is>
      </c>
      <c r="J29" s="126" t="inlineStr">
        <is>
          <t>Tidak</t>
        </is>
      </c>
      <c r="K29" s="97">
        <f>($Q$4/$Q$3)*(IF(B29="L",$T$15,$T$16))*(IF(C29="1-34 Bulan",$T$21,$T$22))*(IF(F29="Risiko Lebih",$T$27,IF(F29="Normal",$T$28,IF(F29="Kurang",$T$29,$T$30))))*(IF(G29="Normal",$T$35,IF(G29="Pendek",$T$36,$T$37)))*(IF(H29="Gizi Buruk",$T$42,IF(H29="Gizi Lebih",$T$43,IF(H29="Risiko Gizi Lebih",$T$44,IF(H29="Gizi Baik",$T$45,$T$46)))))*(IF(I29="Ya",$T$51,$T$52))</f>
        <v/>
      </c>
      <c r="L29" s="97">
        <f>($Q$5/$Q$3)*(IF(B29="L",$U$15,$U$16))*(IF(C29="1-34 Bulan",$U$21,$U$22))*(IF(F29="Risiko Lebih",$U$27,IF(F29="Normal",$U$28,IF(F29="Kurang",$U$29,$U$30))))*(IF(G29="Normal",$U$35,IF(G29="Pendek",$U$36,$U$37)))*(IF(H29="Gizi Buruk",$U$42,IF(H29="Gizi Lebih",$U$43,IF(H29="Risiko Gizi Lebih",$U$44,IF(H29="Gizi Baik",$U$45,$U$46)))))*(IF(I29="Ya",$U$51,$U$52))</f>
        <v/>
      </c>
      <c r="M29" s="113">
        <f>($Q$6/$Q$3)*(IF(B29="L",$V$15,$V$16))*(IF(C29="1-34 Bulan",$V$21,$V$22))*(IF(F29="Risiko Lebih",$V$27,IF(F29="Normal",$V$28,IF(F29="Kurang",$V$29,$V$30))))*(IF(G29="Normal",$V$35,IF(G29="Pendek",$V$36,$V$37)))*(IF(H29="Gizi Buruk",$V$42,IF(H29="Gizi Lebih",$V$43,IF(H29="Risiko Gizi Lebih",$V$44,IF(H29="Gizi Baik",$V$45,$V$46)))))*(IF(I29="Ya",$V$51,$V$52))</f>
        <v/>
      </c>
      <c r="N29" s="97">
        <f>IF(K29=MAX(K29,L29,M29),"Stunting",IF(L29=MAX(K29,L29,M29),"Potensi Stunting","Tidak"))</f>
        <v/>
      </c>
      <c r="P29" s="112" t="inlineStr">
        <is>
          <t>Kurang</t>
        </is>
      </c>
      <c r="Q29" s="112">
        <f>AC9</f>
        <v/>
      </c>
      <c r="R29" s="112">
        <f>AC10</f>
        <v/>
      </c>
      <c r="S29" s="112">
        <f>AC11</f>
        <v/>
      </c>
      <c r="T29" s="112">
        <f>Q29/Q31</f>
        <v/>
      </c>
      <c r="U29" s="112">
        <f>R29/R31</f>
        <v/>
      </c>
      <c r="V29" s="112">
        <f>S29/S31</f>
        <v/>
      </c>
    </row>
    <row r="30" ht="15.75" customHeight="1" s="95">
      <c r="A30" s="97" t="inlineStr">
        <is>
          <t>anonymus0774</t>
        </is>
      </c>
      <c r="B30" s="97" t="inlineStr">
        <is>
          <t>P</t>
        </is>
      </c>
      <c r="C30" s="97" t="inlineStr">
        <is>
          <t>35-69 Bulan</t>
        </is>
      </c>
      <c r="D30" s="97" t="inlineStr">
        <is>
          <t>12.2</t>
        </is>
      </c>
      <c r="E30" s="97" t="n">
        <v>96</v>
      </c>
      <c r="F30" s="97" t="inlineStr">
        <is>
          <t>Kurang</t>
        </is>
      </c>
      <c r="G30" s="97" t="inlineStr">
        <is>
          <t>Pendek</t>
        </is>
      </c>
      <c r="H30" s="97" t="inlineStr">
        <is>
          <t>Gizi Baik</t>
        </is>
      </c>
      <c r="I30" s="97" t="inlineStr">
        <is>
          <t>Ya</t>
        </is>
      </c>
      <c r="J30" s="126" t="inlineStr">
        <is>
          <t>Potensi Stunting</t>
        </is>
      </c>
      <c r="K30" s="97">
        <f>($Q$4/$Q$3)*(IF(B30="L",$T$15,$T$16))*(IF(C30="1-34 Bulan",$T$21,$T$22))*(IF(F30="Risiko Lebih",$T$27,IF(F30="Normal",$T$28,IF(F30="Kurang",$T$29,$T$30))))*(IF(G30="Normal",$T$35,IF(G30="Pendek",$T$36,$T$37)))*(IF(H30="Gizi Buruk",$T$42,IF(H30="Gizi Lebih",$T$43,IF(H30="Risiko Gizi Lebih",$T$44,IF(H30="Gizi Baik",$T$45,$T$46)))))*(IF(I30="Ya",$T$51,$T$52))</f>
        <v/>
      </c>
      <c r="L30" s="97">
        <f>($Q$5/$Q$3)*(IF(B30="L",$U$15,$U$16))*(IF(C30="1-34 Bulan",$U$21,$U$22))*(IF(F30="Risiko Lebih",$U$27,IF(F30="Normal",$U$28,IF(F30="Kurang",$U$29,$U$30))))*(IF(G30="Normal",$U$35,IF(G30="Pendek",$U$36,$U$37)))*(IF(H30="Gizi Buruk",$U$42,IF(H30="Gizi Lebih",$U$43,IF(H30="Risiko Gizi Lebih",$U$44,IF(H30="Gizi Baik",$U$45,$U$46)))))*(IF(I30="Ya",$U$51,$U$52))</f>
        <v/>
      </c>
      <c r="M30" s="113">
        <f>($Q$6/$Q$3)*(IF(B30="L",$V$15,$V$16))*(IF(C30="1-34 Bulan",$V$21,$V$22))*(IF(F30="Risiko Lebih",$V$27,IF(F30="Normal",$V$28,IF(F30="Kurang",$V$29,$V$30))))*(IF(G30="Normal",$V$35,IF(G30="Pendek",$V$36,$V$37)))*(IF(H30="Gizi Buruk",$V$42,IF(H30="Gizi Lebih",$V$43,IF(H30="Risiko Gizi Lebih",$V$44,IF(H30="Gizi Baik",$V$45,$V$46)))))*(IF(I30="Ya",$V$51,$V$52))</f>
        <v/>
      </c>
      <c r="N30" s="97">
        <f>IF(K30=MAX(K30,L30,M30),"Stunting",IF(L30=MAX(K30,L30,M30),"Potensi Stunting","Tidak"))</f>
        <v/>
      </c>
      <c r="P30" s="112" t="inlineStr">
        <is>
          <t>Sangat Kurang</t>
        </is>
      </c>
      <c r="Q30" s="112">
        <f>AC12</f>
        <v/>
      </c>
      <c r="R30" s="112">
        <f>AC13</f>
        <v/>
      </c>
      <c r="S30" s="112">
        <f>AC14</f>
        <v/>
      </c>
      <c r="T30" s="112">
        <f>Q30/Q31</f>
        <v/>
      </c>
      <c r="U30" s="112">
        <f>R30/R31</f>
        <v/>
      </c>
      <c r="V30" s="112">
        <f>S30/S31</f>
        <v/>
      </c>
    </row>
    <row r="31" ht="15.75" customHeight="1" s="95">
      <c r="A31" s="97" t="inlineStr">
        <is>
          <t>anonymus0775</t>
        </is>
      </c>
      <c r="B31" s="97" t="inlineStr">
        <is>
          <t>L</t>
        </is>
      </c>
      <c r="C31" s="97" t="inlineStr">
        <is>
          <t>1-34 Bulan</t>
        </is>
      </c>
      <c r="D31" s="97" t="n">
        <v>13.3</v>
      </c>
      <c r="E31" s="97" t="n">
        <v>76</v>
      </c>
      <c r="F31" s="97" t="inlineStr">
        <is>
          <t>Normal</t>
        </is>
      </c>
      <c r="G31" s="97" t="inlineStr">
        <is>
          <t>Normal</t>
        </is>
      </c>
      <c r="H31" s="97" t="inlineStr">
        <is>
          <t>Gizi Baik</t>
        </is>
      </c>
      <c r="I31" s="97" t="inlineStr">
        <is>
          <t>Ya</t>
        </is>
      </c>
      <c r="J31" s="126" t="inlineStr">
        <is>
          <t>Tidak</t>
        </is>
      </c>
      <c r="K31" s="97">
        <f>($Q$4/$Q$3)*(IF(B31="L",$T$15,$T$16))*(IF(C31="1-34 Bulan",$T$21,$T$22))*(IF(F31="Risiko Lebih",$T$27,IF(F31="Normal",$T$28,IF(F31="Kurang",$T$29,$T$30))))*(IF(G31="Normal",$T$35,IF(G31="Pendek",$T$36,$T$37)))*(IF(H31="Gizi Buruk",$T$42,IF(H31="Gizi Lebih",$T$43,IF(H31="Risiko Gizi Lebih",$T$44,IF(H31="Gizi Baik",$T$45,$T$46)))))*(IF(I31="Ya",$T$51,$T$52))</f>
        <v/>
      </c>
      <c r="L31" s="97">
        <f>($Q$5/$Q$3)*(IF(B31="L",$U$15,$U$16))*(IF(C31="1-34 Bulan",$U$21,$U$22))*(IF(F31="Risiko Lebih",$U$27,IF(F31="Normal",$U$28,IF(F31="Kurang",$U$29,$U$30))))*(IF(G31="Normal",$U$35,IF(G31="Pendek",$U$36,$U$37)))*(IF(H31="Gizi Buruk",$U$42,IF(H31="Gizi Lebih",$U$43,IF(H31="Risiko Gizi Lebih",$U$44,IF(H31="Gizi Baik",$U$45,$U$46)))))*(IF(I31="Ya",$U$51,$U$52))</f>
        <v/>
      </c>
      <c r="M31" s="113">
        <f>($Q$6/$Q$3)*(IF(B31="L",$V$15,$V$16))*(IF(C31="1-34 Bulan",$V$21,$V$22))*(IF(F31="Risiko Lebih",$V$27,IF(F31="Normal",$V$28,IF(F31="Kurang",$V$29,$V$30))))*(IF(G31="Normal",$V$35,IF(G31="Pendek",$V$36,$V$37)))*(IF(H31="Gizi Buruk",$V$42,IF(H31="Gizi Lebih",$V$43,IF(H31="Risiko Gizi Lebih",$V$44,IF(H31="Gizi Baik",$V$45,$V$46)))))*(IF(I31="Ya",$V$51,$V$52))</f>
        <v/>
      </c>
      <c r="N31" s="97">
        <f>IF(K31=MAX(K31,L31,M31),"Stunting",IF(L31=MAX(K31,L31,M31),"Potensi Stunting","Tidak"))</f>
        <v/>
      </c>
      <c r="P31" s="112" t="n"/>
      <c r="Q31" s="112">
        <f>SUM(Q27:Q30)</f>
        <v/>
      </c>
      <c r="R31" s="112">
        <f>SUM(R27:R30)</f>
        <v/>
      </c>
      <c r="S31" s="112">
        <f>SUM(S27:S30)</f>
        <v/>
      </c>
      <c r="T31" s="112">
        <f>SUM(T27:T30)</f>
        <v/>
      </c>
      <c r="U31" s="112">
        <f>SUM(U27:U30)</f>
        <v/>
      </c>
      <c r="V31" s="112">
        <f>SUM(V27:V30)</f>
        <v/>
      </c>
    </row>
    <row r="32" ht="15.75" customHeight="1" s="95">
      <c r="A32" s="97" t="inlineStr">
        <is>
          <t>anonymus0776</t>
        </is>
      </c>
      <c r="B32" s="97" t="inlineStr">
        <is>
          <t>L</t>
        </is>
      </c>
      <c r="C32" s="97" t="inlineStr">
        <is>
          <t>1-34 Bulan</t>
        </is>
      </c>
      <c r="D32" s="97" t="n">
        <v>6.5</v>
      </c>
      <c r="E32" s="97" t="n">
        <v>65</v>
      </c>
      <c r="F32" s="97" t="inlineStr">
        <is>
          <t>Kurang</t>
        </is>
      </c>
      <c r="G32" s="97" t="inlineStr">
        <is>
          <t>Pendek</t>
        </is>
      </c>
      <c r="H32" s="97" t="inlineStr">
        <is>
          <t>Gizi Baik</t>
        </is>
      </c>
      <c r="I32" s="97" t="inlineStr">
        <is>
          <t>Ya</t>
        </is>
      </c>
      <c r="J32" s="126" t="inlineStr">
        <is>
          <t>Potensi Stunting</t>
        </is>
      </c>
      <c r="K32" s="97">
        <f>($Q$4/$Q$3)*(IF(B32="L",$T$15,$T$16))*(IF(C32="1-34 Bulan",$T$21,$T$22))*(IF(F32="Risiko Lebih",$T$27,IF(F32="Normal",$T$28,IF(F32="Kurang",$T$29,$T$30))))*(IF(G32="Normal",$T$35,IF(G32="Pendek",$T$36,$T$37)))*(IF(H32="Gizi Buruk",$T$42,IF(H32="Gizi Lebih",$T$43,IF(H32="Risiko Gizi Lebih",$T$44,IF(H32="Gizi Baik",$T$45,$T$46)))))*(IF(I32="Ya",$T$51,$T$52))</f>
        <v/>
      </c>
      <c r="L32" s="97">
        <f>($Q$5/$Q$3)*(IF(B32="L",$U$15,$U$16))*(IF(C32="1-34 Bulan",$U$21,$U$22))*(IF(F32="Risiko Lebih",$U$27,IF(F32="Normal",$U$28,IF(F32="Kurang",$U$29,$U$30))))*(IF(G32="Normal",$U$35,IF(G32="Pendek",$U$36,$U$37)))*(IF(H32="Gizi Buruk",$U$42,IF(H32="Gizi Lebih",$U$43,IF(H32="Risiko Gizi Lebih",$U$44,IF(H32="Gizi Baik",$U$45,$U$46)))))*(IF(I32="Ya",$U$51,$U$52))</f>
        <v/>
      </c>
      <c r="M32" s="113">
        <f>($Q$6/$Q$3)*(IF(B32="L",$V$15,$V$16))*(IF(C32="1-34 Bulan",$V$21,$V$22))*(IF(F32="Risiko Lebih",$V$27,IF(F32="Normal",$V$28,IF(F32="Kurang",$V$29,$V$30))))*(IF(G32="Normal",$V$35,IF(G32="Pendek",$V$36,$V$37)))*(IF(H32="Gizi Buruk",$V$42,IF(H32="Gizi Lebih",$V$43,IF(H32="Risiko Gizi Lebih",$V$44,IF(H32="Gizi Baik",$V$45,$V$46)))))*(IF(I32="Ya",$V$51,$V$52))</f>
        <v/>
      </c>
      <c r="N32" s="97">
        <f>IF(K32=MAX(K32,L32,M32),"Stunting",IF(L32=MAX(K32,L32,M32),"Potensi Stunting","Tidak"))</f>
        <v/>
      </c>
    </row>
    <row r="33" ht="15.75" customHeight="1" s="95">
      <c r="A33" s="97" t="inlineStr">
        <is>
          <t>anonymus0777</t>
        </is>
      </c>
      <c r="B33" s="97" t="inlineStr">
        <is>
          <t>L</t>
        </is>
      </c>
      <c r="C33" s="97" t="inlineStr">
        <is>
          <t>1-34 Bulan</t>
        </is>
      </c>
      <c r="D33" s="97" t="inlineStr">
        <is>
          <t>13.4</t>
        </is>
      </c>
      <c r="E33" s="97" t="n">
        <v>87</v>
      </c>
      <c r="F33" s="97" t="inlineStr">
        <is>
          <t>Normal</t>
        </is>
      </c>
      <c r="G33" s="97" t="inlineStr">
        <is>
          <t>Normal</t>
        </is>
      </c>
      <c r="H33" s="97" t="inlineStr">
        <is>
          <t>Risiko Gizi Lebih</t>
        </is>
      </c>
      <c r="I33" s="97" t="inlineStr">
        <is>
          <t>Ya</t>
        </is>
      </c>
      <c r="J33" s="126" t="inlineStr">
        <is>
          <t>Tidak</t>
        </is>
      </c>
      <c r="K33" s="97">
        <f>($Q$4/$Q$3)*(IF(B33="L",$T$15,$T$16))*(IF(C33="1-34 Bulan",$T$21,$T$22))*(IF(F33="Risiko Lebih",$T$27,IF(F33="Normal",$T$28,IF(F33="Kurang",$T$29,$T$30))))*(IF(G33="Normal",$T$35,IF(G33="Pendek",$T$36,$T$37)))*(IF(H33="Gizi Buruk",$T$42,IF(H33="Gizi Lebih",$T$43,IF(H33="Risiko Gizi Lebih",$T$44,IF(H33="Gizi Baik",$T$45,$T$46)))))*(IF(I33="Ya",$T$51,$T$52))</f>
        <v/>
      </c>
      <c r="L33" s="97">
        <f>($Q$5/$Q$3)*(IF(B33="L",$U$15,$U$16))*(IF(C33="1-34 Bulan",$U$21,$U$22))*(IF(F33="Risiko Lebih",$U$27,IF(F33="Normal",$U$28,IF(F33="Kurang",$U$29,$U$30))))*(IF(G33="Normal",$U$35,IF(G33="Pendek",$U$36,$U$37)))*(IF(H33="Gizi Buruk",$U$42,IF(H33="Gizi Lebih",$U$43,IF(H33="Risiko Gizi Lebih",$U$44,IF(H33="Gizi Baik",$U$45,$U$46)))))*(IF(I33="Ya",$U$51,$U$52))</f>
        <v/>
      </c>
      <c r="M33" s="113">
        <f>($Q$6/$Q$3)*(IF(B33="L",$V$15,$V$16))*(IF(C33="1-34 Bulan",$V$21,$V$22))*(IF(F33="Risiko Lebih",$V$27,IF(F33="Normal",$V$28,IF(F33="Kurang",$V$29,$V$30))))*(IF(G33="Normal",$V$35,IF(G33="Pendek",$V$36,$V$37)))*(IF(H33="Gizi Buruk",$V$42,IF(H33="Gizi Lebih",$V$43,IF(H33="Risiko Gizi Lebih",$V$44,IF(H33="Gizi Baik",$V$45,$V$46)))))*(IF(I33="Ya",$V$51,$V$52))</f>
        <v/>
      </c>
      <c r="N33" s="97">
        <f>IF(K33=MAX(K33,L33,M33),"Stunting",IF(L33=MAX(K33,L33,M33),"Potensi Stunting","Tidak"))</f>
        <v/>
      </c>
      <c r="P33" s="115" t="inlineStr">
        <is>
          <t>Jumlah kejadian</t>
        </is>
      </c>
      <c r="Q33" s="116" t="n"/>
      <c r="R33" s="117" t="n"/>
      <c r="S33" s="115" t="n"/>
      <c r="T33" s="115" t="inlineStr">
        <is>
          <t>Probabilitas</t>
        </is>
      </c>
      <c r="U33" s="116" t="n"/>
      <c r="V33" s="117" t="n"/>
    </row>
    <row r="34" ht="15.75" customHeight="1" s="95">
      <c r="A34" s="97" t="inlineStr">
        <is>
          <t>anonymus0778</t>
        </is>
      </c>
      <c r="B34" s="97" t="inlineStr">
        <is>
          <t>P</t>
        </is>
      </c>
      <c r="C34" s="97" t="inlineStr">
        <is>
          <t>1-34 Bulan</t>
        </is>
      </c>
      <c r="D34" s="97" t="inlineStr">
        <is>
          <t>13.2</t>
        </is>
      </c>
      <c r="E34" s="97" t="n">
        <v>91</v>
      </c>
      <c r="F34" s="97" t="inlineStr">
        <is>
          <t>Risiko Lebih</t>
        </is>
      </c>
      <c r="G34" s="97" t="inlineStr">
        <is>
          <t>Normal</t>
        </is>
      </c>
      <c r="H34" s="97" t="inlineStr">
        <is>
          <t>Gizi Baik</t>
        </is>
      </c>
      <c r="I34" s="97" t="inlineStr">
        <is>
          <t>Tidak</t>
        </is>
      </c>
      <c r="J34" s="126" t="inlineStr">
        <is>
          <t>Potensi Stunting</t>
        </is>
      </c>
      <c r="K34" s="97">
        <f>($Q$4/$Q$3)*(IF(B34="L",$T$15,$T$16))*(IF(C34="1-34 Bulan",$T$21,$T$22))*(IF(F34="Risiko Lebih",$T$27,IF(F34="Normal",$T$28,IF(F34="Kurang",$T$29,$T$30))))*(IF(G34="Normal",$T$35,IF(G34="Pendek",$T$36,$T$37)))*(IF(H34="Gizi Buruk",$T$42,IF(H34="Gizi Lebih",$T$43,IF(H34="Risiko Gizi Lebih",$T$44,IF(H34="Gizi Baik",$T$45,$T$46)))))*(IF(I34="Ya",$T$51,$T$52))</f>
        <v/>
      </c>
      <c r="L34" s="97">
        <f>($Q$5/$Q$3)*(IF(B34="L",$U$15,$U$16))*(IF(C34="1-34 Bulan",$U$21,$U$22))*(IF(F34="Risiko Lebih",$U$27,IF(F34="Normal",$U$28,IF(F34="Kurang",$U$29,$U$30))))*(IF(G34="Normal",$U$35,IF(G34="Pendek",$U$36,$U$37)))*(IF(H34="Gizi Buruk",$U$42,IF(H34="Gizi Lebih",$U$43,IF(H34="Risiko Gizi Lebih",$U$44,IF(H34="Gizi Baik",$U$45,$U$46)))))*(IF(I34="Ya",$U$51,$U$52))</f>
        <v/>
      </c>
      <c r="M34" s="113">
        <f>($Q$6/$Q$3)*(IF(B34="L",$V$15,$V$16))*(IF(C34="1-34 Bulan",$V$21,$V$22))*(IF(F34="Risiko Lebih",$V$27,IF(F34="Normal",$V$28,IF(F34="Kurang",$V$29,$V$30))))*(IF(G34="Normal",$V$35,IF(G34="Pendek",$V$36,$V$37)))*(IF(H34="Gizi Buruk",$V$42,IF(H34="Gizi Lebih",$V$43,IF(H34="Risiko Gizi Lebih",$V$44,IF(H34="Gizi Baik",$V$45,$V$46)))))*(IF(I34="Ya",$V$51,$V$52))</f>
        <v/>
      </c>
      <c r="N34" s="97">
        <f>IF(K34=MAX(K34,L34,M34),"Stunting",IF(L34=MAX(K34,L34,M34),"Potensi Stunting","Tidak"))</f>
        <v/>
      </c>
      <c r="P34" s="115" t="inlineStr">
        <is>
          <t>TB/U</t>
        </is>
      </c>
      <c r="Q34" s="115" t="inlineStr">
        <is>
          <t>Stunting</t>
        </is>
      </c>
      <c r="R34" s="115" t="inlineStr">
        <is>
          <t>Potensi Stunting</t>
        </is>
      </c>
      <c r="S34" s="115" t="inlineStr">
        <is>
          <t>Tidak</t>
        </is>
      </c>
      <c r="T34" s="115" t="inlineStr">
        <is>
          <t>Stunting</t>
        </is>
      </c>
      <c r="U34" s="115" t="inlineStr">
        <is>
          <t>Potensi Stuting</t>
        </is>
      </c>
      <c r="V34" s="115" t="inlineStr">
        <is>
          <t>Tidak</t>
        </is>
      </c>
    </row>
    <row r="35" ht="15.75" customHeight="1" s="95">
      <c r="A35" s="97" t="inlineStr">
        <is>
          <t>anonymus0779</t>
        </is>
      </c>
      <c r="B35" s="97" t="inlineStr">
        <is>
          <t>L</t>
        </is>
      </c>
      <c r="C35" s="97" t="inlineStr">
        <is>
          <t>1-34 Bulan</t>
        </is>
      </c>
      <c r="D35" s="97" t="inlineStr">
        <is>
          <t>10.3</t>
        </is>
      </c>
      <c r="E35" s="97" t="n">
        <v>87</v>
      </c>
      <c r="F35" s="97" t="inlineStr">
        <is>
          <t>Kurang</t>
        </is>
      </c>
      <c r="G35" s="97" t="inlineStr">
        <is>
          <t>Pendek</t>
        </is>
      </c>
      <c r="H35" s="97" t="inlineStr">
        <is>
          <t>Gizi Buruk</t>
        </is>
      </c>
      <c r="I35" s="97" t="inlineStr">
        <is>
          <t>Ya</t>
        </is>
      </c>
      <c r="J35" s="126" t="inlineStr">
        <is>
          <t>Potensi Stunting</t>
        </is>
      </c>
      <c r="K35" s="97">
        <f>($Q$4/$Q$3)*(IF(B35="L",$T$15,$T$16))*(IF(C35="1-34 Bulan",$T$21,$T$22))*(IF(F35="Risiko Lebih",$T$27,IF(F35="Normal",$T$28,IF(F35="Kurang",$T$29,$T$30))))*(IF(G35="Normal",$T$35,IF(G35="Pendek",$T$36,$T$37)))*(IF(H35="Gizi Buruk",$T$42,IF(H35="Gizi Lebih",$T$43,IF(H35="Risiko Gizi Lebih",$T$44,IF(H35="Gizi Baik",$T$45,$T$46)))))*(IF(I35="Ya",$T$51,$T$52))</f>
        <v/>
      </c>
      <c r="L35" s="97">
        <f>($Q$5/$Q$3)*(IF(B35="L",$U$15,$U$16))*(IF(C35="1-34 Bulan",$U$21,$U$22))*(IF(F35="Risiko Lebih",$U$27,IF(F35="Normal",$U$28,IF(F35="Kurang",$U$29,$U$30))))*(IF(G35="Normal",$U$35,IF(G35="Pendek",$U$36,$U$37)))*(IF(H35="Gizi Buruk",$U$42,IF(H35="Gizi Lebih",$U$43,IF(H35="Risiko Gizi Lebih",$U$44,IF(H35="Gizi Baik",$U$45,$U$46)))))*(IF(I35="Ya",$U$51,$U$52))</f>
        <v/>
      </c>
      <c r="M35" s="113">
        <f>($Q$6/$Q$3)*(IF(B35="L",$V$15,$V$16))*(IF(C35="1-34 Bulan",$V$21,$V$22))*(IF(F35="Risiko Lebih",$V$27,IF(F35="Normal",$V$28,IF(F35="Kurang",$V$29,$V$30))))*(IF(G35="Normal",$V$35,IF(G35="Pendek",$V$36,$V$37)))*(IF(H35="Gizi Buruk",$V$42,IF(H35="Gizi Lebih",$V$43,IF(H35="Risiko Gizi Lebih",$V$44,IF(H35="Gizi Baik",$V$45,$V$46)))))*(IF(I35="Ya",$V$51,$V$52))</f>
        <v/>
      </c>
      <c r="N35" s="97">
        <f>IF(K35=MAX(K35,L35,M35),"Stunting",IF(L35=MAX(K35,L35,M35),"Potensi Stunting","Tidak"))</f>
        <v/>
      </c>
      <c r="P35" s="112" t="inlineStr">
        <is>
          <t>Normal</t>
        </is>
      </c>
      <c r="Q35" s="112">
        <f>AG3</f>
        <v/>
      </c>
      <c r="R35" s="112">
        <f>AG4</f>
        <v/>
      </c>
      <c r="S35" s="112">
        <f>AG5</f>
        <v/>
      </c>
      <c r="T35" s="112">
        <f>Q35/Q38</f>
        <v/>
      </c>
      <c r="U35" s="112">
        <f>R35/R38</f>
        <v/>
      </c>
      <c r="V35" s="112">
        <f>S35/S38</f>
        <v/>
      </c>
    </row>
    <row r="36" ht="15.75" customHeight="1" s="95">
      <c r="A36" s="97" t="inlineStr">
        <is>
          <t>anonymus0780</t>
        </is>
      </c>
      <c r="B36" s="97" t="inlineStr">
        <is>
          <t>L</t>
        </is>
      </c>
      <c r="C36" s="97" t="inlineStr">
        <is>
          <t>1-34 Bulan</t>
        </is>
      </c>
      <c r="D36" s="97" t="n">
        <v>10.8</v>
      </c>
      <c r="E36" s="97" t="n">
        <v>77</v>
      </c>
      <c r="F36" s="97" t="inlineStr">
        <is>
          <t>Normal</t>
        </is>
      </c>
      <c r="G36" s="97" t="inlineStr">
        <is>
          <t>Pendek</t>
        </is>
      </c>
      <c r="H36" s="97" t="inlineStr">
        <is>
          <t>Gizi Baik</t>
        </is>
      </c>
      <c r="I36" s="97" t="inlineStr">
        <is>
          <t>Ya</t>
        </is>
      </c>
      <c r="J36" s="126" t="inlineStr">
        <is>
          <t>Potensi Stunting</t>
        </is>
      </c>
      <c r="K36" s="97">
        <f>($Q$4/$Q$3)*(IF(B36="L",$T$15,$T$16))*(IF(C36="1-34 Bulan",$T$21,$T$22))*(IF(F36="Risiko Lebih",$T$27,IF(F36="Normal",$T$28,IF(F36="Kurang",$T$29,$T$30))))*(IF(G36="Normal",$T$35,IF(G36="Pendek",$T$36,$T$37)))*(IF(H36="Gizi Buruk",$T$42,IF(H36="Gizi Lebih",$T$43,IF(H36="Risiko Gizi Lebih",$T$44,IF(H36="Gizi Baik",$T$45,$T$46)))))*(IF(I36="Ya",$T$51,$T$52))</f>
        <v/>
      </c>
      <c r="L36" s="97">
        <f>($Q$5/$Q$3)*(IF(B36="L",$U$15,$U$16))*(IF(C36="1-34 Bulan",$U$21,$U$22))*(IF(F36="Risiko Lebih",$U$27,IF(F36="Normal",$U$28,IF(F36="Kurang",$U$29,$U$30))))*(IF(G36="Normal",$U$35,IF(G36="Pendek",$U$36,$U$37)))*(IF(H36="Gizi Buruk",$U$42,IF(H36="Gizi Lebih",$U$43,IF(H36="Risiko Gizi Lebih",$U$44,IF(H36="Gizi Baik",$U$45,$U$46)))))*(IF(I36="Ya",$U$51,$U$52))</f>
        <v/>
      </c>
      <c r="M36" s="113">
        <f>($Q$6/$Q$3)*(IF(B36="L",$V$15,$V$16))*(IF(C36="1-34 Bulan",$V$21,$V$22))*(IF(F36="Risiko Lebih",$V$27,IF(F36="Normal",$V$28,IF(F36="Kurang",$V$29,$V$30))))*(IF(G36="Normal",$V$35,IF(G36="Pendek",$V$36,$V$37)))*(IF(H36="Gizi Buruk",$V$42,IF(H36="Gizi Lebih",$V$43,IF(H36="Risiko Gizi Lebih",$V$44,IF(H36="Gizi Baik",$V$45,$V$46)))))*(IF(I36="Ya",$V$51,$V$52))</f>
        <v/>
      </c>
      <c r="N36" s="97">
        <f>IF(K36=MAX(K36,L36,M36),"Stunting",IF(L36=MAX(K36,L36,M36),"Potensi Stunting","Tidak"))</f>
        <v/>
      </c>
      <c r="P36" s="112" t="inlineStr">
        <is>
          <t>Pendek</t>
        </is>
      </c>
      <c r="Q36" s="112">
        <f>AG6</f>
        <v/>
      </c>
      <c r="R36" s="112">
        <f>AG7</f>
        <v/>
      </c>
      <c r="S36" s="112">
        <f>AG8</f>
        <v/>
      </c>
      <c r="T36" s="112">
        <f>Q36/Q38</f>
        <v/>
      </c>
      <c r="U36" s="112">
        <f>R36/R38</f>
        <v/>
      </c>
      <c r="V36" s="112">
        <f>S36/S38</f>
        <v/>
      </c>
    </row>
    <row r="37" ht="15.75" customHeight="1" s="95">
      <c r="A37" s="97" t="inlineStr">
        <is>
          <t>anonymus0781</t>
        </is>
      </c>
      <c r="B37" s="97" t="inlineStr">
        <is>
          <t>P</t>
        </is>
      </c>
      <c r="C37" s="97" t="inlineStr">
        <is>
          <t>1-34 Bulan</t>
        </is>
      </c>
      <c r="D37" s="97" t="n">
        <v>10</v>
      </c>
      <c r="E37" s="97" t="n">
        <v>88</v>
      </c>
      <c r="F37" s="97" t="inlineStr">
        <is>
          <t>Normal</t>
        </is>
      </c>
      <c r="G37" s="97" t="inlineStr">
        <is>
          <t>Normal</t>
        </is>
      </c>
      <c r="H37" s="97" t="inlineStr">
        <is>
          <t>Gizi Kurang</t>
        </is>
      </c>
      <c r="I37" s="97" t="inlineStr">
        <is>
          <t>Ya</t>
        </is>
      </c>
      <c r="J37" s="126" t="inlineStr">
        <is>
          <t>Tidak</t>
        </is>
      </c>
      <c r="K37" s="97">
        <f>($Q$4/$Q$3)*(IF(B37="L",$T$15,$T$16))*(IF(C37="1-34 Bulan",$T$21,$T$22))*(IF(F37="Risiko Lebih",$T$27,IF(F37="Normal",$T$28,IF(F37="Kurang",$T$29,$T$30))))*(IF(G37="Normal",$T$35,IF(G37="Pendek",$T$36,$T$37)))*(IF(H37="Gizi Buruk",$T$42,IF(H37="Gizi Lebih",$T$43,IF(H37="Risiko Gizi Lebih",$T$44,IF(H37="Gizi Baik",$T$45,$T$46)))))*(IF(I37="Ya",$T$51,$T$52))</f>
        <v/>
      </c>
      <c r="L37" s="97">
        <f>($Q$5/$Q$3)*(IF(B37="L",$U$15,$U$16))*(IF(C37="1-34 Bulan",$U$21,$U$22))*(IF(F37="Risiko Lebih",$U$27,IF(F37="Normal",$U$28,IF(F37="Kurang",$U$29,$U$30))))*(IF(G37="Normal",$U$35,IF(G37="Pendek",$U$36,$U$37)))*(IF(H37="Gizi Buruk",$U$42,IF(H37="Gizi Lebih",$U$43,IF(H37="Risiko Gizi Lebih",$U$44,IF(H37="Gizi Baik",$U$45,$U$46)))))*(IF(I37="Ya",$U$51,$U$52))</f>
        <v/>
      </c>
      <c r="M37" s="113">
        <f>($Q$6/$Q$3)*(IF(B37="L",$V$15,$V$16))*(IF(C37="1-34 Bulan",$V$21,$V$22))*(IF(F37="Risiko Lebih",$V$27,IF(F37="Normal",$V$28,IF(F37="Kurang",$V$29,$V$30))))*(IF(G37="Normal",$V$35,IF(G37="Pendek",$V$36,$V$37)))*(IF(H37="Gizi Buruk",$V$42,IF(H37="Gizi Lebih",$V$43,IF(H37="Risiko Gizi Lebih",$V$44,IF(H37="Gizi Baik",$V$45,$V$46)))))*(IF(I37="Ya",$V$51,$V$52))</f>
        <v/>
      </c>
      <c r="N37" s="97">
        <f>IF(K37=MAX(K37,L37,M37),"Stunting",IF(L37=MAX(K37,L37,M37),"Potensi Stunting","Tidak"))</f>
        <v/>
      </c>
      <c r="P37" s="112" t="inlineStr">
        <is>
          <t>Sangat Pendek</t>
        </is>
      </c>
      <c r="Q37" s="112">
        <f>AG9</f>
        <v/>
      </c>
      <c r="R37" s="112">
        <f>AG10</f>
        <v/>
      </c>
      <c r="S37" s="112">
        <f>AG11</f>
        <v/>
      </c>
      <c r="T37" s="112">
        <f>Q37/Q38</f>
        <v/>
      </c>
      <c r="U37" s="112">
        <f>R37/R38</f>
        <v/>
      </c>
      <c r="V37" s="112">
        <f>S37/S38</f>
        <v/>
      </c>
    </row>
    <row r="38" ht="15.75" customHeight="1" s="95">
      <c r="A38" s="97" t="inlineStr">
        <is>
          <t>anonymus0782</t>
        </is>
      </c>
      <c r="B38" s="97" t="inlineStr">
        <is>
          <t>L</t>
        </is>
      </c>
      <c r="C38" s="97" t="inlineStr">
        <is>
          <t>1-34 Bulan</t>
        </is>
      </c>
      <c r="D38" s="97" t="n">
        <v>9.199999999999999</v>
      </c>
      <c r="E38" s="97" t="n">
        <v>77</v>
      </c>
      <c r="F38" s="97" t="inlineStr">
        <is>
          <t>Normal</t>
        </is>
      </c>
      <c r="G38" s="97" t="inlineStr">
        <is>
          <t>Normal</t>
        </is>
      </c>
      <c r="H38" s="97" t="inlineStr">
        <is>
          <t>Gizi Baik</t>
        </is>
      </c>
      <c r="I38" s="97" t="inlineStr">
        <is>
          <t>Ya</t>
        </is>
      </c>
      <c r="J38" s="126" t="inlineStr">
        <is>
          <t>Tidak</t>
        </is>
      </c>
      <c r="K38" s="97">
        <f>($Q$4/$Q$3)*(IF(B38="L",$T$15,$T$16))*(IF(C38="1-34 Bulan",$T$21,$T$22))*(IF(F38="Risiko Lebih",$T$27,IF(F38="Normal",$T$28,IF(F38="Kurang",$T$29,$T$30))))*(IF(G38="Normal",$T$35,IF(G38="Pendek",$T$36,$T$37)))*(IF(H38="Gizi Buruk",$T$42,IF(H38="Gizi Lebih",$T$43,IF(H38="Risiko Gizi Lebih",$T$44,IF(H38="Gizi Baik",$T$45,$T$46)))))*(IF(I38="Ya",$T$51,$T$52))</f>
        <v/>
      </c>
      <c r="L38" s="97">
        <f>($Q$5/$Q$3)*(IF(B38="L",$U$15,$U$16))*(IF(C38="1-34 Bulan",$U$21,$U$22))*(IF(F38="Risiko Lebih",$U$27,IF(F38="Normal",$U$28,IF(F38="Kurang",$U$29,$U$30))))*(IF(G38="Normal",$U$35,IF(G38="Pendek",$U$36,$U$37)))*(IF(H38="Gizi Buruk",$U$42,IF(H38="Gizi Lebih",$U$43,IF(H38="Risiko Gizi Lebih",$U$44,IF(H38="Gizi Baik",$U$45,$U$46)))))*(IF(I38="Ya",$U$51,$U$52))</f>
        <v/>
      </c>
      <c r="M38" s="113">
        <f>($Q$6/$Q$3)*(IF(B38="L",$V$15,$V$16))*(IF(C38="1-34 Bulan",$V$21,$V$22))*(IF(F38="Risiko Lebih",$V$27,IF(F38="Normal",$V$28,IF(F38="Kurang",$V$29,$V$30))))*(IF(G38="Normal",$V$35,IF(G38="Pendek",$V$36,$V$37)))*(IF(H38="Gizi Buruk",$V$42,IF(H38="Gizi Lebih",$V$43,IF(H38="Risiko Gizi Lebih",$V$44,IF(H38="Gizi Baik",$V$45,$V$46)))))*(IF(I38="Ya",$V$51,$V$52))</f>
        <v/>
      </c>
      <c r="N38" s="97">
        <f>IF(K38=MAX(K38,L38,M38),"Stunting",IF(L38=MAX(K38,L38,M38),"Potensi Stunting","Tidak"))</f>
        <v/>
      </c>
      <c r="P38" s="112" t="n"/>
      <c r="Q38" s="112">
        <f>SUM(Q35:Q37)</f>
        <v/>
      </c>
      <c r="R38" s="112">
        <f>SUM(R35:R37)</f>
        <v/>
      </c>
      <c r="S38" s="112">
        <f>SUM(S35:S37)</f>
        <v/>
      </c>
      <c r="T38" s="112">
        <f>SUM(T35:T37)</f>
        <v/>
      </c>
      <c r="U38" s="112">
        <f>SUM(U35:U37)</f>
        <v/>
      </c>
      <c r="V38" s="112">
        <f>SUM(V35:V37)</f>
        <v/>
      </c>
    </row>
    <row r="39" ht="15.75" customHeight="1" s="95">
      <c r="A39" s="97" t="inlineStr">
        <is>
          <t>anonymus0783</t>
        </is>
      </c>
      <c r="B39" s="97" t="inlineStr">
        <is>
          <t>L</t>
        </is>
      </c>
      <c r="C39" s="97" t="inlineStr">
        <is>
          <t>1-34 Bulan</t>
        </is>
      </c>
      <c r="D39" s="97" t="n">
        <v>9.699999999999999</v>
      </c>
      <c r="E39" s="97" t="n">
        <v>84</v>
      </c>
      <c r="F39" s="97" t="inlineStr">
        <is>
          <t>Kurang</t>
        </is>
      </c>
      <c r="G39" s="97" t="inlineStr">
        <is>
          <t>Normal</t>
        </is>
      </c>
      <c r="H39" s="97" t="inlineStr">
        <is>
          <t>Gizi Kurang</t>
        </is>
      </c>
      <c r="I39" s="97" t="inlineStr">
        <is>
          <t>Ya</t>
        </is>
      </c>
      <c r="J39" s="126" t="inlineStr">
        <is>
          <t>Tidak</t>
        </is>
      </c>
      <c r="K39" s="97">
        <f>($Q$4/$Q$3)*(IF(B39="L",$T$15,$T$16))*(IF(C39="1-34 Bulan",$T$21,$T$22))*(IF(F39="Risiko Lebih",$T$27,IF(F39="Normal",$T$28,IF(F39="Kurang",$T$29,$T$30))))*(IF(G39="Normal",$T$35,IF(G39="Pendek",$T$36,$T$37)))*(IF(H39="Gizi Buruk",$T$42,IF(H39="Gizi Lebih",$T$43,IF(H39="Risiko Gizi Lebih",$T$44,IF(H39="Gizi Baik",$T$45,$T$46)))))*(IF(I39="Ya",$T$51,$T$52))</f>
        <v/>
      </c>
      <c r="L39" s="97">
        <f>($Q$5/$Q$3)*(IF(B39="L",$U$15,$U$16))*(IF(C39="1-34 Bulan",$U$21,$U$22))*(IF(F39="Risiko Lebih",$U$27,IF(F39="Normal",$U$28,IF(F39="Kurang",$U$29,$U$30))))*(IF(G39="Normal",$U$35,IF(G39="Pendek",$U$36,$U$37)))*(IF(H39="Gizi Buruk",$U$42,IF(H39="Gizi Lebih",$U$43,IF(H39="Risiko Gizi Lebih",$U$44,IF(H39="Gizi Baik",$U$45,$U$46)))))*(IF(I39="Ya",$U$51,$U$52))</f>
        <v/>
      </c>
      <c r="M39" s="113">
        <f>($Q$6/$Q$3)*(IF(B39="L",$V$15,$V$16))*(IF(C39="1-34 Bulan",$V$21,$V$22))*(IF(F39="Risiko Lebih",$V$27,IF(F39="Normal",$V$28,IF(F39="Kurang",$V$29,$V$30))))*(IF(G39="Normal",$V$35,IF(G39="Pendek",$V$36,$V$37)))*(IF(H39="Gizi Buruk",$V$42,IF(H39="Gizi Lebih",$V$43,IF(H39="Risiko Gizi Lebih",$V$44,IF(H39="Gizi Baik",$V$45,$V$46)))))*(IF(I39="Ya",$V$51,$V$52))</f>
        <v/>
      </c>
      <c r="N39" s="97">
        <f>IF(K39=MAX(K39,L39,M39),"Stunting",IF(L39=MAX(K39,L39,M39),"Potensi Stunting","Tidak"))</f>
        <v/>
      </c>
    </row>
    <row r="40" ht="15.75" customHeight="1" s="95">
      <c r="A40" s="97" t="inlineStr">
        <is>
          <t>anonymus0784</t>
        </is>
      </c>
      <c r="B40" s="97" t="inlineStr">
        <is>
          <t>L</t>
        </is>
      </c>
      <c r="C40" s="97" t="inlineStr">
        <is>
          <t>1-34 Bulan</t>
        </is>
      </c>
      <c r="D40" s="97" t="inlineStr">
        <is>
          <t>8.7</t>
        </is>
      </c>
      <c r="E40" s="97" t="n">
        <v>74</v>
      </c>
      <c r="F40" s="97" t="inlineStr">
        <is>
          <t>Normal</t>
        </is>
      </c>
      <c r="G40" s="97" t="inlineStr">
        <is>
          <t>Normal</t>
        </is>
      </c>
      <c r="H40" s="97" t="inlineStr">
        <is>
          <t>Gizi Baik</t>
        </is>
      </c>
      <c r="I40" s="97" t="inlineStr">
        <is>
          <t>Ya</t>
        </is>
      </c>
      <c r="J40" s="126" t="inlineStr">
        <is>
          <t>Tidak</t>
        </is>
      </c>
      <c r="K40" s="97">
        <f>($Q$4/$Q$3)*(IF(B40="L",$T$15,$T$16))*(IF(C40="1-34 Bulan",$T$21,$T$22))*(IF(F40="Risiko Lebih",$T$27,IF(F40="Normal",$T$28,IF(F40="Kurang",$T$29,$T$30))))*(IF(G40="Normal",$T$35,IF(G40="Pendek",$T$36,$T$37)))*(IF(H40="Gizi Buruk",$T$42,IF(H40="Gizi Lebih",$T$43,IF(H40="Risiko Gizi Lebih",$T$44,IF(H40="Gizi Baik",$T$45,$T$46)))))*(IF(I40="Ya",$T$51,$T$52))</f>
        <v/>
      </c>
      <c r="L40" s="97">
        <f>($Q$5/$Q$3)*(IF(B40="L",$U$15,$U$16))*(IF(C40="1-34 Bulan",$U$21,$U$22))*(IF(F40="Risiko Lebih",$U$27,IF(F40="Normal",$U$28,IF(F40="Kurang",$U$29,$U$30))))*(IF(G40="Normal",$U$35,IF(G40="Pendek",$U$36,$U$37)))*(IF(H40="Gizi Buruk",$U$42,IF(H40="Gizi Lebih",$U$43,IF(H40="Risiko Gizi Lebih",$U$44,IF(H40="Gizi Baik",$U$45,$U$46)))))*(IF(I40="Ya",$U$51,$U$52))</f>
        <v/>
      </c>
      <c r="M40" s="97">
        <f>($Q$6/$Q$3)*(IF(B40="L",$V$15,$V$16))*(IF(C40="1-34 Bulan",$V$21,$V$22))*(IF(F40="Risiko Lebih",$V$27,IF(F40="Normal",$V$28,IF(F40="Kurang",$V$29,$V$30))))*(IF(G40="Normal",$V$35,IF(G40="Pendek",$V$36,$V$37)))*(IF(H40="Gizi Buruk",$V$42,IF(H40="Gizi Lebih",$V$43,IF(H40="Risiko Gizi Lebih",$V$44,IF(H40="Gizi Baik",$V$45,$V$46)))))*(IF(I40="Ya",$V$51,$V$52))</f>
        <v/>
      </c>
      <c r="N40" s="97">
        <f>IF(K40=MAX(K40,L40,M40),"Stunting",IF(L40=MAX(K40,L40,M40),"Potensi Stunting","Tidak"))</f>
        <v/>
      </c>
      <c r="P40" s="115" t="inlineStr">
        <is>
          <t>Jumlah kejadian</t>
        </is>
      </c>
      <c r="Q40" s="116" t="n"/>
      <c r="R40" s="117" t="n"/>
      <c r="S40" s="115" t="n"/>
      <c r="T40" s="115" t="inlineStr">
        <is>
          <t>Probabilitas</t>
        </is>
      </c>
      <c r="U40" s="116" t="n"/>
      <c r="V40" s="117" t="n"/>
    </row>
    <row r="41" ht="15.75" customHeight="1" s="95">
      <c r="A41" s="97" t="inlineStr">
        <is>
          <t>anonymus0785</t>
        </is>
      </c>
      <c r="B41" s="97" t="inlineStr">
        <is>
          <t>L</t>
        </is>
      </c>
      <c r="C41" s="97" t="inlineStr">
        <is>
          <t>35-69 Bulan</t>
        </is>
      </c>
      <c r="D41" s="97" t="inlineStr">
        <is>
          <t>14.5</t>
        </is>
      </c>
      <c r="E41" s="97" t="n">
        <v>103</v>
      </c>
      <c r="F41" s="97" t="inlineStr">
        <is>
          <t>Normal</t>
        </is>
      </c>
      <c r="G41" s="97" t="inlineStr">
        <is>
          <t>Normal</t>
        </is>
      </c>
      <c r="H41" s="97" t="inlineStr">
        <is>
          <t>Gizi Baik</t>
        </is>
      </c>
      <c r="I41" s="97" t="inlineStr">
        <is>
          <t>Ya</t>
        </is>
      </c>
      <c r="J41" s="126" t="inlineStr">
        <is>
          <t>Tidak</t>
        </is>
      </c>
      <c r="K41" s="97">
        <f>($Q$4/$Q$3)*(IF(B41="L",$T$15,$T$16))*(IF(C41="1-34 Bulan",$T$21,$T$22))*(IF(F41="Risiko Lebih",$T$27,IF(F41="Normal",$T$28,IF(F41="Kurang",$T$29,$T$30))))*(IF(G41="Normal",$T$35,IF(G41="Pendek",$T$36,$T$37)))*(IF(H41="Gizi Buruk",$T$42,IF(H41="Gizi Lebih",$T$43,IF(H41="Risiko Gizi Lebih",$T$44,IF(H41="Gizi Baik",$T$45,$T$46)))))*(IF(I41="Ya",$T$51,$T$52))</f>
        <v/>
      </c>
      <c r="L41" s="97">
        <f>($Q$5/$Q$3)*(IF(B41="L",$U$15,$U$16))*(IF(C41="1-34 Bulan",$U$21,$U$22))*(IF(F41="Risiko Lebih",$U$27,IF(F41="Normal",$U$28,IF(F41="Kurang",$U$29,$U$30))))*(IF(G41="Normal",$U$35,IF(G41="Pendek",$U$36,$U$37)))*(IF(H41="Gizi Buruk",$U$42,IF(H41="Gizi Lebih",$U$43,IF(H41="Risiko Gizi Lebih",$U$44,IF(H41="Gizi Baik",$U$45,$U$46)))))*(IF(I41="Ya",$U$51,$U$52))</f>
        <v/>
      </c>
      <c r="M41" s="97">
        <f>($Q$6/$Q$3)*(IF(B41="L",$V$15,$V$16))*(IF(C41="1-34 Bulan",$V$21,$V$22))*(IF(F41="Risiko Lebih",$V$27,IF(F41="Normal",$V$28,IF(F41="Kurang",$V$29,$V$30))))*(IF(G41="Normal",$V$35,IF(G41="Pendek",$V$36,$V$37)))*(IF(H41="Gizi Buruk",$V$42,IF(H41="Gizi Lebih",$V$43,IF(H41="Risiko Gizi Lebih",$V$44,IF(H41="Gizi Baik",$V$45,$V$46)))))*(IF(I41="Ya",$V$51,$V$52))</f>
        <v/>
      </c>
      <c r="N41" s="97">
        <f>IF(K41=MAX(K41,L41,M41),"Stunting",IF(L41=MAX(K41,L41,M41),"Potensi Stunting","Tidak"))</f>
        <v/>
      </c>
      <c r="P41" s="115" t="inlineStr">
        <is>
          <t>Status Gizi</t>
        </is>
      </c>
      <c r="Q41" s="115" t="inlineStr">
        <is>
          <t>Stunting</t>
        </is>
      </c>
      <c r="R41" s="115" t="inlineStr">
        <is>
          <t>Potensi Stunting</t>
        </is>
      </c>
      <c r="S41" s="115" t="inlineStr">
        <is>
          <t>Tidak</t>
        </is>
      </c>
      <c r="T41" s="115" t="inlineStr">
        <is>
          <t>Stunting</t>
        </is>
      </c>
      <c r="U41" s="115" t="inlineStr">
        <is>
          <t>Potensi Stuting</t>
        </is>
      </c>
      <c r="V41" s="115" t="inlineStr">
        <is>
          <t>Tidak</t>
        </is>
      </c>
    </row>
    <row r="42" ht="15.75" customHeight="1" s="95">
      <c r="A42" s="97" t="inlineStr">
        <is>
          <t>anonymus0786</t>
        </is>
      </c>
      <c r="B42" s="97" t="inlineStr">
        <is>
          <t>P</t>
        </is>
      </c>
      <c r="C42" s="97" t="inlineStr">
        <is>
          <t>35-69 Bulan</t>
        </is>
      </c>
      <c r="D42" s="97" t="n">
        <v>12</v>
      </c>
      <c r="E42" s="97" t="n">
        <v>94</v>
      </c>
      <c r="F42" s="97" t="inlineStr">
        <is>
          <t>Kurang</t>
        </is>
      </c>
      <c r="G42" s="97" t="inlineStr">
        <is>
          <t>Pendek</t>
        </is>
      </c>
      <c r="H42" s="97" t="inlineStr">
        <is>
          <t>Gizi Baik</t>
        </is>
      </c>
      <c r="I42" s="97" t="inlineStr">
        <is>
          <t>Ya</t>
        </is>
      </c>
      <c r="J42" s="126" t="inlineStr">
        <is>
          <t>Potensi Stunting</t>
        </is>
      </c>
      <c r="K42" s="97">
        <f>($Q$4/$Q$3)*(IF(B42="L",$T$15,$T$16))*(IF(C42="1-34 Bulan",$T$21,$T$22))*(IF(F42="Risiko Lebih",$T$27,IF(F42="Normal",$T$28,IF(F42="Kurang",$T$29,$T$30))))*(IF(G42="Normal",$T$35,IF(G42="Pendek",$T$36,$T$37)))*(IF(H42="Gizi Buruk",$T$42,IF(H42="Gizi Lebih",$T$43,IF(H42="Risiko Gizi Lebih",$T$44,IF(H42="Gizi Baik",$T$45,$T$46)))))*(IF(I42="Ya",$T$51,$T$52))</f>
        <v/>
      </c>
      <c r="L42" s="97">
        <f>($Q$5/$Q$3)*(IF(B42="L",$U$15,$U$16))*(IF(C42="1-34 Bulan",$U$21,$U$22))*(IF(F42="Risiko Lebih",$U$27,IF(F42="Normal",$U$28,IF(F42="Kurang",$U$29,$U$30))))*(IF(G42="Normal",$U$35,IF(G42="Pendek",$U$36,$U$37)))*(IF(H42="Gizi Buruk",$U$42,IF(H42="Gizi Lebih",$U$43,IF(H42="Risiko Gizi Lebih",$U$44,IF(H42="Gizi Baik",$U$45,$U$46)))))*(IF(I42="Ya",$U$51,$U$52))</f>
        <v/>
      </c>
      <c r="M42" s="97">
        <f>($Q$6/$Q$3)*(IF(B42="L",$V$15,$V$16))*(IF(C42="1-34 Bulan",$V$21,$V$22))*(IF(F42="Risiko Lebih",$V$27,IF(F42="Normal",$V$28,IF(F42="Kurang",$V$29,$V$30))))*(IF(G42="Normal",$V$35,IF(G42="Pendek",$V$36,$V$37)))*(IF(H42="Gizi Buruk",$V$42,IF(H42="Gizi Lebih",$V$43,IF(H42="Risiko Gizi Lebih",$V$44,IF(H42="Gizi Baik",$V$45,$V$46)))))*(IF(I42="Ya",$V$51,$V$52))</f>
        <v/>
      </c>
      <c r="N42" s="97">
        <f>IF(K42=MAX(K42,L42,M42),"Stunting",IF(L42=MAX(K42,L42,M42),"Potensi Stunting","Tidak"))</f>
        <v/>
      </c>
      <c r="P42" s="112" t="inlineStr">
        <is>
          <t>Gizi Buruk</t>
        </is>
      </c>
      <c r="Q42" s="112">
        <f>AK3</f>
        <v/>
      </c>
      <c r="R42" s="112">
        <f>AK4</f>
        <v/>
      </c>
      <c r="S42" s="112">
        <f>AK5</f>
        <v/>
      </c>
      <c r="T42" s="112">
        <f>Q42/Q47</f>
        <v/>
      </c>
      <c r="U42" s="112">
        <f>R42/R47</f>
        <v/>
      </c>
      <c r="V42" s="112">
        <f>S42/S47</f>
        <v/>
      </c>
    </row>
    <row r="43" ht="15.75" customHeight="1" s="95">
      <c r="A43" s="97" t="inlineStr">
        <is>
          <t>anonymus0787</t>
        </is>
      </c>
      <c r="B43" s="97" t="inlineStr">
        <is>
          <t>L</t>
        </is>
      </c>
      <c r="C43" s="97" t="inlineStr">
        <is>
          <t>1-34 Bulan</t>
        </is>
      </c>
      <c r="D43" s="97" t="n">
        <v>8</v>
      </c>
      <c r="E43" s="97" t="n">
        <v>68</v>
      </c>
      <c r="F43" s="97" t="inlineStr">
        <is>
          <t>Normal</t>
        </is>
      </c>
      <c r="G43" s="97" t="inlineStr">
        <is>
          <t>Normal</t>
        </is>
      </c>
      <c r="H43" s="97" t="inlineStr">
        <is>
          <t>Gizi Baik</t>
        </is>
      </c>
      <c r="I43" s="97" t="inlineStr">
        <is>
          <t>Ya</t>
        </is>
      </c>
      <c r="J43" s="126" t="inlineStr">
        <is>
          <t>Tidak</t>
        </is>
      </c>
      <c r="K43" s="97">
        <f>($Q$4/$Q$3)*(IF(B43="L",$T$15,$T$16))*(IF(C43="1-34 Bulan",$T$21,$T$22))*(IF(F43="Risiko Lebih",$T$27,IF(F43="Normal",$T$28,IF(F43="Kurang",$T$29,$T$30))))*(IF(G43="Normal",$T$35,IF(G43="Pendek",$T$36,$T$37)))*(IF(H43="Gizi Buruk",$T$42,IF(H43="Gizi Lebih",$T$43,IF(H43="Risiko Gizi Lebih",$T$44,IF(H43="Gizi Baik",$T$45,$T$46)))))*(IF(I43="Ya",$T$51,$T$52))</f>
        <v/>
      </c>
      <c r="L43" s="97">
        <f>($Q$5/$Q$3)*(IF(B43="L",$U$15,$U$16))*(IF(C43="1-34 Bulan",$U$21,$U$22))*(IF(F43="Risiko Lebih",$U$27,IF(F43="Normal",$U$28,IF(F43="Kurang",$U$29,$U$30))))*(IF(G43="Normal",$U$35,IF(G43="Pendek",$U$36,$U$37)))*(IF(H43="Gizi Buruk",$U$42,IF(H43="Gizi Lebih",$U$43,IF(H43="Risiko Gizi Lebih",$U$44,IF(H43="Gizi Baik",$U$45,$U$46)))))*(IF(I43="Ya",$U$51,$U$52))</f>
        <v/>
      </c>
      <c r="M43" s="97">
        <f>($Q$6/$Q$3)*(IF(B43="L",$V$15,$V$16))*(IF(C43="1-34 Bulan",$V$21,$V$22))*(IF(F43="Risiko Lebih",$V$27,IF(F43="Normal",$V$28,IF(F43="Kurang",$V$29,$V$30))))*(IF(G43="Normal",$V$35,IF(G43="Pendek",$V$36,$V$37)))*(IF(H43="Gizi Buruk",$V$42,IF(H43="Gizi Lebih",$V$43,IF(H43="Risiko Gizi Lebih",$V$44,IF(H43="Gizi Baik",$V$45,$V$46)))))*(IF(I43="Ya",$V$51,$V$52))</f>
        <v/>
      </c>
      <c r="N43" s="97">
        <f>IF(K43=MAX(K43,L43,M43),"Stunting",IF(L43=MAX(K43,L43,M43),"Potensi Stunting","Tidak"))</f>
        <v/>
      </c>
      <c r="P43" s="112" t="inlineStr">
        <is>
          <t>Gizi Lebih</t>
        </is>
      </c>
      <c r="Q43" s="112">
        <f>AK6</f>
        <v/>
      </c>
      <c r="R43" s="112">
        <f>AK7</f>
        <v/>
      </c>
      <c r="S43" s="112">
        <f>AK8</f>
        <v/>
      </c>
      <c r="T43" s="112">
        <f>Q43/Q47</f>
        <v/>
      </c>
      <c r="U43" s="112">
        <f>R43/R47</f>
        <v/>
      </c>
      <c r="V43" s="112">
        <f>S43/S47</f>
        <v/>
      </c>
    </row>
    <row r="44" ht="15.75" customHeight="1" s="95">
      <c r="A44" s="97" t="inlineStr">
        <is>
          <t>anonymus0788</t>
        </is>
      </c>
      <c r="B44" s="97" t="inlineStr">
        <is>
          <t>P</t>
        </is>
      </c>
      <c r="C44" s="97" t="inlineStr">
        <is>
          <t>1-34 Bulan</t>
        </is>
      </c>
      <c r="D44" s="97" t="n">
        <v>14.6</v>
      </c>
      <c r="E44" s="97" t="n">
        <v>77</v>
      </c>
      <c r="F44" s="97" t="inlineStr">
        <is>
          <t>Normal</t>
        </is>
      </c>
      <c r="G44" s="97" t="inlineStr">
        <is>
          <t>Normal</t>
        </is>
      </c>
      <c r="H44" s="97" t="inlineStr">
        <is>
          <t>Gizi Baik</t>
        </is>
      </c>
      <c r="I44" s="97" t="inlineStr">
        <is>
          <t>Ya</t>
        </is>
      </c>
      <c r="J44" s="126" t="inlineStr">
        <is>
          <t>Tidak</t>
        </is>
      </c>
      <c r="K44" s="97">
        <f>($Q$4/$Q$3)*(IF(B44="L",$T$15,$T$16))*(IF(C44="1-34 Bulan",$T$21,$T$22))*(IF(F44="Risiko Lebih",$T$27,IF(F44="Normal",$T$28,IF(F44="Kurang",$T$29,$T$30))))*(IF(G44="Normal",$T$35,IF(G44="Pendek",$T$36,$T$37)))*(IF(H44="Gizi Buruk",$T$42,IF(H44="Gizi Lebih",$T$43,IF(H44="Risiko Gizi Lebih",$T$44,IF(H44="Gizi Baik",$T$45,$T$46)))))*(IF(I44="Ya",$T$51,$T$52))</f>
        <v/>
      </c>
      <c r="L44" s="97">
        <f>($Q$5/$Q$3)*(IF(B44="L",$U$15,$U$16))*(IF(C44="1-34 Bulan",$U$21,$U$22))*(IF(F44="Risiko Lebih",$U$27,IF(F44="Normal",$U$28,IF(F44="Kurang",$U$29,$U$30))))*(IF(G44="Normal",$U$35,IF(G44="Pendek",$U$36,$U$37)))*(IF(H44="Gizi Buruk",$U$42,IF(H44="Gizi Lebih",$U$43,IF(H44="Risiko Gizi Lebih",$U$44,IF(H44="Gizi Baik",$U$45,$U$46)))))*(IF(I44="Ya",$U$51,$U$52))</f>
        <v/>
      </c>
      <c r="M44" s="97">
        <f>($Q$6/$Q$3)*(IF(B44="L",$V$15,$V$16))*(IF(C44="1-34 Bulan",$V$21,$V$22))*(IF(F44="Risiko Lebih",$V$27,IF(F44="Normal",$V$28,IF(F44="Kurang",$V$29,$V$30))))*(IF(G44="Normal",$V$35,IF(G44="Pendek",$V$36,$V$37)))*(IF(H44="Gizi Buruk",$V$42,IF(H44="Gizi Lebih",$V$43,IF(H44="Risiko Gizi Lebih",$V$44,IF(H44="Gizi Baik",$V$45,$V$46)))))*(IF(I44="Ya",$V$51,$V$52))</f>
        <v/>
      </c>
      <c r="N44" s="97">
        <f>IF(K44=MAX(K44,L44,M44),"Stunting",IF(L44=MAX(K44,L44,M44),"Potensi Stunting","Tidak"))</f>
        <v/>
      </c>
      <c r="P44" s="112" t="inlineStr">
        <is>
          <t>Risiko Gizi Lebih</t>
        </is>
      </c>
      <c r="Q44" s="112">
        <f>AK9</f>
        <v/>
      </c>
      <c r="R44" s="112">
        <f>AK10</f>
        <v/>
      </c>
      <c r="S44" s="112">
        <f>AK11</f>
        <v/>
      </c>
      <c r="T44" s="112">
        <f>Q44/Q47</f>
        <v/>
      </c>
      <c r="U44" s="112">
        <f>R44/R47</f>
        <v/>
      </c>
      <c r="V44" s="112">
        <f>S44/S47</f>
        <v/>
      </c>
    </row>
    <row r="45" ht="15.75" customHeight="1" s="95">
      <c r="A45" s="97" t="inlineStr">
        <is>
          <t>anonymus0789</t>
        </is>
      </c>
      <c r="B45" s="97" t="inlineStr">
        <is>
          <t>P</t>
        </is>
      </c>
      <c r="C45" s="97" t="inlineStr">
        <is>
          <t>1-34 Bulan</t>
        </is>
      </c>
      <c r="D45" s="97" t="inlineStr">
        <is>
          <t>5.4</t>
        </is>
      </c>
      <c r="E45" s="97" t="n">
        <v>59</v>
      </c>
      <c r="F45" s="97" t="inlineStr">
        <is>
          <t>Sangat Kurang</t>
        </is>
      </c>
      <c r="G45" s="97" t="inlineStr">
        <is>
          <t>Sangat Pendek</t>
        </is>
      </c>
      <c r="H45" s="97" t="inlineStr">
        <is>
          <t>Gizi Baik</t>
        </is>
      </c>
      <c r="I45" s="97" t="inlineStr">
        <is>
          <t>Ya</t>
        </is>
      </c>
      <c r="J45" s="126" t="inlineStr">
        <is>
          <t>Tidak</t>
        </is>
      </c>
      <c r="K45" s="97">
        <f>($Q$4/$Q$3)*(IF(B45="L",$T$15,$T$16))*(IF(C45="1-34 Bulan",$T$21,$T$22))*(IF(F45="Risiko Lebih",$T$27,IF(F45="Normal",$T$28,IF(F45="Kurang",$T$29,$T$30))))*(IF(G45="Normal",$T$35,IF(G45="Pendek",$T$36,$T$37)))*(IF(H45="Gizi Buruk",$T$42,IF(H45="Gizi Lebih",$T$43,IF(H45="Risiko Gizi Lebih",$T$44,IF(H45="Gizi Baik",$T$45,$T$46)))))*(IF(I45="Ya",$T$51,$T$52))</f>
        <v/>
      </c>
      <c r="L45" s="97">
        <f>($Q$5/$Q$3)*(IF(B45="L",$U$15,$U$16))*(IF(C45="1-34 Bulan",$U$21,$U$22))*(IF(F45="Risiko Lebih",$U$27,IF(F45="Normal",$U$28,IF(F45="Kurang",$U$29,$U$30))))*(IF(G45="Normal",$U$35,IF(G45="Pendek",$U$36,$U$37)))*(IF(H45="Gizi Buruk",$U$42,IF(H45="Gizi Lebih",$U$43,IF(H45="Risiko Gizi Lebih",$U$44,IF(H45="Gizi Baik",$U$45,$U$46)))))*(IF(I45="Ya",$U$51,$U$52))</f>
        <v/>
      </c>
      <c r="M45" s="97">
        <f>($Q$6/$Q$3)*(IF(B45="L",$V$15,$V$16))*(IF(C45="1-34 Bulan",$V$21,$V$22))*(IF(F45="Risiko Lebih",$V$27,IF(F45="Normal",$V$28,IF(F45="Kurang",$V$29,$V$30))))*(IF(G45="Normal",$V$35,IF(G45="Pendek",$V$36,$V$37)))*(IF(H45="Gizi Buruk",$V$42,IF(H45="Gizi Lebih",$V$43,IF(H45="Risiko Gizi Lebih",$V$44,IF(H45="Gizi Baik",$V$45,$V$46)))))*(IF(I45="Ya",$V$51,$V$52))</f>
        <v/>
      </c>
      <c r="N45" s="97">
        <f>IF(K45=MAX(K45,L45,M45),"Stunting",IF(L45=MAX(K45,L45,M45),"Potensi Stunting","Tidak"))</f>
        <v/>
      </c>
      <c r="P45" s="112" t="inlineStr">
        <is>
          <t>Gizi Baik</t>
        </is>
      </c>
      <c r="Q45" s="112">
        <f>AK12</f>
        <v/>
      </c>
      <c r="R45" s="112">
        <f>AK13</f>
        <v/>
      </c>
      <c r="S45" s="112">
        <f>AK14</f>
        <v/>
      </c>
      <c r="T45" s="112">
        <f>Q45/Q47</f>
        <v/>
      </c>
      <c r="U45" s="112">
        <f>R45/R47</f>
        <v/>
      </c>
      <c r="V45" s="112">
        <f>S45/S47</f>
        <v/>
      </c>
    </row>
    <row r="46" ht="15.75" customHeight="1" s="95">
      <c r="A46" s="97" t="inlineStr">
        <is>
          <t>anonymus0790</t>
        </is>
      </c>
      <c r="B46" s="97" t="inlineStr">
        <is>
          <t>L</t>
        </is>
      </c>
      <c r="C46" s="97" t="inlineStr">
        <is>
          <t>1-34 Bulan</t>
        </is>
      </c>
      <c r="D46" s="97" t="n">
        <v>6</v>
      </c>
      <c r="E46" s="97" t="n">
        <v>60</v>
      </c>
      <c r="F46" s="97" t="inlineStr">
        <is>
          <t>Normal</t>
        </is>
      </c>
      <c r="G46" s="97" t="inlineStr">
        <is>
          <t>Normal</t>
        </is>
      </c>
      <c r="H46" s="97" t="inlineStr">
        <is>
          <t>Gizi Baik</t>
        </is>
      </c>
      <c r="I46" s="97" t="inlineStr">
        <is>
          <t>Ya</t>
        </is>
      </c>
      <c r="J46" s="126" t="inlineStr">
        <is>
          <t>Tidak</t>
        </is>
      </c>
      <c r="K46" s="97">
        <f>($Q$4/$Q$3)*(IF(B46="L",$T$15,$T$16))*(IF(C46="1-34 Bulan",$T$21,$T$22))*(IF(F46="Risiko Lebih",$T$27,IF(F46="Normal",$T$28,IF(F46="Kurang",$T$29,$T$30))))*(IF(G46="Normal",$T$35,IF(G46="Pendek",$T$36,$T$37)))*(IF(H46="Gizi Buruk",$T$42,IF(H46="Gizi Lebih",$T$43,IF(H46="Risiko Gizi Lebih",$T$44,IF(H46="Gizi Baik",$T$45,$T$46)))))*(IF(I46="Ya",$T$51,$T$52))</f>
        <v/>
      </c>
      <c r="L46" s="97">
        <f>($Q$5/$Q$3)*(IF(B46="L",$U$15,$U$16))*(IF(C46="1-34 Bulan",$U$21,$U$22))*(IF(F46="Risiko Lebih",$U$27,IF(F46="Normal",$U$28,IF(F46="Kurang",$U$29,$U$30))))*(IF(G46="Normal",$U$35,IF(G46="Pendek",$U$36,$U$37)))*(IF(H46="Gizi Buruk",$U$42,IF(H46="Gizi Lebih",$U$43,IF(H46="Risiko Gizi Lebih",$U$44,IF(H46="Gizi Baik",$U$45,$U$46)))))*(IF(I46="Ya",$U$51,$U$52))</f>
        <v/>
      </c>
      <c r="M46" s="97">
        <f>($Q$6/$Q$3)*(IF(B46="L",$V$15,$V$16))*(IF(C46="1-34 Bulan",$V$21,$V$22))*(IF(F46="Risiko Lebih",$V$27,IF(F46="Normal",$V$28,IF(F46="Kurang",$V$29,$V$30))))*(IF(G46="Normal",$V$35,IF(G46="Pendek",$V$36,$V$37)))*(IF(H46="Gizi Buruk",$V$42,IF(H46="Gizi Lebih",$V$43,IF(H46="Risiko Gizi Lebih",$V$44,IF(H46="Gizi Baik",$V$45,$V$46)))))*(IF(I46="Ya",$V$51,$V$52))</f>
        <v/>
      </c>
      <c r="N46" s="97">
        <f>IF(K46=MAX(K46,L46,M46),"Stunting",IF(L46=MAX(K46,L46,M46),"Potensi Stunting","Tidak"))</f>
        <v/>
      </c>
      <c r="P46" s="112" t="inlineStr">
        <is>
          <t>Gizi Kurang</t>
        </is>
      </c>
      <c r="Q46" s="112">
        <f>AK15</f>
        <v/>
      </c>
      <c r="R46" s="112">
        <f>AK16</f>
        <v/>
      </c>
      <c r="S46" s="112">
        <f>AK17</f>
        <v/>
      </c>
      <c r="T46" s="112">
        <f>Q46/Q47</f>
        <v/>
      </c>
      <c r="U46" s="112">
        <f>R46/R47</f>
        <v/>
      </c>
      <c r="V46" s="112">
        <f>S46/S47</f>
        <v/>
      </c>
    </row>
    <row r="47" ht="15.75" customHeight="1" s="95">
      <c r="A47" s="97" t="inlineStr">
        <is>
          <t>anonymus0791</t>
        </is>
      </c>
      <c r="B47" s="97" t="inlineStr">
        <is>
          <t>P</t>
        </is>
      </c>
      <c r="C47" s="97" t="inlineStr">
        <is>
          <t>1-34 Bulan</t>
        </is>
      </c>
      <c r="D47" s="97" t="n">
        <v>6.8</v>
      </c>
      <c r="E47" s="97" t="n">
        <v>82</v>
      </c>
      <c r="F47" s="97" t="inlineStr">
        <is>
          <t>Kurang</t>
        </is>
      </c>
      <c r="G47" s="97" t="inlineStr">
        <is>
          <t>Normal</t>
        </is>
      </c>
      <c r="H47" s="97" t="inlineStr">
        <is>
          <t>Gizi Kurang</t>
        </is>
      </c>
      <c r="I47" s="97" t="inlineStr">
        <is>
          <t>Ya</t>
        </is>
      </c>
      <c r="J47" s="126" t="inlineStr">
        <is>
          <t>Tidak</t>
        </is>
      </c>
      <c r="K47" s="97">
        <f>($Q$4/$Q$3)*(IF(B47="L",$T$15,$T$16))*(IF(C47="1-34 Bulan",$T$21,$T$22))*(IF(F47="Risiko Lebih",$T$27,IF(F47="Normal",$T$28,IF(F47="Kurang",$T$29,$T$30))))*(IF(G47="Normal",$T$35,IF(G47="Pendek",$T$36,$T$37)))*(IF(H47="Gizi Buruk",$T$42,IF(H47="Gizi Lebih",$T$43,IF(H47="Risiko Gizi Lebih",$T$44,IF(H47="Gizi Baik",$T$45,$T$46)))))*(IF(I47="Ya",$T$51,$T$52))</f>
        <v/>
      </c>
      <c r="L47" s="97">
        <f>($Q$5/$Q$3)*(IF(B47="L",$U$15,$U$16))*(IF(C47="1-34 Bulan",$U$21,$U$22))*(IF(F47="Risiko Lebih",$U$27,IF(F47="Normal",$U$28,IF(F47="Kurang",$U$29,$U$30))))*(IF(G47="Normal",$U$35,IF(G47="Pendek",$U$36,$U$37)))*(IF(H47="Gizi Buruk",$U$42,IF(H47="Gizi Lebih",$U$43,IF(H47="Risiko Gizi Lebih",$U$44,IF(H47="Gizi Baik",$U$45,$U$46)))))*(IF(I47="Ya",$U$51,$U$52))</f>
        <v/>
      </c>
      <c r="M47" s="97">
        <f>($Q$6/$Q$3)*(IF(B47="L",$V$15,$V$16))*(IF(C47="1-34 Bulan",$V$21,$V$22))*(IF(F47="Risiko Lebih",$V$27,IF(F47="Normal",$V$28,IF(F47="Kurang",$V$29,$V$30))))*(IF(G47="Normal",$V$35,IF(G47="Pendek",$V$36,$V$37)))*(IF(H47="Gizi Buruk",$V$42,IF(H47="Gizi Lebih",$V$43,IF(H47="Risiko Gizi Lebih",$V$44,IF(H47="Gizi Baik",$V$45,$V$46)))))*(IF(I47="Ya",$V$51,$V$52))</f>
        <v/>
      </c>
      <c r="N47" s="97">
        <f>IF(K47=MAX(K47,L47,M47),"Stunting",IF(L47=MAX(K47,L47,M47),"Potensi Stunting","Tidak"))</f>
        <v/>
      </c>
      <c r="P47" s="112" t="n"/>
      <c r="Q47" s="112">
        <f>SUM(Q42:Q46)</f>
        <v/>
      </c>
      <c r="R47" s="112">
        <f>SUM(R42:R46)</f>
        <v/>
      </c>
      <c r="S47" s="112">
        <f>SUM(S42:S46)</f>
        <v/>
      </c>
      <c r="T47" s="112">
        <f>SUM(T42:T46)</f>
        <v/>
      </c>
      <c r="U47" s="112">
        <f>SUM(U42:U46)</f>
        <v/>
      </c>
      <c r="V47" s="112">
        <f>SUM(V42:V46)</f>
        <v/>
      </c>
    </row>
    <row r="48" ht="15.75" customHeight="1" s="95">
      <c r="A48" s="97" t="inlineStr">
        <is>
          <t>anonymus0792</t>
        </is>
      </c>
      <c r="B48" s="97" t="inlineStr">
        <is>
          <t>P</t>
        </is>
      </c>
      <c r="C48" s="97" t="inlineStr">
        <is>
          <t>35-69 Bulan</t>
        </is>
      </c>
      <c r="D48" s="97" t="n">
        <v>19.5</v>
      </c>
      <c r="E48" s="97" t="n">
        <v>116</v>
      </c>
      <c r="F48" s="97" t="inlineStr">
        <is>
          <t>Risiko Lebih</t>
        </is>
      </c>
      <c r="G48" s="97" t="inlineStr">
        <is>
          <t>Normal</t>
        </is>
      </c>
      <c r="H48" s="97" t="inlineStr">
        <is>
          <t>Gizi Lebih</t>
        </is>
      </c>
      <c r="I48" s="97" t="inlineStr">
        <is>
          <t>Ya</t>
        </is>
      </c>
      <c r="J48" s="126" t="inlineStr">
        <is>
          <t>Tidak</t>
        </is>
      </c>
      <c r="K48" s="97">
        <f>($Q$4/$Q$3)*(IF(B48="L",$T$15,$T$16))*(IF(C48="1-34 Bulan",$T$21,$T$22))*(IF(F48="Risiko Lebih",$T$27,IF(F48="Normal",$T$28,IF(F48="Kurang",$T$29,$T$30))))*(IF(G48="Normal",$T$35,IF(G48="Pendek",$T$36,$T$37)))*(IF(H48="Gizi Buruk",$T$42,IF(H48="Gizi Lebih",$T$43,IF(H48="Risiko Gizi Lebih",$T$44,IF(H48="Gizi Baik",$T$45,$T$46)))))*(IF(I48="Ya",$T$51,$T$52))</f>
        <v/>
      </c>
      <c r="L48" s="97">
        <f>($Q$5/$Q$3)*(IF(B48="L",$U$15,$U$16))*(IF(C48="1-34 Bulan",$U$21,$U$22))*(IF(F48="Risiko Lebih",$U$27,IF(F48="Normal",$U$28,IF(F48="Kurang",$U$29,$U$30))))*(IF(G48="Normal",$U$35,IF(G48="Pendek",$U$36,$U$37)))*(IF(H48="Gizi Buruk",$U$42,IF(H48="Gizi Lebih",$U$43,IF(H48="Risiko Gizi Lebih",$U$44,IF(H48="Gizi Baik",$U$45,$U$46)))))*(IF(I48="Ya",$U$51,$U$52))</f>
        <v/>
      </c>
      <c r="M48" s="97">
        <f>($Q$6/$Q$3)*(IF(B48="L",$V$15,$V$16))*(IF(C48="1-34 Bulan",$V$21,$V$22))*(IF(F48="Risiko Lebih",$V$27,IF(F48="Normal",$V$28,IF(F48="Kurang",$V$29,$V$30))))*(IF(G48="Normal",$V$35,IF(G48="Pendek",$V$36,$V$37)))*(IF(H48="Gizi Buruk",$V$42,IF(H48="Gizi Lebih",$V$43,IF(H48="Risiko Gizi Lebih",$V$44,IF(H48="Gizi Baik",$V$45,$V$46)))))*(IF(I48="Ya",$V$51,$V$52))</f>
        <v/>
      </c>
      <c r="N48" s="97">
        <f>IF(K48=MAX(K48,L48,M48),"Stunting",IF(L48=MAX(K48,L48,M48),"Potensi Stunting","Tidak"))</f>
        <v/>
      </c>
    </row>
    <row r="49" ht="15.75" customHeight="1" s="95">
      <c r="A49" s="97" t="inlineStr">
        <is>
          <t>anonymus0793</t>
        </is>
      </c>
      <c r="B49" s="97" t="inlineStr">
        <is>
          <t>L</t>
        </is>
      </c>
      <c r="C49" s="97" t="inlineStr">
        <is>
          <t>35-69 Bulan</t>
        </is>
      </c>
      <c r="D49" s="97" t="n">
        <v>14.2</v>
      </c>
      <c r="E49" s="97" t="n">
        <v>109</v>
      </c>
      <c r="F49" s="97" t="inlineStr">
        <is>
          <t>Normal</t>
        </is>
      </c>
      <c r="G49" s="97" t="inlineStr">
        <is>
          <t>Normal</t>
        </is>
      </c>
      <c r="H49" s="97" t="inlineStr">
        <is>
          <t>Gizi Baik</t>
        </is>
      </c>
      <c r="I49" s="97" t="inlineStr">
        <is>
          <t>Ya</t>
        </is>
      </c>
      <c r="J49" s="126" t="inlineStr">
        <is>
          <t>Tidak</t>
        </is>
      </c>
      <c r="K49" s="97">
        <f>($Q$4/$Q$3)*(IF(B49="L",$T$15,$T$16))*(IF(C49="1-34 Bulan",$T$21,$T$22))*(IF(F49="Risiko Lebih",$T$27,IF(F49="Normal",$T$28,IF(F49="Kurang",$T$29,$T$30))))*(IF(G49="Normal",$T$35,IF(G49="Pendek",$T$36,$T$37)))*(IF(H49="Gizi Buruk",$T$42,IF(H49="Gizi Lebih",$T$43,IF(H49="Risiko Gizi Lebih",$T$44,IF(H49="Gizi Baik",$T$45,$T$46)))))*(IF(I49="Ya",$T$51,$T$52))</f>
        <v/>
      </c>
      <c r="L49" s="97">
        <f>($Q$5/$Q$3)*(IF(B49="L",$U$15,$U$16))*(IF(C49="1-34 Bulan",$U$21,$U$22))*(IF(F49="Risiko Lebih",$U$27,IF(F49="Normal",$U$28,IF(F49="Kurang",$U$29,$U$30))))*(IF(G49="Normal",$U$35,IF(G49="Pendek",$U$36,$U$37)))*(IF(H49="Gizi Buruk",$U$42,IF(H49="Gizi Lebih",$U$43,IF(H49="Risiko Gizi Lebih",$U$44,IF(H49="Gizi Baik",$U$45,$U$46)))))*(IF(I49="Ya",$U$51,$U$52))</f>
        <v/>
      </c>
      <c r="M49" s="97">
        <f>($Q$6/$Q$3)*(IF(B49="L",$V$15,$V$16))*(IF(C49="1-34 Bulan",$V$21,$V$22))*(IF(F49="Risiko Lebih",$V$27,IF(F49="Normal",$V$28,IF(F49="Kurang",$V$29,$V$30))))*(IF(G49="Normal",$V$35,IF(G49="Pendek",$V$36,$V$37)))*(IF(H49="Gizi Buruk",$V$42,IF(H49="Gizi Lebih",$V$43,IF(H49="Risiko Gizi Lebih",$V$44,IF(H49="Gizi Baik",$V$45,$V$46)))))*(IF(I49="Ya",$V$51,$V$52))</f>
        <v/>
      </c>
      <c r="N49" s="97">
        <f>IF(K49=MAX(K49,L49,M49),"Stunting",IF(L49=MAX(K49,L49,M49),"Potensi Stunting","Tidak"))</f>
        <v/>
      </c>
      <c r="P49" s="115" t="inlineStr">
        <is>
          <t>Jumlah kejadian</t>
        </is>
      </c>
      <c r="Q49" s="116" t="n"/>
      <c r="R49" s="117" t="n"/>
      <c r="S49" s="115" t="n"/>
      <c r="T49" s="115" t="inlineStr">
        <is>
          <t>Probabilitas</t>
        </is>
      </c>
      <c r="U49" s="116" t="n"/>
      <c r="V49" s="117" t="n"/>
    </row>
    <row r="50" ht="15.75" customHeight="1" s="95">
      <c r="A50" s="97" t="inlineStr">
        <is>
          <t>anonymus0794</t>
        </is>
      </c>
      <c r="B50" s="97" t="inlineStr">
        <is>
          <t>L</t>
        </is>
      </c>
      <c r="C50" s="97" t="inlineStr">
        <is>
          <t>35-69 Bulan</t>
        </is>
      </c>
      <c r="D50" s="97" t="inlineStr">
        <is>
          <t>15.3</t>
        </is>
      </c>
      <c r="E50" s="97" t="n">
        <v>101</v>
      </c>
      <c r="F50" s="97" t="inlineStr">
        <is>
          <t>Normal</t>
        </is>
      </c>
      <c r="G50" s="97" t="inlineStr">
        <is>
          <t>Normal</t>
        </is>
      </c>
      <c r="H50" s="97" t="inlineStr">
        <is>
          <t>Gizi Baik</t>
        </is>
      </c>
      <c r="I50" s="97" t="inlineStr">
        <is>
          <t>Ya</t>
        </is>
      </c>
      <c r="J50" s="126" t="inlineStr">
        <is>
          <t>Tidak</t>
        </is>
      </c>
      <c r="K50" s="97">
        <f>($Q$4/$Q$3)*(IF(B50="L",$T$15,$T$16))*(IF(C50="1-34 Bulan",$T$21,$T$22))*(IF(F50="Risiko Lebih",$T$27,IF(F50="Normal",$T$28,IF(F50="Kurang",$T$29,$T$30))))*(IF(G50="Normal",$T$35,IF(G50="Pendek",$T$36,$T$37)))*(IF(H50="Gizi Buruk",$T$42,IF(H50="Gizi Lebih",$T$43,IF(H50="Risiko Gizi Lebih",$T$44,IF(H50="Gizi Baik",$T$45,$T$46)))))*(IF(I50="Ya",$T$51,$T$52))</f>
        <v/>
      </c>
      <c r="L50" s="97">
        <f>($Q$5/$Q$3)*(IF(B50="L",$U$15,$U$16))*(IF(C50="1-34 Bulan",$U$21,$U$22))*(IF(F50="Risiko Lebih",$U$27,IF(F50="Normal",$U$28,IF(F50="Kurang",$U$29,$U$30))))*(IF(G50="Normal",$U$35,IF(G50="Pendek",$U$36,$U$37)))*(IF(H50="Gizi Buruk",$U$42,IF(H50="Gizi Lebih",$U$43,IF(H50="Risiko Gizi Lebih",$U$44,IF(H50="Gizi Baik",$U$45,$U$46)))))*(IF(I50="Ya",$U$51,$U$52))</f>
        <v/>
      </c>
      <c r="M50" s="97">
        <f>($Q$6/$Q$3)*(IF(B50="L",$V$15,$V$16))*(IF(C50="1-34 Bulan",$V$21,$V$22))*(IF(F50="Risiko Lebih",$V$27,IF(F50="Normal",$V$28,IF(F50="Kurang",$V$29,$V$30))))*(IF(G50="Normal",$V$35,IF(G50="Pendek",$V$36,$V$37)))*(IF(H50="Gizi Buruk",$V$42,IF(H50="Gizi Lebih",$V$43,IF(H50="Risiko Gizi Lebih",$V$44,IF(H50="Gizi Baik",$V$45,$V$46)))))*(IF(I50="Ya",$V$51,$V$52))</f>
        <v/>
      </c>
      <c r="N50" s="97">
        <f>IF(K50=MAX(K50,L50,M50),"Stunting",IF(L50=MAX(K50,L50,M50),"Potensi Stunting","Tidak"))</f>
        <v/>
      </c>
      <c r="P50" s="115" t="inlineStr">
        <is>
          <t>Status Asi Ekslusif</t>
        </is>
      </c>
      <c r="Q50" s="115" t="inlineStr">
        <is>
          <t>Stunting</t>
        </is>
      </c>
      <c r="R50" s="115" t="inlineStr">
        <is>
          <t>Potensi Stunting</t>
        </is>
      </c>
      <c r="S50" s="115" t="inlineStr">
        <is>
          <t>Tidak</t>
        </is>
      </c>
      <c r="T50" s="115" t="inlineStr">
        <is>
          <t>Stunting</t>
        </is>
      </c>
      <c r="U50" s="115" t="inlineStr">
        <is>
          <t>Potensi Stuting</t>
        </is>
      </c>
      <c r="V50" s="115" t="inlineStr">
        <is>
          <t>Tidak</t>
        </is>
      </c>
    </row>
    <row r="51" ht="15.75" customHeight="1" s="95">
      <c r="A51" s="97" t="inlineStr">
        <is>
          <t>anonymus0795</t>
        </is>
      </c>
      <c r="B51" s="97" t="inlineStr">
        <is>
          <t>L</t>
        </is>
      </c>
      <c r="C51" s="97" t="inlineStr">
        <is>
          <t>35-69 Bulan</t>
        </is>
      </c>
      <c r="D51" s="97" t="n">
        <v>9.4</v>
      </c>
      <c r="E51" s="97" t="n">
        <v>85</v>
      </c>
      <c r="F51" s="97" t="inlineStr">
        <is>
          <t>Kurang</t>
        </is>
      </c>
      <c r="G51" s="97" t="inlineStr">
        <is>
          <t>Pendek</t>
        </is>
      </c>
      <c r="H51" s="97" t="inlineStr">
        <is>
          <t>Gizi Buruk</t>
        </is>
      </c>
      <c r="I51" s="97" t="inlineStr">
        <is>
          <t>Tidak</t>
        </is>
      </c>
      <c r="J51" s="126" t="inlineStr">
        <is>
          <t>Stunting</t>
        </is>
      </c>
      <c r="K51" s="97">
        <f>($Q$4/$Q$3)*(IF(B51="L",$T$15,$T$16))*(IF(C51="1-34 Bulan",$T$21,$T$22))*(IF(F51="Risiko Lebih",$T$27,IF(F51="Normal",$T$28,IF(F51="Kurang",$T$29,$T$30))))*(IF(G51="Normal",$T$35,IF(G51="Pendek",$T$36,$T$37)))*(IF(H51="Gizi Buruk",$T$42,IF(H51="Gizi Lebih",$T$43,IF(H51="Risiko Gizi Lebih",$T$44,IF(H51="Gizi Baik",$T$45,$T$46)))))*(IF(I51="Ya",$T$51,$T$52))</f>
        <v/>
      </c>
      <c r="L51" s="97">
        <f>($Q$5/$Q$3)*(IF(B51="L",$U$15,$U$16))*(IF(C51="1-34 Bulan",$U$21,$U$22))*(IF(F51="Risiko Lebih",$U$27,IF(F51="Normal",$U$28,IF(F51="Kurang",$U$29,$U$30))))*(IF(G51="Normal",$U$35,IF(G51="Pendek",$U$36,$U$37)))*(IF(H51="Gizi Buruk",$U$42,IF(H51="Gizi Lebih",$U$43,IF(H51="Risiko Gizi Lebih",$U$44,IF(H51="Gizi Baik",$U$45,$U$46)))))*(IF(I51="Ya",$U$51,$U$52))</f>
        <v/>
      </c>
      <c r="M51" s="97">
        <f>($Q$6/$Q$3)*(IF(B51="L",$V$15,$V$16))*(IF(C51="1-34 Bulan",$V$21,$V$22))*(IF(F51="Risiko Lebih",$V$27,IF(F51="Normal",$V$28,IF(F51="Kurang",$V$29,$V$30))))*(IF(G51="Normal",$V$35,IF(G51="Pendek",$V$36,$V$37)))*(IF(H51="Gizi Buruk",$V$42,IF(H51="Gizi Lebih",$V$43,IF(H51="Risiko Gizi Lebih",$V$44,IF(H51="Gizi Baik",$V$45,$V$46)))))*(IF(I51="Ya",$V$51,$V$52))</f>
        <v/>
      </c>
      <c r="N51" s="97">
        <f>IF(K51=MAX(K51,L51,M51),"Stunting",IF(L51=MAX(K51,L51,M51),"Potensi Stunting","Tidak"))</f>
        <v/>
      </c>
      <c r="P51" s="112" t="inlineStr">
        <is>
          <t>Ya</t>
        </is>
      </c>
      <c r="Q51" s="112">
        <f>AO3</f>
        <v/>
      </c>
      <c r="R51" s="112">
        <f>AO4</f>
        <v/>
      </c>
      <c r="S51" s="112">
        <f>AO5</f>
        <v/>
      </c>
      <c r="T51" s="112">
        <f>Q51/Q53</f>
        <v/>
      </c>
      <c r="U51" s="112">
        <f>R51/R53</f>
        <v/>
      </c>
      <c r="V51" s="112">
        <f>S51/S53</f>
        <v/>
      </c>
    </row>
    <row r="52" ht="15.75" customHeight="1" s="95">
      <c r="A52" s="97" t="inlineStr">
        <is>
          <t>anonymus0796</t>
        </is>
      </c>
      <c r="B52" s="97" t="inlineStr">
        <is>
          <t>P</t>
        </is>
      </c>
      <c r="C52" s="97" t="inlineStr">
        <is>
          <t>1-34 Bulan</t>
        </is>
      </c>
      <c r="D52" s="97" t="n">
        <v>12.5</v>
      </c>
      <c r="E52" s="97" t="n">
        <v>87</v>
      </c>
      <c r="F52" s="97" t="inlineStr">
        <is>
          <t>Normal</t>
        </is>
      </c>
      <c r="G52" s="97" t="inlineStr">
        <is>
          <t>Normal</t>
        </is>
      </c>
      <c r="H52" s="97" t="inlineStr">
        <is>
          <t>Gizi Baik</t>
        </is>
      </c>
      <c r="I52" s="97" t="inlineStr">
        <is>
          <t>Ya</t>
        </is>
      </c>
      <c r="J52" s="126" t="inlineStr">
        <is>
          <t>Tidak</t>
        </is>
      </c>
      <c r="K52" s="97">
        <f>($Q$4/$Q$3)*(IF(B52="L",$T$15,$T$16))*(IF(C52="1-34 Bulan",$T$21,$T$22))*(IF(F52="Risiko Lebih",$T$27,IF(F52="Normal",$T$28,IF(F52="Kurang",$T$29,$T$30))))*(IF(G52="Normal",$T$35,IF(G52="Pendek",$T$36,$T$37)))*(IF(H52="Gizi Buruk",$T$42,IF(H52="Gizi Lebih",$T$43,IF(H52="Risiko Gizi Lebih",$T$44,IF(H52="Gizi Baik",$T$45,$T$46)))))*(IF(I52="Ya",$T$51,$T$52))</f>
        <v/>
      </c>
      <c r="L52" s="97">
        <f>($Q$5/$Q$3)*(IF(B52="L",$U$15,$U$16))*(IF(C52="1-34 Bulan",$U$21,$U$22))*(IF(F52="Risiko Lebih",$U$27,IF(F52="Normal",$U$28,IF(F52="Kurang",$U$29,$U$30))))*(IF(G52="Normal",$U$35,IF(G52="Pendek",$U$36,$U$37)))*(IF(H52="Gizi Buruk",$U$42,IF(H52="Gizi Lebih",$U$43,IF(H52="Risiko Gizi Lebih",$U$44,IF(H52="Gizi Baik",$U$45,$U$46)))))*(IF(I52="Ya",$U$51,$U$52))</f>
        <v/>
      </c>
      <c r="M52" s="97">
        <f>($Q$6/$Q$3)*(IF(B52="L",$V$15,$V$16))*(IF(C52="1-34 Bulan",$V$21,$V$22))*(IF(F52="Risiko Lebih",$V$27,IF(F52="Normal",$V$28,IF(F52="Kurang",$V$29,$V$30))))*(IF(G52="Normal",$V$35,IF(G52="Pendek",$V$36,$V$37)))*(IF(H52="Gizi Buruk",$V$42,IF(H52="Gizi Lebih",$V$43,IF(H52="Risiko Gizi Lebih",$V$44,IF(H52="Gizi Baik",$V$45,$V$46)))))*(IF(I52="Ya",$V$51,$V$52))</f>
        <v/>
      </c>
      <c r="N52" s="97">
        <f>IF(K52=MAX(K52,L52,M52),"Stunting",IF(L52=MAX(K52,L52,M52),"Potensi Stunting","Tidak"))</f>
        <v/>
      </c>
      <c r="P52" s="112" t="inlineStr">
        <is>
          <t>Tidak</t>
        </is>
      </c>
      <c r="Q52" s="112">
        <f>AO6</f>
        <v/>
      </c>
      <c r="R52" s="112">
        <f>AO7</f>
        <v/>
      </c>
      <c r="S52" s="112">
        <f>AO8</f>
        <v/>
      </c>
      <c r="T52" s="112">
        <f>Q52/Q53</f>
        <v/>
      </c>
      <c r="U52" s="112">
        <f>R52/R53</f>
        <v/>
      </c>
      <c r="V52" s="112">
        <f>S52/S53</f>
        <v/>
      </c>
    </row>
    <row r="53" ht="15.75" customHeight="1" s="95">
      <c r="A53" s="97" t="inlineStr">
        <is>
          <t>anonymus0797</t>
        </is>
      </c>
      <c r="B53" s="97" t="inlineStr">
        <is>
          <t>P</t>
        </is>
      </c>
      <c r="C53" s="97" t="inlineStr">
        <is>
          <t>1-34 Bulan</t>
        </is>
      </c>
      <c r="D53" s="97" t="n">
        <v>7</v>
      </c>
      <c r="E53" s="97" t="n">
        <v>71.40000000000001</v>
      </c>
      <c r="F53" s="97" t="inlineStr">
        <is>
          <t>Kurang</t>
        </is>
      </c>
      <c r="G53" s="97" t="inlineStr">
        <is>
          <t>Pendek</t>
        </is>
      </c>
      <c r="H53" s="97" t="inlineStr">
        <is>
          <t>Gizi Buruk</t>
        </is>
      </c>
      <c r="I53" s="97" t="inlineStr">
        <is>
          <t>Tidak</t>
        </is>
      </c>
      <c r="J53" s="126" t="inlineStr">
        <is>
          <t>Stunting</t>
        </is>
      </c>
      <c r="K53" s="97">
        <f>($Q$4/$Q$3)*(IF(B53="L",$T$15,$T$16))*(IF(C53="1-34 Bulan",$T$21,$T$22))*(IF(F53="Risiko Lebih",$T$27,IF(F53="Normal",$T$28,IF(F53="Kurang",$T$29,$T$30))))*(IF(G53="Normal",$T$35,IF(G53="Pendek",$T$36,$T$37)))*(IF(H53="Gizi Buruk",$T$42,IF(H53="Gizi Lebih",$T$43,IF(H53="Risiko Gizi Lebih",$T$44,IF(H53="Gizi Baik",$T$45,$T$46)))))*(IF(I53="Ya",$T$51,$T$52))</f>
        <v/>
      </c>
      <c r="L53" s="97">
        <f>($Q$5/$Q$3)*(IF(B53="L",$U$15,$U$16))*(IF(C53="1-34 Bulan",$U$21,$U$22))*(IF(F53="Risiko Lebih",$U$27,IF(F53="Normal",$U$28,IF(F53="Kurang",$U$29,$U$30))))*(IF(G53="Normal",$U$35,IF(G53="Pendek",$U$36,$U$37)))*(IF(H53="Gizi Buruk",$U$42,IF(H53="Gizi Lebih",$U$43,IF(H53="Risiko Gizi Lebih",$U$44,IF(H53="Gizi Baik",$U$45,$U$46)))))*(IF(I53="Ya",$U$51,$U$52))</f>
        <v/>
      </c>
      <c r="M53" s="97">
        <f>($Q$6/$Q$3)*(IF(B53="L",$V$15,$V$16))*(IF(C53="1-34 Bulan",$V$21,$V$22))*(IF(F53="Risiko Lebih",$V$27,IF(F53="Normal",$V$28,IF(F53="Kurang",$V$29,$V$30))))*(IF(G53="Normal",$V$35,IF(G53="Pendek",$V$36,$V$37)))*(IF(H53="Gizi Buruk",$V$42,IF(H53="Gizi Lebih",$V$43,IF(H53="Risiko Gizi Lebih",$V$44,IF(H53="Gizi Baik",$V$45,$V$46)))))*(IF(I53="Ya",$V$51,$V$52))</f>
        <v/>
      </c>
      <c r="N53" s="97">
        <f>IF(K53=MAX(K53,L53,M53),"Stunting",IF(L53=MAX(K53,L53,M53),"Potensi Stunting","Tidak"))</f>
        <v/>
      </c>
      <c r="P53" s="112" t="n"/>
      <c r="Q53" s="112">
        <f>SUM(Q51:Q52)</f>
        <v/>
      </c>
      <c r="R53" s="112">
        <f>SUM(R51:R52)</f>
        <v/>
      </c>
      <c r="S53" s="112">
        <f>SUM(S51:S52)</f>
        <v/>
      </c>
      <c r="T53" s="112">
        <f>SUM(T51:T52)</f>
        <v/>
      </c>
      <c r="U53" s="112">
        <f>SUM(U51:U52)</f>
        <v/>
      </c>
      <c r="V53" s="112">
        <f>SUM(V51:V52)</f>
        <v/>
      </c>
    </row>
    <row r="54" ht="15.75" customHeight="1" s="95">
      <c r="A54" s="97" t="inlineStr">
        <is>
          <t>anonymus0798</t>
        </is>
      </c>
      <c r="B54" s="97" t="inlineStr">
        <is>
          <t>P</t>
        </is>
      </c>
      <c r="C54" s="97" t="inlineStr">
        <is>
          <t>1-34 Bulan</t>
        </is>
      </c>
      <c r="D54" s="97" t="inlineStr">
        <is>
          <t>12.9</t>
        </is>
      </c>
      <c r="E54" s="97" t="n">
        <v>91</v>
      </c>
      <c r="F54" s="97" t="inlineStr">
        <is>
          <t>Normal</t>
        </is>
      </c>
      <c r="G54" s="97" t="inlineStr">
        <is>
          <t>Normal</t>
        </is>
      </c>
      <c r="H54" s="97" t="inlineStr">
        <is>
          <t>Gizi Baik</t>
        </is>
      </c>
      <c r="I54" s="97" t="inlineStr">
        <is>
          <t>Ya</t>
        </is>
      </c>
      <c r="J54" s="126" t="inlineStr">
        <is>
          <t>Tidak</t>
        </is>
      </c>
      <c r="K54" s="97">
        <f>($Q$4/$Q$3)*(IF(B54="L",$T$15,$T$16))*(IF(C54="1-34 Bulan",$T$21,$T$22))*(IF(F54="Risiko Lebih",$T$27,IF(F54="Normal",$T$28,IF(F54="Kurang",$T$29,$T$30))))*(IF(G54="Normal",$T$35,IF(G54="Pendek",$T$36,$T$37)))*(IF(H54="Gizi Buruk",$T$42,IF(H54="Gizi Lebih",$T$43,IF(H54="Risiko Gizi Lebih",$T$44,IF(H54="Gizi Baik",$T$45,$T$46)))))*(IF(I54="Ya",$T$51,$T$52))</f>
        <v/>
      </c>
      <c r="L54" s="97">
        <f>($Q$5/$Q$3)*(IF(B54="L",$U$15,$U$16))*(IF(C54="1-34 Bulan",$U$21,$U$22))*(IF(F54="Risiko Lebih",$U$27,IF(F54="Normal",$U$28,IF(F54="Kurang",$U$29,$U$30))))*(IF(G54="Normal",$U$35,IF(G54="Pendek",$U$36,$U$37)))*(IF(H54="Gizi Buruk",$U$42,IF(H54="Gizi Lebih",$U$43,IF(H54="Risiko Gizi Lebih",$U$44,IF(H54="Gizi Baik",$U$45,$U$46)))))*(IF(I54="Ya",$U$51,$U$52))</f>
        <v/>
      </c>
      <c r="M54" s="97">
        <f>($Q$6/$Q$3)*(IF(B54="L",$V$15,$V$16))*(IF(C54="1-34 Bulan",$V$21,$V$22))*(IF(F54="Risiko Lebih",$V$27,IF(F54="Normal",$V$28,IF(F54="Kurang",$V$29,$V$30))))*(IF(G54="Normal",$V$35,IF(G54="Pendek",$V$36,$V$37)))*(IF(H54="Gizi Buruk",$V$42,IF(H54="Gizi Lebih",$V$43,IF(H54="Risiko Gizi Lebih",$V$44,IF(H54="Gizi Baik",$V$45,$V$46)))))*(IF(I54="Ya",$V$51,$V$52))</f>
        <v/>
      </c>
      <c r="N54" s="97">
        <f>IF(K54=MAX(K54,L54,M54),"Stunting",IF(L54=MAX(K54,L54,M54),"Potensi Stunting","Tidak"))</f>
        <v/>
      </c>
    </row>
    <row r="55" ht="15.75" customHeight="1" s="95">
      <c r="A55" s="97" t="inlineStr">
        <is>
          <t>anonymus0799</t>
        </is>
      </c>
      <c r="B55" s="97" t="inlineStr">
        <is>
          <t>L</t>
        </is>
      </c>
      <c r="C55" s="97" t="inlineStr">
        <is>
          <t>35-69 Bulan</t>
        </is>
      </c>
      <c r="D55" s="97" t="n">
        <v>17</v>
      </c>
      <c r="E55" s="97" t="n">
        <v>103</v>
      </c>
      <c r="F55" s="97" t="inlineStr">
        <is>
          <t>Normal</t>
        </is>
      </c>
      <c r="G55" s="97" t="inlineStr">
        <is>
          <t>Normal</t>
        </is>
      </c>
      <c r="H55" s="97" t="inlineStr">
        <is>
          <t>Gizi Baik</t>
        </is>
      </c>
      <c r="I55" s="97" t="inlineStr">
        <is>
          <t>Ya</t>
        </is>
      </c>
      <c r="J55" s="126" t="inlineStr">
        <is>
          <t>Tidak</t>
        </is>
      </c>
      <c r="K55" s="97">
        <f>($Q$4/$Q$3)*(IF(B55="L",$T$15,$T$16))*(IF(C55="1-34 Bulan",$T$21,$T$22))*(IF(F55="Risiko Lebih",$T$27,IF(F55="Normal",$T$28,IF(F55="Kurang",$T$29,$T$30))))*(IF(G55="Normal",$T$35,IF(G55="Pendek",$T$36,$T$37)))*(IF(H55="Gizi Buruk",$T$42,IF(H55="Gizi Lebih",$T$43,IF(H55="Risiko Gizi Lebih",$T$44,IF(H55="Gizi Baik",$T$45,$T$46)))))*(IF(I55="Ya",$T$51,$T$52))</f>
        <v/>
      </c>
      <c r="L55" s="97">
        <f>($Q$5/$Q$3)*(IF(B55="L",$U$15,$U$16))*(IF(C55="1-34 Bulan",$U$21,$U$22))*(IF(F55="Risiko Lebih",$U$27,IF(F55="Normal",$U$28,IF(F55="Kurang",$U$29,$U$30))))*(IF(G55="Normal",$U$35,IF(G55="Pendek",$U$36,$U$37)))*(IF(H55="Gizi Buruk",$U$42,IF(H55="Gizi Lebih",$U$43,IF(H55="Risiko Gizi Lebih",$U$44,IF(H55="Gizi Baik",$U$45,$U$46)))))*(IF(I55="Ya",$U$51,$U$52))</f>
        <v/>
      </c>
      <c r="M55" s="97">
        <f>($Q$6/$Q$3)*(IF(B55="L",$V$15,$V$16))*(IF(C55="1-34 Bulan",$V$21,$V$22))*(IF(F55="Risiko Lebih",$V$27,IF(F55="Normal",$V$28,IF(F55="Kurang",$V$29,$V$30))))*(IF(G55="Normal",$V$35,IF(G55="Pendek",$V$36,$V$37)))*(IF(H55="Gizi Buruk",$V$42,IF(H55="Gizi Lebih",$V$43,IF(H55="Risiko Gizi Lebih",$V$44,IF(H55="Gizi Baik",$V$45,$V$46)))))*(IF(I55="Ya",$V$51,$V$52))</f>
        <v/>
      </c>
      <c r="N55" s="97">
        <f>IF(K55=MAX(K55,L55,M55),"Stunting",IF(L55=MAX(K55,L55,M55),"Potensi Stunting","Tidak"))</f>
        <v/>
      </c>
      <c r="O55" s="102" t="n"/>
      <c r="Z55" s="109" t="inlineStr">
        <is>
          <t>Prediksi</t>
        </is>
      </c>
      <c r="AA55" s="116" t="n"/>
      <c r="AB55" s="117" t="n"/>
      <c r="AC55" s="112" t="inlineStr">
        <is>
          <t>Hasil Prediksi</t>
        </is>
      </c>
      <c r="AD55" s="120" t="n"/>
    </row>
    <row r="56" ht="15.75" customHeight="1" s="95">
      <c r="A56" s="97" t="inlineStr">
        <is>
          <t>anonymus0800</t>
        </is>
      </c>
      <c r="B56" s="97" t="inlineStr">
        <is>
          <t>L</t>
        </is>
      </c>
      <c r="C56" s="97" t="inlineStr">
        <is>
          <t>1-34 Bulan</t>
        </is>
      </c>
      <c r="D56" s="97" t="inlineStr">
        <is>
          <t>12.9</t>
        </is>
      </c>
      <c r="E56" s="97" t="n">
        <v>88</v>
      </c>
      <c r="F56" s="97" t="inlineStr">
        <is>
          <t>Normal</t>
        </is>
      </c>
      <c r="G56" s="97" t="inlineStr">
        <is>
          <t>Normal</t>
        </is>
      </c>
      <c r="H56" s="97" t="inlineStr">
        <is>
          <t>Gizi Baik</t>
        </is>
      </c>
      <c r="I56" s="97" t="inlineStr">
        <is>
          <t>Ya</t>
        </is>
      </c>
      <c r="J56" s="126" t="inlineStr">
        <is>
          <t>Tidak</t>
        </is>
      </c>
      <c r="K56" s="97">
        <f>($Q$4/$Q$3)*(IF(B56="L",$T$15,$T$16))*(IF(C56="1-34 Bulan",$T$21,$T$22))*(IF(F56="Risiko Lebih",$T$27,IF(F56="Normal",$T$28,IF(F56="Kurang",$T$29,$T$30))))*(IF(G56="Normal",$T$35,IF(G56="Pendek",$T$36,$T$37)))*(IF(H56="Gizi Buruk",$T$42,IF(H56="Gizi Lebih",$T$43,IF(H56="Risiko Gizi Lebih",$T$44,IF(H56="Gizi Baik",$T$45,$T$46)))))*(IF(I56="Ya",$T$51,$T$52))</f>
        <v/>
      </c>
      <c r="L56" s="97">
        <f>($Q$5/$Q$3)*(IF(B56="L",$U$15,$U$16))*(IF(C56="1-34 Bulan",$U$21,$U$22))*(IF(F56="Risiko Lebih",$U$27,IF(F56="Normal",$U$28,IF(F56="Kurang",$U$29,$U$30))))*(IF(G56="Normal",$U$35,IF(G56="Pendek",$U$36,$U$37)))*(IF(H56="Gizi Buruk",$U$42,IF(H56="Gizi Lebih",$U$43,IF(H56="Risiko Gizi Lebih",$U$44,IF(H56="Gizi Baik",$U$45,$U$46)))))*(IF(I56="Ya",$U$51,$U$52))</f>
        <v/>
      </c>
      <c r="M56" s="97">
        <f>($Q$6/$Q$3)*(IF(B56="L",$V$15,$V$16))*(IF(C56="1-34 Bulan",$V$21,$V$22))*(IF(F56="Risiko Lebih",$V$27,IF(F56="Normal",$V$28,IF(F56="Kurang",$V$29,$V$30))))*(IF(G56="Normal",$V$35,IF(G56="Pendek",$V$36,$V$37)))*(IF(H56="Gizi Buruk",$V$42,IF(H56="Gizi Lebih",$V$43,IF(H56="Risiko Gizi Lebih",$V$44,IF(H56="Gizi Baik",$V$45,$V$46)))))*(IF(I56="Ya",$V$51,$V$52))</f>
        <v/>
      </c>
      <c r="N56" s="97">
        <f>IF(K56=MAX(K56,L56,M56),"Stunting",IF(L56=MAX(K56,L56,M56),"Potensi Stunting","Tidak"))</f>
        <v/>
      </c>
      <c r="O56" s="130" t="n"/>
      <c r="P56" s="100" t="inlineStr">
        <is>
          <t>Nama/Kode balita</t>
        </is>
      </c>
      <c r="Q56" s="100" t="inlineStr">
        <is>
          <t>JK</t>
        </is>
      </c>
      <c r="R56" s="100" t="inlineStr">
        <is>
          <t xml:space="preserve">Umur </t>
        </is>
      </c>
      <c r="S56" s="100" t="inlineStr">
        <is>
          <t xml:space="preserve">Berat </t>
        </is>
      </c>
      <c r="T56" s="100" t="inlineStr">
        <is>
          <t>Tinggi</t>
        </is>
      </c>
      <c r="U56" s="100" t="inlineStr">
        <is>
          <t>BB/U</t>
        </is>
      </c>
      <c r="V56" s="100" t="inlineStr">
        <is>
          <t>TB/U</t>
        </is>
      </c>
      <c r="W56" s="100" t="inlineStr">
        <is>
          <t>Status Gizi</t>
        </is>
      </c>
      <c r="X56" s="100" t="inlineStr">
        <is>
          <t>Status ASI Ekslusif</t>
        </is>
      </c>
      <c r="Y56" s="100" t="inlineStr">
        <is>
          <t>Status Stunting</t>
        </is>
      </c>
      <c r="Z56" s="100" t="inlineStr">
        <is>
          <t>Stunting</t>
        </is>
      </c>
      <c r="AA56" s="100" t="inlineStr">
        <is>
          <t>Potensi Stunting</t>
        </is>
      </c>
      <c r="AB56" s="100" t="inlineStr">
        <is>
          <t>Tidak</t>
        </is>
      </c>
      <c r="AC56" s="121" t="n"/>
      <c r="AD56" s="122" t="n"/>
    </row>
    <row r="57" ht="15.75" customHeight="1" s="95">
      <c r="A57" s="97" t="inlineStr">
        <is>
          <t>anonymus0801</t>
        </is>
      </c>
      <c r="B57" s="97" t="inlineStr">
        <is>
          <t>P</t>
        </is>
      </c>
      <c r="C57" s="97" t="inlineStr">
        <is>
          <t>1-34 Bulan</t>
        </is>
      </c>
      <c r="D57" s="97" t="n">
        <v>11</v>
      </c>
      <c r="E57" s="97" t="n">
        <v>80</v>
      </c>
      <c r="F57" s="97" t="inlineStr">
        <is>
          <t>Normal</t>
        </is>
      </c>
      <c r="G57" s="97" t="inlineStr">
        <is>
          <t>Normal</t>
        </is>
      </c>
      <c r="H57" s="97" t="inlineStr">
        <is>
          <t>Gizi Baik</t>
        </is>
      </c>
      <c r="I57" s="97" t="inlineStr">
        <is>
          <t>Ya</t>
        </is>
      </c>
      <c r="J57" s="126" t="inlineStr">
        <is>
          <t>Tidak</t>
        </is>
      </c>
      <c r="K57" s="97">
        <f>($Q$4/$Q$3)*(IF(B57="L",$T$15,$T$16))*(IF(C57="1-34 Bulan",$T$21,$T$22))*(IF(F57="Risiko Lebih",$T$27,IF(F57="Normal",$T$28,IF(F57="Kurang",$T$29,$T$30))))*(IF(G57="Normal",$T$35,IF(G57="Pendek",$T$36,$T$37)))*(IF(H57="Gizi Buruk",$T$42,IF(H57="Gizi Lebih",$T$43,IF(H57="Risiko Gizi Lebih",$T$44,IF(H57="Gizi Baik",$T$45,$T$46)))))*(IF(I57="Ya",$T$51,$T$52))</f>
        <v/>
      </c>
      <c r="L57" s="97">
        <f>($Q$5/$Q$3)*(IF(B57="L",$U$15,$U$16))*(IF(C57="1-34 Bulan",$U$21,$U$22))*(IF(F57="Risiko Lebih",$U$27,IF(F57="Normal",$U$28,IF(F57="Kurang",$U$29,$U$30))))*(IF(G57="Normal",$U$35,IF(G57="Pendek",$U$36,$U$37)))*(IF(H57="Gizi Buruk",$U$42,IF(H57="Gizi Lebih",$U$43,IF(H57="Risiko Gizi Lebih",$U$44,IF(H57="Gizi Baik",$U$45,$U$46)))))*(IF(I57="Ya",$U$51,$U$52))</f>
        <v/>
      </c>
      <c r="M57" s="97">
        <f>($Q$6/$Q$3)*(IF(B57="L",$V$15,$V$16))*(IF(C57="1-34 Bulan",$V$21,$V$22))*(IF(F57="Risiko Lebih",$V$27,IF(F57="Normal",$V$28,IF(F57="Kurang",$V$29,$V$30))))*(IF(G57="Normal",$V$35,IF(G57="Pendek",$V$36,$V$37)))*(IF(H57="Gizi Buruk",$V$42,IF(H57="Gizi Lebih",$V$43,IF(H57="Risiko Gizi Lebih",$V$44,IF(H57="Gizi Baik",$V$45,$V$46)))))*(IF(I57="Ya",$V$51,$V$52))</f>
        <v/>
      </c>
      <c r="N57" s="97">
        <f>IF(K57=MAX(K57,L57,M57),"Stunting",IF(L57=MAX(K57,L57,M57),"Potensi Stunting","Tidak"))</f>
        <v/>
      </c>
      <c r="O57" s="130" t="n"/>
      <c r="P57" s="97" t="inlineStr">
        <is>
          <t>anonymus0001</t>
        </is>
      </c>
      <c r="Q57" s="97" t="inlineStr">
        <is>
          <t>L</t>
        </is>
      </c>
      <c r="R57" s="97" t="inlineStr">
        <is>
          <t>35-69 Bulan</t>
        </is>
      </c>
      <c r="S57" s="97" t="n">
        <v>17.6</v>
      </c>
      <c r="T57" s="97" t="n">
        <v>107</v>
      </c>
      <c r="U57" s="97" t="inlineStr">
        <is>
          <t>Risiko Lebih</t>
        </is>
      </c>
      <c r="V57" s="97" t="inlineStr">
        <is>
          <t>Normal</t>
        </is>
      </c>
      <c r="W57" s="97" t="inlineStr">
        <is>
          <t>Gizi Lebih</t>
        </is>
      </c>
      <c r="X57" s="97" t="inlineStr">
        <is>
          <t>Ya</t>
        </is>
      </c>
      <c r="Y57" s="97" t="inlineStr">
        <is>
          <t>Tidak</t>
        </is>
      </c>
      <c r="Z57" s="109">
        <f>S15*S22*S27*S43*S51</f>
        <v/>
      </c>
      <c r="AA57" s="109">
        <f>T15*T22*T27*T35*T43*T51</f>
        <v/>
      </c>
      <c r="AB57" s="123">
        <f>U15*U22*U27*U35*U43*U51</f>
        <v/>
      </c>
      <c r="AC57" s="109" t="inlineStr">
        <is>
          <t>Tidak</t>
        </is>
      </c>
      <c r="AD57" s="109" t="n"/>
    </row>
    <row r="58" ht="15.75" customHeight="1" s="95">
      <c r="A58" s="97" t="inlineStr">
        <is>
          <t>anonymus0802</t>
        </is>
      </c>
      <c r="B58" s="97" t="inlineStr">
        <is>
          <t>P</t>
        </is>
      </c>
      <c r="C58" s="97" t="inlineStr">
        <is>
          <t>1-34 Bulan</t>
        </is>
      </c>
      <c r="D58" s="97" t="n">
        <v>10.9</v>
      </c>
      <c r="E58" s="97" t="n">
        <v>92</v>
      </c>
      <c r="F58" s="97" t="inlineStr">
        <is>
          <t>Normal</t>
        </is>
      </c>
      <c r="G58" s="97" t="inlineStr">
        <is>
          <t>Normal</t>
        </is>
      </c>
      <c r="H58" s="97" t="inlineStr">
        <is>
          <t>Gizi Baik</t>
        </is>
      </c>
      <c r="I58" s="97" t="inlineStr">
        <is>
          <t>Ya</t>
        </is>
      </c>
      <c r="J58" s="126" t="inlineStr">
        <is>
          <t>Tidak</t>
        </is>
      </c>
      <c r="K58" s="97">
        <f>($Q$4/$Q$3)*(IF(B58="L",$T$15,$T$16))*(IF(C58="1-34 Bulan",$T$21,$T$22))*(IF(F58="Risiko Lebih",$T$27,IF(F58="Normal",$T$28,IF(F58="Kurang",$T$29,$T$30))))*(IF(G58="Normal",$T$35,IF(G58="Pendek",$T$36,$T$37)))*(IF(H58="Gizi Buruk",$T$42,IF(H58="Gizi Lebih",$T$43,IF(H58="Risiko Gizi Lebih",$T$44,IF(H58="Gizi Baik",$T$45,$T$46)))))*(IF(I58="Ya",$T$51,$T$52))</f>
        <v/>
      </c>
      <c r="L58" s="97">
        <f>($Q$5/$Q$3)*(IF(B58="L",$U$15,$U$16))*(IF(C58="1-34 Bulan",$U$21,$U$22))*(IF(F58="Risiko Lebih",$U$27,IF(F58="Normal",$U$28,IF(F58="Kurang",$U$29,$U$30))))*(IF(G58="Normal",$U$35,IF(G58="Pendek",$U$36,$U$37)))*(IF(H58="Gizi Buruk",$U$42,IF(H58="Gizi Lebih",$U$43,IF(H58="Risiko Gizi Lebih",$U$44,IF(H58="Gizi Baik",$U$45,$U$46)))))*(IF(I58="Ya",$U$51,$U$52))</f>
        <v/>
      </c>
      <c r="M58" s="97">
        <f>($Q$6/$Q$3)*(IF(B58="L",$V$15,$V$16))*(IF(C58="1-34 Bulan",$V$21,$V$22))*(IF(F58="Risiko Lebih",$V$27,IF(F58="Normal",$V$28,IF(F58="Kurang",$V$29,$V$30))))*(IF(G58="Normal",$V$35,IF(G58="Pendek",$V$36,$V$37)))*(IF(H58="Gizi Buruk",$V$42,IF(H58="Gizi Lebih",$V$43,IF(H58="Risiko Gizi Lebih",$V$44,IF(H58="Gizi Baik",$V$45,$V$46)))))*(IF(I58="Ya",$V$51,$V$52))</f>
        <v/>
      </c>
      <c r="N58" s="97">
        <f>IF(K58=MAX(K58,L58,M58),"Stunting",IF(L58=MAX(K58,L58,M58),"Potensi Stunting","Tidak"))</f>
        <v/>
      </c>
      <c r="P58" s="97" t="inlineStr">
        <is>
          <t>anonymus0748</t>
        </is>
      </c>
      <c r="Q58" s="97" t="inlineStr">
        <is>
          <t>P</t>
        </is>
      </c>
      <c r="R58" s="97" t="inlineStr">
        <is>
          <t>35-69 Bulan</t>
        </is>
      </c>
      <c r="S58" s="97" t="n">
        <v>11.3</v>
      </c>
      <c r="T58" s="97" t="n">
        <v>115</v>
      </c>
      <c r="U58" s="97" t="inlineStr">
        <is>
          <t>Normal</t>
        </is>
      </c>
      <c r="V58" s="97" t="inlineStr">
        <is>
          <t>Normal</t>
        </is>
      </c>
      <c r="W58" s="97" t="inlineStr">
        <is>
          <t>Gizi Baik</t>
        </is>
      </c>
      <c r="X58" s="97" t="inlineStr">
        <is>
          <t>Ya</t>
        </is>
      </c>
      <c r="Y58" s="126" t="inlineStr">
        <is>
          <t>Tidak</t>
        </is>
      </c>
    </row>
    <row r="59" ht="15.75" customHeight="1" s="95">
      <c r="A59" s="97" t="inlineStr">
        <is>
          <t>anonymus0803</t>
        </is>
      </c>
      <c r="B59" s="97" t="inlineStr">
        <is>
          <t>L</t>
        </is>
      </c>
      <c r="C59" s="97" t="inlineStr">
        <is>
          <t>1-34 Bulan</t>
        </is>
      </c>
      <c r="D59" s="97" t="n">
        <v>13</v>
      </c>
      <c r="E59" s="97" t="n">
        <v>87</v>
      </c>
      <c r="F59" s="97" t="inlineStr">
        <is>
          <t>Normal</t>
        </is>
      </c>
      <c r="G59" s="97" t="inlineStr">
        <is>
          <t>Normal</t>
        </is>
      </c>
      <c r="H59" s="97" t="inlineStr">
        <is>
          <t>Gizi Baik</t>
        </is>
      </c>
      <c r="I59" s="97" t="inlineStr">
        <is>
          <t>Ya</t>
        </is>
      </c>
      <c r="J59" s="126" t="inlineStr">
        <is>
          <t>Tidak</t>
        </is>
      </c>
      <c r="K59" s="97">
        <f>($Q$4/$Q$3)*(IF(B59="L",$T$15,$T$16))*(IF(C59="1-34 Bulan",$T$21,$T$22))*(IF(F59="Risiko Lebih",$T$27,IF(F59="Normal",$T$28,IF(F59="Kurang",$T$29,$T$30))))*(IF(G59="Normal",$T$35,IF(G59="Pendek",$T$36,$T$37)))*(IF(H59="Gizi Buruk",$T$42,IF(H59="Gizi Lebih",$T$43,IF(H59="Risiko Gizi Lebih",$T$44,IF(H59="Gizi Baik",$T$45,$T$46)))))*(IF(I59="Ya",$T$51,$T$52))</f>
        <v/>
      </c>
      <c r="L59" s="97">
        <f>($Q$5/$Q$3)*(IF(B59="L",$U$15,$U$16))*(IF(C59="1-34 Bulan",$U$21,$U$22))*(IF(F59="Risiko Lebih",$U$27,IF(F59="Normal",$U$28,IF(F59="Kurang",$U$29,$U$30))))*(IF(G59="Normal",$U$35,IF(G59="Pendek",$U$36,$U$37)))*(IF(H59="Gizi Buruk",$U$42,IF(H59="Gizi Lebih",$U$43,IF(H59="Risiko Gizi Lebih",$U$44,IF(H59="Gizi Baik",$U$45,$U$46)))))*(IF(I59="Ya",$U$51,$U$52))</f>
        <v/>
      </c>
      <c r="M59" s="97">
        <f>($Q$6/$Q$3)*(IF(B59="L",$V$15,$V$16))*(IF(C59="1-34 Bulan",$V$21,$V$22))*(IF(F59="Risiko Lebih",$V$27,IF(F59="Normal",$V$28,IF(F59="Kurang",$V$29,$V$30))))*(IF(G59="Normal",$V$35,IF(G59="Pendek",$V$36,$V$37)))*(IF(H59="Gizi Buruk",$V$42,IF(H59="Gizi Lebih",$V$43,IF(H59="Risiko Gizi Lebih",$V$44,IF(H59="Gizi Baik",$V$45,$V$46)))))*(IF(I59="Ya",$V$51,$V$52))</f>
        <v/>
      </c>
      <c r="N59" s="97">
        <f>IF(K59=MAX(K59,L59,M59),"Stunting",IF(L59=MAX(K59,L59,M59),"Potensi Stunting","Tidak"))</f>
        <v/>
      </c>
    </row>
    <row r="60" ht="15.75" customHeight="1" s="95">
      <c r="A60" s="97" t="inlineStr">
        <is>
          <t>anonymus0804</t>
        </is>
      </c>
      <c r="B60" s="97" t="inlineStr">
        <is>
          <t>L</t>
        </is>
      </c>
      <c r="C60" s="97" t="inlineStr">
        <is>
          <t>1-34 Bulan</t>
        </is>
      </c>
      <c r="D60" s="97" t="n">
        <v>12.8</v>
      </c>
      <c r="E60" s="97" t="n">
        <v>91</v>
      </c>
      <c r="F60" s="97" t="inlineStr">
        <is>
          <t>Normal</t>
        </is>
      </c>
      <c r="G60" s="97" t="inlineStr">
        <is>
          <t>Normal</t>
        </is>
      </c>
      <c r="H60" s="97" t="inlineStr">
        <is>
          <t>Gizi Baik</t>
        </is>
      </c>
      <c r="I60" s="97" t="inlineStr">
        <is>
          <t>Ya</t>
        </is>
      </c>
      <c r="J60" s="126" t="inlineStr">
        <is>
          <t>Tidak</t>
        </is>
      </c>
      <c r="K60" s="97">
        <f>($Q$4/$Q$3)*(IF(B60="L",$T$15,$T$16))*(IF(C60="1-34 Bulan",$T$21,$T$22))*(IF(F60="Risiko Lebih",$T$27,IF(F60="Normal",$T$28,IF(F60="Kurang",$T$29,$T$30))))*(IF(G60="Normal",$T$35,IF(G60="Pendek",$T$36,$T$37)))*(IF(H60="Gizi Buruk",$T$42,IF(H60="Gizi Lebih",$T$43,IF(H60="Risiko Gizi Lebih",$T$44,IF(H60="Gizi Baik",$T$45,$T$46)))))*(IF(I60="Ya",$T$51,$T$52))</f>
        <v/>
      </c>
      <c r="L60" s="97">
        <f>($Q$5/$Q$3)*(IF(B60="L",$U$15,$U$16))*(IF(C60="1-34 Bulan",$U$21,$U$22))*(IF(F60="Risiko Lebih",$U$27,IF(F60="Normal",$U$28,IF(F60="Kurang",$U$29,$U$30))))*(IF(G60="Normal",$U$35,IF(G60="Pendek",$U$36,$U$37)))*(IF(H60="Gizi Buruk",$U$42,IF(H60="Gizi Lebih",$U$43,IF(H60="Risiko Gizi Lebih",$U$44,IF(H60="Gizi Baik",$U$45,$U$46)))))*(IF(I60="Ya",$U$51,$U$52))</f>
        <v/>
      </c>
      <c r="M60" s="97">
        <f>($Q$6/$Q$3)*(IF(B60="L",$V$15,$V$16))*(IF(C60="1-34 Bulan",$V$21,$V$22))*(IF(F60="Risiko Lebih",$V$27,IF(F60="Normal",$V$28,IF(F60="Kurang",$V$29,$V$30))))*(IF(G60="Normal",$V$35,IF(G60="Pendek",$V$36,$V$37)))*(IF(H60="Gizi Buruk",$V$42,IF(H60="Gizi Lebih",$V$43,IF(H60="Risiko Gizi Lebih",$V$44,IF(H60="Gizi Baik",$V$45,$V$46)))))*(IF(I60="Ya",$V$51,$V$52))</f>
        <v/>
      </c>
      <c r="N60" s="97">
        <f>IF(K60=MAX(K60,L60,M60),"Stunting",IF(L60=MAX(K60,L60,M60),"Potensi Stunting","Tidak"))</f>
        <v/>
      </c>
    </row>
    <row r="61" ht="15.75" customHeight="1" s="95">
      <c r="A61" s="97" t="inlineStr">
        <is>
          <t>anonymus0805</t>
        </is>
      </c>
      <c r="B61" s="97" t="inlineStr">
        <is>
          <t>P</t>
        </is>
      </c>
      <c r="C61" s="97" t="inlineStr">
        <is>
          <t>35-69 Bulan</t>
        </is>
      </c>
      <c r="D61" s="97" t="inlineStr">
        <is>
          <t>16.2</t>
        </is>
      </c>
      <c r="E61" s="97" t="n">
        <v>102</v>
      </c>
      <c r="F61" s="97" t="inlineStr">
        <is>
          <t>Normal</t>
        </is>
      </c>
      <c r="G61" s="97" t="inlineStr">
        <is>
          <t>Normal</t>
        </is>
      </c>
      <c r="H61" s="97" t="inlineStr">
        <is>
          <t>Gizi Baik</t>
        </is>
      </c>
      <c r="I61" s="97" t="inlineStr">
        <is>
          <t>Ya</t>
        </is>
      </c>
      <c r="J61" s="126" t="inlineStr">
        <is>
          <t>Tidak</t>
        </is>
      </c>
      <c r="K61" s="97">
        <f>($Q$4/$Q$3)*(IF(B61="L",$T$15,$T$16))*(IF(C61="1-34 Bulan",$T$21,$T$22))*(IF(F61="Risiko Lebih",$T$27,IF(F61="Normal",$T$28,IF(F61="Kurang",$T$29,$T$30))))*(IF(G61="Normal",$T$35,IF(G61="Pendek",$T$36,$T$37)))*(IF(H61="Gizi Buruk",$T$42,IF(H61="Gizi Lebih",$T$43,IF(H61="Risiko Gizi Lebih",$T$44,IF(H61="Gizi Baik",$T$45,$T$46)))))*(IF(I61="Ya",$T$51,$T$52))</f>
        <v/>
      </c>
      <c r="L61" s="97">
        <f>($Q$5/$Q$3)*(IF(B61="L",$U$15,$U$16))*(IF(C61="1-34 Bulan",$U$21,$U$22))*(IF(F61="Risiko Lebih",$U$27,IF(F61="Normal",$U$28,IF(F61="Kurang",$U$29,$U$30))))*(IF(G61="Normal",$U$35,IF(G61="Pendek",$U$36,$U$37)))*(IF(H61="Gizi Buruk",$U$42,IF(H61="Gizi Lebih",$U$43,IF(H61="Risiko Gizi Lebih",$U$44,IF(H61="Gizi Baik",$U$45,$U$46)))))*(IF(I61="Ya",$U$51,$U$52))</f>
        <v/>
      </c>
      <c r="M61" s="97">
        <f>($Q$6/$Q$3)*(IF(B61="L",$V$15,$V$16))*(IF(C61="1-34 Bulan",$V$21,$V$22))*(IF(F61="Risiko Lebih",$V$27,IF(F61="Normal",$V$28,IF(F61="Kurang",$V$29,$V$30))))*(IF(G61="Normal",$V$35,IF(G61="Pendek",$V$36,$V$37)))*(IF(H61="Gizi Buruk",$V$42,IF(H61="Gizi Lebih",$V$43,IF(H61="Risiko Gizi Lebih",$V$44,IF(H61="Gizi Baik",$V$45,$V$46)))))*(IF(I61="Ya",$V$51,$V$52))</f>
        <v/>
      </c>
      <c r="N61" s="97">
        <f>IF(K61=MAX(K61,L61,M61),"Stunting",IF(L61=MAX(K61,L61,M61),"Potensi Stunting","Tidak"))</f>
        <v/>
      </c>
    </row>
    <row r="62" ht="15.75" customHeight="1" s="95">
      <c r="A62" s="97" t="inlineStr">
        <is>
          <t>anonymus0806</t>
        </is>
      </c>
      <c r="B62" s="97" t="inlineStr">
        <is>
          <t>L</t>
        </is>
      </c>
      <c r="C62" s="97" t="inlineStr">
        <is>
          <t>1-34 Bulan</t>
        </is>
      </c>
      <c r="D62" s="97" t="n">
        <v>7.9</v>
      </c>
      <c r="E62" s="97" t="n">
        <v>90</v>
      </c>
      <c r="F62" s="97" t="inlineStr">
        <is>
          <t>Kurang</t>
        </is>
      </c>
      <c r="G62" s="97" t="inlineStr">
        <is>
          <t>Normal</t>
        </is>
      </c>
      <c r="H62" s="97" t="inlineStr">
        <is>
          <t>Gizi Kurang</t>
        </is>
      </c>
      <c r="I62" s="97" t="inlineStr">
        <is>
          <t>Ya</t>
        </is>
      </c>
      <c r="J62" s="126" t="inlineStr">
        <is>
          <t>Tidak</t>
        </is>
      </c>
      <c r="K62" s="97">
        <f>($Q$4/$Q$3)*(IF(B62="L",$T$15,$T$16))*(IF(C62="1-34 Bulan",$T$21,$T$22))*(IF(F62="Risiko Lebih",$T$27,IF(F62="Normal",$T$28,IF(F62="Kurang",$T$29,$T$30))))*(IF(G62="Normal",$T$35,IF(G62="Pendek",$T$36,$T$37)))*(IF(H62="Gizi Buruk",$T$42,IF(H62="Gizi Lebih",$T$43,IF(H62="Risiko Gizi Lebih",$T$44,IF(H62="Gizi Baik",$T$45,$T$46)))))*(IF(I62="Ya",$T$51,$T$52))</f>
        <v/>
      </c>
      <c r="L62" s="97">
        <f>($Q$5/$Q$3)*(IF(B62="L",$U$15,$U$16))*(IF(C62="1-34 Bulan",$U$21,$U$22))*(IF(F62="Risiko Lebih",$U$27,IF(F62="Normal",$U$28,IF(F62="Kurang",$U$29,$U$30))))*(IF(G62="Normal",$U$35,IF(G62="Pendek",$U$36,$U$37)))*(IF(H62="Gizi Buruk",$U$42,IF(H62="Gizi Lebih",$U$43,IF(H62="Risiko Gizi Lebih",$U$44,IF(H62="Gizi Baik",$U$45,$U$46)))))*(IF(I62="Ya",$U$51,$U$52))</f>
        <v/>
      </c>
      <c r="M62" s="97">
        <f>($Q$6/$Q$3)*(IF(B62="L",$V$15,$V$16))*(IF(C62="1-34 Bulan",$V$21,$V$22))*(IF(F62="Risiko Lebih",$V$27,IF(F62="Normal",$V$28,IF(F62="Kurang",$V$29,$V$30))))*(IF(G62="Normal",$V$35,IF(G62="Pendek",$V$36,$V$37)))*(IF(H62="Gizi Buruk",$V$42,IF(H62="Gizi Lebih",$V$43,IF(H62="Risiko Gizi Lebih",$V$44,IF(H62="Gizi Baik",$V$45,$V$46)))))*(IF(I62="Ya",$V$51,$V$52))</f>
        <v/>
      </c>
      <c r="N62" s="97">
        <f>IF(K62=MAX(K62,L62,M62),"Stunting",IF(L62=MAX(K62,L62,M62),"Potensi Stunting","Tidak"))</f>
        <v/>
      </c>
    </row>
    <row r="63" ht="15.75" customHeight="1" s="95">
      <c r="A63" s="97" t="inlineStr">
        <is>
          <t>anonymus0807</t>
        </is>
      </c>
      <c r="B63" s="97" t="inlineStr">
        <is>
          <t>L</t>
        </is>
      </c>
      <c r="C63" s="97" t="inlineStr">
        <is>
          <t>35-69 Bulan</t>
        </is>
      </c>
      <c r="D63" s="97" t="n">
        <v>11.5</v>
      </c>
      <c r="E63" s="97" t="n">
        <v>93</v>
      </c>
      <c r="F63" s="97" t="inlineStr">
        <is>
          <t>Kurang</t>
        </is>
      </c>
      <c r="G63" s="97" t="inlineStr">
        <is>
          <t>Normal</t>
        </is>
      </c>
      <c r="H63" s="97" t="inlineStr">
        <is>
          <t>Gizi Kurang</t>
        </is>
      </c>
      <c r="I63" s="97" t="inlineStr">
        <is>
          <t>Ya</t>
        </is>
      </c>
      <c r="J63" s="126" t="inlineStr">
        <is>
          <t>Tidak</t>
        </is>
      </c>
      <c r="K63" s="97">
        <f>($Q$4/$Q$3)*(IF(B63="L",$T$15,$T$16))*(IF(C63="1-34 Bulan",$T$21,$T$22))*(IF(F63="Risiko Lebih",$T$27,IF(F63="Normal",$T$28,IF(F63="Kurang",$T$29,$T$30))))*(IF(G63="Normal",$T$35,IF(G63="Pendek",$T$36,$T$37)))*(IF(H63="Gizi Buruk",$T$42,IF(H63="Gizi Lebih",$T$43,IF(H63="Risiko Gizi Lebih",$T$44,IF(H63="Gizi Baik",$T$45,$T$46)))))*(IF(I63="Ya",$T$51,$T$52))</f>
        <v/>
      </c>
      <c r="L63" s="97">
        <f>($Q$5/$Q$3)*(IF(B63="L",$U$15,$U$16))*(IF(C63="1-34 Bulan",$U$21,$U$22))*(IF(F63="Risiko Lebih",$U$27,IF(F63="Normal",$U$28,IF(F63="Kurang",$U$29,$U$30))))*(IF(G63="Normal",$U$35,IF(G63="Pendek",$U$36,$U$37)))*(IF(H63="Gizi Buruk",$U$42,IF(H63="Gizi Lebih",$U$43,IF(H63="Risiko Gizi Lebih",$U$44,IF(H63="Gizi Baik",$U$45,$U$46)))))*(IF(I63="Ya",$U$51,$U$52))</f>
        <v/>
      </c>
      <c r="M63" s="97">
        <f>($Q$6/$Q$3)*(IF(B63="L",$V$15,$V$16))*(IF(C63="1-34 Bulan",$V$21,$V$22))*(IF(F63="Risiko Lebih",$V$27,IF(F63="Normal",$V$28,IF(F63="Kurang",$V$29,$V$30))))*(IF(G63="Normal",$V$35,IF(G63="Pendek",$V$36,$V$37)))*(IF(H63="Gizi Buruk",$V$42,IF(H63="Gizi Lebih",$V$43,IF(H63="Risiko Gizi Lebih",$V$44,IF(H63="Gizi Baik",$V$45,$V$46)))))*(IF(I63="Ya",$V$51,$V$52))</f>
        <v/>
      </c>
      <c r="N63" s="97">
        <f>IF(K63=MAX(K63,L63,M63),"Stunting",IF(L63=MAX(K63,L63,M63),"Potensi Stunting","Tidak"))</f>
        <v/>
      </c>
    </row>
    <row r="64" ht="15.75" customHeight="1" s="95">
      <c r="A64" s="97" t="inlineStr">
        <is>
          <t>anonymus0808</t>
        </is>
      </c>
      <c r="B64" s="97" t="inlineStr">
        <is>
          <t>P</t>
        </is>
      </c>
      <c r="C64" s="97" t="inlineStr">
        <is>
          <t>35-69 Bulan</t>
        </is>
      </c>
      <c r="D64" s="97" t="n">
        <v>19.4</v>
      </c>
      <c r="E64" s="97" t="n">
        <v>98</v>
      </c>
      <c r="F64" s="97" t="inlineStr">
        <is>
          <t>Risiko Lebih</t>
        </is>
      </c>
      <c r="G64" s="97" t="inlineStr">
        <is>
          <t>Normal</t>
        </is>
      </c>
      <c r="H64" s="97" t="inlineStr">
        <is>
          <t>Gizi Lebih</t>
        </is>
      </c>
      <c r="I64" s="97" t="inlineStr">
        <is>
          <t>Ya</t>
        </is>
      </c>
      <c r="J64" s="126" t="inlineStr">
        <is>
          <t>Tidak</t>
        </is>
      </c>
      <c r="K64" s="97">
        <f>($Q$4/$Q$3)*(IF(B64="L",$T$15,$T$16))*(IF(C64="1-34 Bulan",$T$21,$T$22))*(IF(F64="Risiko Lebih",$T$27,IF(F64="Normal",$T$28,IF(F64="Kurang",$T$29,$T$30))))*(IF(G64="Normal",$T$35,IF(G64="Pendek",$T$36,$T$37)))*(IF(H64="Gizi Buruk",$T$42,IF(H64="Gizi Lebih",$T$43,IF(H64="Risiko Gizi Lebih",$T$44,IF(H64="Gizi Baik",$T$45,$T$46)))))*(IF(I64="Ya",$T$51,$T$52))</f>
        <v/>
      </c>
      <c r="L64" s="97">
        <f>($Q$5/$Q$3)*(IF(B64="L",$U$15,$U$16))*(IF(C64="1-34 Bulan",$U$21,$U$22))*(IF(F64="Risiko Lebih",$U$27,IF(F64="Normal",$U$28,IF(F64="Kurang",$U$29,$U$30))))*(IF(G64="Normal",$U$35,IF(G64="Pendek",$U$36,$U$37)))*(IF(H64="Gizi Buruk",$U$42,IF(H64="Gizi Lebih",$U$43,IF(H64="Risiko Gizi Lebih",$U$44,IF(H64="Gizi Baik",$U$45,$U$46)))))*(IF(I64="Ya",$U$51,$U$52))</f>
        <v/>
      </c>
      <c r="M64" s="97">
        <f>($Q$6/$Q$3)*(IF(B64="L",$V$15,$V$16))*(IF(C64="1-34 Bulan",$V$21,$V$22))*(IF(F64="Risiko Lebih",$V$27,IF(F64="Normal",$V$28,IF(F64="Kurang",$V$29,$V$30))))*(IF(G64="Normal",$V$35,IF(G64="Pendek",$V$36,$V$37)))*(IF(H64="Gizi Buruk",$V$42,IF(H64="Gizi Lebih",$V$43,IF(H64="Risiko Gizi Lebih",$V$44,IF(H64="Gizi Baik",$V$45,$V$46)))))*(IF(I64="Ya",$V$51,$V$52))</f>
        <v/>
      </c>
      <c r="N64" s="97">
        <f>IF(K64=MAX(K64,L64,M64),"Stunting",IF(L64=MAX(K64,L64,M64),"Potensi Stunting","Tidak"))</f>
        <v/>
      </c>
    </row>
    <row r="65" ht="15.75" customHeight="1" s="95">
      <c r="A65" s="97" t="inlineStr">
        <is>
          <t>anonymus0809</t>
        </is>
      </c>
      <c r="B65" s="97" t="inlineStr">
        <is>
          <t>L</t>
        </is>
      </c>
      <c r="C65" s="97" t="inlineStr">
        <is>
          <t>35-69 Bulan</t>
        </is>
      </c>
      <c r="D65" s="97" t="n">
        <v>18.1</v>
      </c>
      <c r="E65" s="97" t="n">
        <v>94</v>
      </c>
      <c r="F65" s="97" t="inlineStr">
        <is>
          <t>Risiko Lebih</t>
        </is>
      </c>
      <c r="G65" s="97" t="inlineStr">
        <is>
          <t>Normal</t>
        </is>
      </c>
      <c r="H65" s="97" t="inlineStr">
        <is>
          <t>Gizi Buruk</t>
        </is>
      </c>
      <c r="I65" s="97" t="inlineStr">
        <is>
          <t>Ya</t>
        </is>
      </c>
      <c r="J65" s="126" t="inlineStr">
        <is>
          <t>Tidak</t>
        </is>
      </c>
      <c r="K65" s="97">
        <f>($Q$4/$Q$3)*(IF(B65="L",$T$15,$T$16))*(IF(C65="1-34 Bulan",$T$21,$T$22))*(IF(F65="Risiko Lebih",$T$27,IF(F65="Normal",$T$28,IF(F65="Kurang",$T$29,$T$30))))*(IF(G65="Normal",$T$35,IF(G65="Pendek",$T$36,$T$37)))*(IF(H65="Gizi Buruk",$T$42,IF(H65="Gizi Lebih",$T$43,IF(H65="Risiko Gizi Lebih",$T$44,IF(H65="Gizi Baik",$T$45,$T$46)))))*(IF(I65="Ya",$T$51,$T$52))</f>
        <v/>
      </c>
      <c r="L65" s="97">
        <f>($Q$5/$Q$3)*(IF(B65="L",$U$15,$U$16))*(IF(C65="1-34 Bulan",$U$21,$U$22))*(IF(F65="Risiko Lebih",$U$27,IF(F65="Normal",$U$28,IF(F65="Kurang",$U$29,$U$30))))*(IF(G65="Normal",$U$35,IF(G65="Pendek",$U$36,$U$37)))*(IF(H65="Gizi Buruk",$U$42,IF(H65="Gizi Lebih",$U$43,IF(H65="Risiko Gizi Lebih",$U$44,IF(H65="Gizi Baik",$U$45,$U$46)))))*(IF(I65="Ya",$U$51,$U$52))</f>
        <v/>
      </c>
      <c r="M65" s="97">
        <f>($Q$6/$Q$3)*(IF(B65="L",$V$15,$V$16))*(IF(C65="1-34 Bulan",$V$21,$V$22))*(IF(F65="Risiko Lebih",$V$27,IF(F65="Normal",$V$28,IF(F65="Kurang",$V$29,$V$30))))*(IF(G65="Normal",$V$35,IF(G65="Pendek",$V$36,$V$37)))*(IF(H65="Gizi Buruk",$V$42,IF(H65="Gizi Lebih",$V$43,IF(H65="Risiko Gizi Lebih",$V$44,IF(H65="Gizi Baik",$V$45,$V$46)))))*(IF(I65="Ya",$V$51,$V$52))</f>
        <v/>
      </c>
      <c r="N65" s="97">
        <f>IF(K65=MAX(K65,L65,M65),"Stunting",IF(L65=MAX(K65,L65,M65),"Potensi Stunting","Tidak"))</f>
        <v/>
      </c>
    </row>
    <row r="66" ht="15.75" customHeight="1" s="95">
      <c r="A66" s="97" t="inlineStr">
        <is>
          <t>anonymus0810</t>
        </is>
      </c>
      <c r="B66" s="97" t="inlineStr">
        <is>
          <t>P</t>
        </is>
      </c>
      <c r="C66" s="97" t="inlineStr">
        <is>
          <t>1-34 Bulan</t>
        </is>
      </c>
      <c r="D66" s="97" t="n">
        <v>12.7</v>
      </c>
      <c r="E66" s="97" t="n">
        <v>84</v>
      </c>
      <c r="F66" s="97" t="inlineStr">
        <is>
          <t>Normal</t>
        </is>
      </c>
      <c r="G66" s="97" t="inlineStr">
        <is>
          <t>Normal</t>
        </is>
      </c>
      <c r="H66" s="97" t="inlineStr">
        <is>
          <t>Gizi Baik</t>
        </is>
      </c>
      <c r="I66" s="97" t="inlineStr">
        <is>
          <t>Ya</t>
        </is>
      </c>
      <c r="J66" s="126" t="inlineStr">
        <is>
          <t>Tidak</t>
        </is>
      </c>
      <c r="K66" s="97">
        <f>($Q$4/$Q$3)*(IF(B66="L",$T$15,$T$16))*(IF(C66="1-34 Bulan",$T$21,$T$22))*(IF(F66="Risiko Lebih",$T$27,IF(F66="Normal",$T$28,IF(F66="Kurang",$T$29,$T$30))))*(IF(G66="Normal",$T$35,IF(G66="Pendek",$T$36,$T$37)))*(IF(H66="Gizi Buruk",$T$42,IF(H66="Gizi Lebih",$T$43,IF(H66="Risiko Gizi Lebih",$T$44,IF(H66="Gizi Baik",$T$45,$T$46)))))*(IF(I66="Ya",$T$51,$T$52))</f>
        <v/>
      </c>
      <c r="L66" s="97">
        <f>($Q$5/$Q$3)*(IF(B66="L",$U$15,$U$16))*(IF(C66="1-34 Bulan",$U$21,$U$22))*(IF(F66="Risiko Lebih",$U$27,IF(F66="Normal",$U$28,IF(F66="Kurang",$U$29,$U$30))))*(IF(G66="Normal",$U$35,IF(G66="Pendek",$U$36,$U$37)))*(IF(H66="Gizi Buruk",$U$42,IF(H66="Gizi Lebih",$U$43,IF(H66="Risiko Gizi Lebih",$U$44,IF(H66="Gizi Baik",$U$45,$U$46)))))*(IF(I66="Ya",$U$51,$U$52))</f>
        <v/>
      </c>
      <c r="M66" s="97">
        <f>($Q$6/$Q$3)*(IF(B66="L",$V$15,$V$16))*(IF(C66="1-34 Bulan",$V$21,$V$22))*(IF(F66="Risiko Lebih",$V$27,IF(F66="Normal",$V$28,IF(F66="Kurang",$V$29,$V$30))))*(IF(G66="Normal",$V$35,IF(G66="Pendek",$V$36,$V$37)))*(IF(H66="Gizi Buruk",$V$42,IF(H66="Gizi Lebih",$V$43,IF(H66="Risiko Gizi Lebih",$V$44,IF(H66="Gizi Baik",$V$45,$V$46)))))*(IF(I66="Ya",$V$51,$V$52))</f>
        <v/>
      </c>
      <c r="N66" s="97">
        <f>IF(K66=MAX(K66,L66,M66),"Stunting",IF(L66=MAX(K66,L66,M66),"Potensi Stunting","Tidak"))</f>
        <v/>
      </c>
    </row>
    <row r="67" ht="15.75" customHeight="1" s="95">
      <c r="A67" s="97" t="inlineStr">
        <is>
          <t>anonymus0811</t>
        </is>
      </c>
      <c r="B67" s="97" t="inlineStr">
        <is>
          <t>L</t>
        </is>
      </c>
      <c r="C67" s="97" t="inlineStr">
        <is>
          <t>35-69 Bulan</t>
        </is>
      </c>
      <c r="D67" s="97" t="n">
        <v>17.3</v>
      </c>
      <c r="E67" s="97" t="n">
        <v>101</v>
      </c>
      <c r="F67" s="97" t="inlineStr">
        <is>
          <t>Risiko Lebih</t>
        </is>
      </c>
      <c r="G67" s="97" t="inlineStr">
        <is>
          <t>Normal</t>
        </is>
      </c>
      <c r="H67" s="97" t="inlineStr">
        <is>
          <t>Gizi Lebih</t>
        </is>
      </c>
      <c r="I67" s="97" t="inlineStr">
        <is>
          <t>Ya</t>
        </is>
      </c>
      <c r="J67" s="126" t="inlineStr">
        <is>
          <t>Tidak</t>
        </is>
      </c>
      <c r="K67" s="97">
        <f>($Q$4/$Q$3)*(IF(B67="L",$T$15,$T$16))*(IF(C67="1-34 Bulan",$T$21,$T$22))*(IF(F67="Risiko Lebih",$T$27,IF(F67="Normal",$T$28,IF(F67="Kurang",$T$29,$T$30))))*(IF(G67="Normal",$T$35,IF(G67="Pendek",$T$36,$T$37)))*(IF(H67="Gizi Buruk",$T$42,IF(H67="Gizi Lebih",$T$43,IF(H67="Risiko Gizi Lebih",$T$44,IF(H67="Gizi Baik",$T$45,$T$46)))))*(IF(I67="Ya",$T$51,$T$52))</f>
        <v/>
      </c>
      <c r="L67" s="97">
        <f>($Q$5/$Q$3)*(IF(B67="L",$U$15,$U$16))*(IF(C67="1-34 Bulan",$U$21,$U$22))*(IF(F67="Risiko Lebih",$U$27,IF(F67="Normal",$U$28,IF(F67="Kurang",$U$29,$U$30))))*(IF(G67="Normal",$U$35,IF(G67="Pendek",$U$36,$U$37)))*(IF(H67="Gizi Buruk",$U$42,IF(H67="Gizi Lebih",$U$43,IF(H67="Risiko Gizi Lebih",$U$44,IF(H67="Gizi Baik",$U$45,$U$46)))))*(IF(I67="Ya",$U$51,$U$52))</f>
        <v/>
      </c>
      <c r="M67" s="97">
        <f>($Q$6/$Q$3)*(IF(B67="L",$V$15,$V$16))*(IF(C67="1-34 Bulan",$V$21,$V$22))*(IF(F67="Risiko Lebih",$V$27,IF(F67="Normal",$V$28,IF(F67="Kurang",$V$29,$V$30))))*(IF(G67="Normal",$V$35,IF(G67="Pendek",$V$36,$V$37)))*(IF(H67="Gizi Buruk",$V$42,IF(H67="Gizi Lebih",$V$43,IF(H67="Risiko Gizi Lebih",$V$44,IF(H67="Gizi Baik",$V$45,$V$46)))))*(IF(I67="Ya",$V$51,$V$52))</f>
        <v/>
      </c>
      <c r="N67" s="97">
        <f>IF(K67=MAX(K67,L67,M67),"Stunting",IF(L67=MAX(K67,L67,M67),"Potensi Stunting","Tidak"))</f>
        <v/>
      </c>
    </row>
    <row r="68" ht="15.75" customHeight="1" s="95">
      <c r="A68" s="97" t="inlineStr">
        <is>
          <t>anonymus0812</t>
        </is>
      </c>
      <c r="B68" s="97" t="inlineStr">
        <is>
          <t>P</t>
        </is>
      </c>
      <c r="C68" s="97" t="inlineStr">
        <is>
          <t>1-34 Bulan</t>
        </is>
      </c>
      <c r="D68" s="97" t="n">
        <v>9.9</v>
      </c>
      <c r="E68" s="97" t="n">
        <v>89</v>
      </c>
      <c r="F68" s="97" t="inlineStr">
        <is>
          <t>Kurang</t>
        </is>
      </c>
      <c r="G68" s="97" t="inlineStr">
        <is>
          <t>Normal</t>
        </is>
      </c>
      <c r="H68" s="97" t="inlineStr">
        <is>
          <t>Gizi Kurang</t>
        </is>
      </c>
      <c r="I68" s="97" t="inlineStr">
        <is>
          <t>Ya</t>
        </is>
      </c>
      <c r="J68" s="126" t="inlineStr">
        <is>
          <t>Tidak</t>
        </is>
      </c>
      <c r="K68" s="97">
        <f>($Q$4/$Q$3)*(IF(B68="L",$T$15,$T$16))*(IF(C68="1-34 Bulan",$T$21,$T$22))*(IF(F68="Risiko Lebih",$T$27,IF(F68="Normal",$T$28,IF(F68="Kurang",$T$29,$T$30))))*(IF(G68="Normal",$T$35,IF(G68="Pendek",$T$36,$T$37)))*(IF(H68="Gizi Buruk",$T$42,IF(H68="Gizi Lebih",$T$43,IF(H68="Risiko Gizi Lebih",$T$44,IF(H68="Gizi Baik",$T$45,$T$46)))))*(IF(I68="Ya",$T$51,$T$52))</f>
        <v/>
      </c>
      <c r="L68" s="97">
        <f>($Q$5/$Q$3)*(IF(B68="L",$U$15,$U$16))*(IF(C68="1-34 Bulan",$U$21,$U$22))*(IF(F68="Risiko Lebih",$U$27,IF(F68="Normal",$U$28,IF(F68="Kurang",$U$29,$U$30))))*(IF(G68="Normal",$U$35,IF(G68="Pendek",$U$36,$U$37)))*(IF(H68="Gizi Buruk",$U$42,IF(H68="Gizi Lebih",$U$43,IF(H68="Risiko Gizi Lebih",$U$44,IF(H68="Gizi Baik",$U$45,$U$46)))))*(IF(I68="Ya",$U$51,$U$52))</f>
        <v/>
      </c>
      <c r="M68" s="97">
        <f>($Q$6/$Q$3)*(IF(B68="L",$V$15,$V$16))*(IF(C68="1-34 Bulan",$V$21,$V$22))*(IF(F68="Risiko Lebih",$V$27,IF(F68="Normal",$V$28,IF(F68="Kurang",$V$29,$V$30))))*(IF(G68="Normal",$V$35,IF(G68="Pendek",$V$36,$V$37)))*(IF(H68="Gizi Buruk",$V$42,IF(H68="Gizi Lebih",$V$43,IF(H68="Risiko Gizi Lebih",$V$44,IF(H68="Gizi Baik",$V$45,$V$46)))))*(IF(I68="Ya",$V$51,$V$52))</f>
        <v/>
      </c>
      <c r="N68" s="97">
        <f>IF(K68=MAX(K68,L68,M68),"Stunting",IF(L68=MAX(K68,L68,M68),"Potensi Stunting","Tidak"))</f>
        <v/>
      </c>
    </row>
    <row r="69" ht="15.75" customHeight="1" s="95">
      <c r="A69" s="97" t="inlineStr">
        <is>
          <t>anonymus0813</t>
        </is>
      </c>
      <c r="B69" s="97" t="inlineStr">
        <is>
          <t>L</t>
        </is>
      </c>
      <c r="C69" s="97" t="inlineStr">
        <is>
          <t>1-34 Bulan</t>
        </is>
      </c>
      <c r="D69" s="97" t="n">
        <v>5.6</v>
      </c>
      <c r="E69" s="97" t="n">
        <v>62.5</v>
      </c>
      <c r="F69" s="97" t="inlineStr">
        <is>
          <t>Normal</t>
        </is>
      </c>
      <c r="G69" s="97" t="inlineStr">
        <is>
          <t>Normal</t>
        </is>
      </c>
      <c r="H69" s="97" t="inlineStr">
        <is>
          <t>Gizi Kurang</t>
        </is>
      </c>
      <c r="I69" s="97" t="inlineStr">
        <is>
          <t>Ya</t>
        </is>
      </c>
      <c r="J69" s="126" t="inlineStr">
        <is>
          <t>Tidak</t>
        </is>
      </c>
      <c r="K69" s="97">
        <f>($Q$4/$Q$3)*(IF(B69="L",$T$15,$T$16))*(IF(C69="1-34 Bulan",$T$21,$T$22))*(IF(F69="Risiko Lebih",$T$27,IF(F69="Normal",$T$28,IF(F69="Kurang",$T$29,$T$30))))*(IF(G69="Normal",$T$35,IF(G69="Pendek",$T$36,$T$37)))*(IF(H69="Gizi Buruk",$T$42,IF(H69="Gizi Lebih",$T$43,IF(H69="Risiko Gizi Lebih",$T$44,IF(H69="Gizi Baik",$T$45,$T$46)))))*(IF(I69="Ya",$T$51,$T$52))</f>
        <v/>
      </c>
      <c r="L69" s="97">
        <f>($Q$5/$Q$3)*(IF(B69="L",$U$15,$U$16))*(IF(C69="1-34 Bulan",$U$21,$U$22))*(IF(F69="Risiko Lebih",$U$27,IF(F69="Normal",$U$28,IF(F69="Kurang",$U$29,$U$30))))*(IF(G69="Normal",$U$35,IF(G69="Pendek",$U$36,$U$37)))*(IF(H69="Gizi Buruk",$U$42,IF(H69="Gizi Lebih",$U$43,IF(H69="Risiko Gizi Lebih",$U$44,IF(H69="Gizi Baik",$U$45,$U$46)))))*(IF(I69="Ya",$U$51,$U$52))</f>
        <v/>
      </c>
      <c r="M69" s="97">
        <f>($Q$6/$Q$3)*(IF(B69="L",$V$15,$V$16))*(IF(C69="1-34 Bulan",$V$21,$V$22))*(IF(F69="Risiko Lebih",$V$27,IF(F69="Normal",$V$28,IF(F69="Kurang",$V$29,$V$30))))*(IF(G69="Normal",$V$35,IF(G69="Pendek",$V$36,$V$37)))*(IF(H69="Gizi Buruk",$V$42,IF(H69="Gizi Lebih",$V$43,IF(H69="Risiko Gizi Lebih",$V$44,IF(H69="Gizi Baik",$V$45,$V$46)))))*(IF(I69="Ya",$V$51,$V$52))</f>
        <v/>
      </c>
      <c r="N69" s="97">
        <f>IF(K69=MAX(K69,L69,M69),"Stunting",IF(L69=MAX(K69,L69,M69),"Potensi Stunting","Tidak"))</f>
        <v/>
      </c>
    </row>
    <row r="70" ht="15.75" customHeight="1" s="95">
      <c r="A70" s="97" t="inlineStr">
        <is>
          <t>anonymus0814</t>
        </is>
      </c>
      <c r="B70" s="97" t="inlineStr">
        <is>
          <t>L</t>
        </is>
      </c>
      <c r="C70" s="97" t="inlineStr">
        <is>
          <t>1-34 Bulan</t>
        </is>
      </c>
      <c r="D70" s="97" t="inlineStr">
        <is>
          <t>9.2</t>
        </is>
      </c>
      <c r="E70" s="97" t="n">
        <v>74</v>
      </c>
      <c r="F70" s="97" t="inlineStr">
        <is>
          <t>Normal</t>
        </is>
      </c>
      <c r="G70" s="97" t="inlineStr">
        <is>
          <t>Normal</t>
        </is>
      </c>
      <c r="H70" s="97" t="inlineStr">
        <is>
          <t>Gizi Baik</t>
        </is>
      </c>
      <c r="I70" s="97" t="inlineStr">
        <is>
          <t>Ya</t>
        </is>
      </c>
      <c r="J70" s="126" t="inlineStr">
        <is>
          <t>Tidak</t>
        </is>
      </c>
      <c r="K70" s="97">
        <f>($Q$4/$Q$3)*(IF(B70="L",$T$15,$T$16))*(IF(C70="1-34 Bulan",$T$21,$T$22))*(IF(F70="Risiko Lebih",$T$27,IF(F70="Normal",$T$28,IF(F70="Kurang",$T$29,$T$30))))*(IF(G70="Normal",$T$35,IF(G70="Pendek",$T$36,$T$37)))*(IF(H70="Gizi Buruk",$T$42,IF(H70="Gizi Lebih",$T$43,IF(H70="Risiko Gizi Lebih",$T$44,IF(H70="Gizi Baik",$T$45,$T$46)))))*(IF(I70="Ya",$T$51,$T$52))</f>
        <v/>
      </c>
      <c r="L70" s="97">
        <f>($Q$5/$Q$3)*(IF(B70="L",$U$15,$U$16))*(IF(C70="1-34 Bulan",$U$21,$U$22))*(IF(F70="Risiko Lebih",$U$27,IF(F70="Normal",$U$28,IF(F70="Kurang",$U$29,$U$30))))*(IF(G70="Normal",$U$35,IF(G70="Pendek",$U$36,$U$37)))*(IF(H70="Gizi Buruk",$U$42,IF(H70="Gizi Lebih",$U$43,IF(H70="Risiko Gizi Lebih",$U$44,IF(H70="Gizi Baik",$U$45,$U$46)))))*(IF(I70="Ya",$U$51,$U$52))</f>
        <v/>
      </c>
      <c r="M70" s="97">
        <f>($Q$6/$Q$3)*(IF(B70="L",$V$15,$V$16))*(IF(C70="1-34 Bulan",$V$21,$V$22))*(IF(F70="Risiko Lebih",$V$27,IF(F70="Normal",$V$28,IF(F70="Kurang",$V$29,$V$30))))*(IF(G70="Normal",$V$35,IF(G70="Pendek",$V$36,$V$37)))*(IF(H70="Gizi Buruk",$V$42,IF(H70="Gizi Lebih",$V$43,IF(H70="Risiko Gizi Lebih",$V$44,IF(H70="Gizi Baik",$V$45,$V$46)))))*(IF(I70="Ya",$V$51,$V$52))</f>
        <v/>
      </c>
      <c r="N70" s="97">
        <f>IF(K70=MAX(K70,L70,M70),"Stunting",IF(L70=MAX(K70,L70,M70),"Potensi Stunting","Tidak"))</f>
        <v/>
      </c>
    </row>
    <row r="71" ht="15.75" customHeight="1" s="95">
      <c r="A71" s="97" t="inlineStr">
        <is>
          <t>anonymus0815</t>
        </is>
      </c>
      <c r="B71" s="97" t="inlineStr">
        <is>
          <t>P</t>
        </is>
      </c>
      <c r="C71" s="97" t="inlineStr">
        <is>
          <t>35-69 Bulan</t>
        </is>
      </c>
      <c r="D71" s="97" t="n">
        <v>10.3</v>
      </c>
      <c r="E71" s="97" t="n">
        <v>103</v>
      </c>
      <c r="F71" s="97" t="inlineStr">
        <is>
          <t>Normal</t>
        </is>
      </c>
      <c r="G71" s="97" t="inlineStr">
        <is>
          <t>Normal</t>
        </is>
      </c>
      <c r="H71" s="97" t="inlineStr">
        <is>
          <t>Gizi Baik</t>
        </is>
      </c>
      <c r="I71" s="97" t="inlineStr">
        <is>
          <t>Ya</t>
        </is>
      </c>
      <c r="J71" s="126" t="inlineStr">
        <is>
          <t>Tidak</t>
        </is>
      </c>
      <c r="K71" s="97">
        <f>($Q$4/$Q$3)*(IF(B71="L",$T$15,$T$16))*(IF(C71="1-34 Bulan",$T$21,$T$22))*(IF(F71="Risiko Lebih",$T$27,IF(F71="Normal",$T$28,IF(F71="Kurang",$T$29,$T$30))))*(IF(G71="Normal",$T$35,IF(G71="Pendek",$T$36,$T$37)))*(IF(H71="Gizi Buruk",$T$42,IF(H71="Gizi Lebih",$T$43,IF(H71="Risiko Gizi Lebih",$T$44,IF(H71="Gizi Baik",$T$45,$T$46)))))*(IF(I71="Ya",$T$51,$T$52))</f>
        <v/>
      </c>
      <c r="L71" s="97">
        <f>($Q$5/$Q$3)*(IF(B71="L",$U$15,$U$16))*(IF(C71="1-34 Bulan",$U$21,$U$22))*(IF(F71="Risiko Lebih",$U$27,IF(F71="Normal",$U$28,IF(F71="Kurang",$U$29,$U$30))))*(IF(G71="Normal",$U$35,IF(G71="Pendek",$U$36,$U$37)))*(IF(H71="Gizi Buruk",$U$42,IF(H71="Gizi Lebih",$U$43,IF(H71="Risiko Gizi Lebih",$U$44,IF(H71="Gizi Baik",$U$45,$U$46)))))*(IF(I71="Ya",$U$51,$U$52))</f>
        <v/>
      </c>
      <c r="M71" s="97">
        <f>($Q$6/$Q$3)*(IF(B71="L",$V$15,$V$16))*(IF(C71="1-34 Bulan",$V$21,$V$22))*(IF(F71="Risiko Lebih",$V$27,IF(F71="Normal",$V$28,IF(F71="Kurang",$V$29,$V$30))))*(IF(G71="Normal",$V$35,IF(G71="Pendek",$V$36,$V$37)))*(IF(H71="Gizi Buruk",$V$42,IF(H71="Gizi Lebih",$V$43,IF(H71="Risiko Gizi Lebih",$V$44,IF(H71="Gizi Baik",$V$45,$V$46)))))*(IF(I71="Ya",$V$51,$V$52))</f>
        <v/>
      </c>
      <c r="N71" s="97">
        <f>IF(K71=MAX(K71,L71,M71),"Stunting",IF(L71=MAX(K71,L71,M71),"Potensi Stunting","Tidak"))</f>
        <v/>
      </c>
    </row>
    <row r="72" ht="15.75" customHeight="1" s="95">
      <c r="A72" s="97" t="inlineStr">
        <is>
          <t>anonymus0816</t>
        </is>
      </c>
      <c r="B72" s="97" t="inlineStr">
        <is>
          <t>P</t>
        </is>
      </c>
      <c r="C72" s="97" t="inlineStr">
        <is>
          <t>35-69 Bulan</t>
        </is>
      </c>
      <c r="D72" s="97" t="n">
        <v>10.45</v>
      </c>
      <c r="E72" s="97" t="n">
        <v>90.5</v>
      </c>
      <c r="F72" s="97" t="inlineStr">
        <is>
          <t>Kurang</t>
        </is>
      </c>
      <c r="G72" s="97" t="inlineStr">
        <is>
          <t>Normal</t>
        </is>
      </c>
      <c r="H72" s="97" t="inlineStr">
        <is>
          <t>Gizi Kurang</t>
        </is>
      </c>
      <c r="I72" s="97" t="inlineStr">
        <is>
          <t>Ya</t>
        </is>
      </c>
      <c r="J72" s="126" t="inlineStr">
        <is>
          <t>Tidak</t>
        </is>
      </c>
      <c r="K72" s="97">
        <f>($Q$4/$Q$3)*(IF(B72="L",$T$15,$T$16))*(IF(C72="1-34 Bulan",$T$21,$T$22))*(IF(F72="Risiko Lebih",$T$27,IF(F72="Normal",$T$28,IF(F72="Kurang",$T$29,$T$30))))*(IF(G72="Normal",$T$35,IF(G72="Pendek",$T$36,$T$37)))*(IF(H72="Gizi Buruk",$T$42,IF(H72="Gizi Lebih",$T$43,IF(H72="Risiko Gizi Lebih",$T$44,IF(H72="Gizi Baik",$T$45,$T$46)))))*(IF(I72="Ya",$T$51,$T$52))</f>
        <v/>
      </c>
      <c r="L72" s="97">
        <f>($Q$5/$Q$3)*(IF(B72="L",$U$15,$U$16))*(IF(C72="1-34 Bulan",$U$21,$U$22))*(IF(F72="Risiko Lebih",$U$27,IF(F72="Normal",$U$28,IF(F72="Kurang",$U$29,$U$30))))*(IF(G72="Normal",$U$35,IF(G72="Pendek",$U$36,$U$37)))*(IF(H72="Gizi Buruk",$U$42,IF(H72="Gizi Lebih",$U$43,IF(H72="Risiko Gizi Lebih",$U$44,IF(H72="Gizi Baik",$U$45,$U$46)))))*(IF(I72="Ya",$U$51,$U$52))</f>
        <v/>
      </c>
      <c r="M72" s="97">
        <f>($Q$6/$Q$3)*(IF(B72="L",$V$15,$V$16))*(IF(C72="1-34 Bulan",$V$21,$V$22))*(IF(F72="Risiko Lebih",$V$27,IF(F72="Normal",$V$28,IF(F72="Kurang",$V$29,$V$30))))*(IF(G72="Normal",$V$35,IF(G72="Pendek",$V$36,$V$37)))*(IF(H72="Gizi Buruk",$V$42,IF(H72="Gizi Lebih",$V$43,IF(H72="Risiko Gizi Lebih",$V$44,IF(H72="Gizi Baik",$V$45,$V$46)))))*(IF(I72="Ya",$V$51,$V$52))</f>
        <v/>
      </c>
      <c r="N72" s="97">
        <f>IF(K72=MAX(K72,L72,M72),"Stunting",IF(L72=MAX(K72,L72,M72),"Potensi Stunting","Tidak"))</f>
        <v/>
      </c>
    </row>
    <row r="73" ht="15.75" customHeight="1" s="95">
      <c r="A73" s="97" t="inlineStr">
        <is>
          <t>anonymus0817</t>
        </is>
      </c>
      <c r="B73" s="97" t="inlineStr">
        <is>
          <t>L</t>
        </is>
      </c>
      <c r="C73" s="97" t="inlineStr">
        <is>
          <t>35-69 Bulan</t>
        </is>
      </c>
      <c r="D73" s="97" t="inlineStr">
        <is>
          <t>14.8</t>
        </is>
      </c>
      <c r="E73" s="97" t="n">
        <v>99</v>
      </c>
      <c r="F73" s="97" t="inlineStr">
        <is>
          <t>Normal</t>
        </is>
      </c>
      <c r="G73" s="97" t="inlineStr">
        <is>
          <t>Normal</t>
        </is>
      </c>
      <c r="H73" s="97" t="inlineStr">
        <is>
          <t>Gizi Baik</t>
        </is>
      </c>
      <c r="I73" s="97" t="inlineStr">
        <is>
          <t>Ya</t>
        </is>
      </c>
      <c r="J73" s="126" t="inlineStr">
        <is>
          <t>Tidak</t>
        </is>
      </c>
      <c r="K73" s="97">
        <f>($Q$4/$Q$3)*(IF(B73="L",$T$15,$T$16))*(IF(C73="1-34 Bulan",$T$21,$T$22))*(IF(F73="Risiko Lebih",$T$27,IF(F73="Normal",$T$28,IF(F73="Kurang",$T$29,$T$30))))*(IF(G73="Normal",$T$35,IF(G73="Pendek",$T$36,$T$37)))*(IF(H73="Gizi Buruk",$T$42,IF(H73="Gizi Lebih",$T$43,IF(H73="Risiko Gizi Lebih",$T$44,IF(H73="Gizi Baik",$T$45,$T$46)))))*(IF(I73="Ya",$T$51,$T$52))</f>
        <v/>
      </c>
      <c r="L73" s="97">
        <f>($Q$5/$Q$3)*(IF(B73="L",$U$15,$U$16))*(IF(C73="1-34 Bulan",$U$21,$U$22))*(IF(F73="Risiko Lebih",$U$27,IF(F73="Normal",$U$28,IF(F73="Kurang",$U$29,$U$30))))*(IF(G73="Normal",$U$35,IF(G73="Pendek",$U$36,$U$37)))*(IF(H73="Gizi Buruk",$U$42,IF(H73="Gizi Lebih",$U$43,IF(H73="Risiko Gizi Lebih",$U$44,IF(H73="Gizi Baik",$U$45,$U$46)))))*(IF(I73="Ya",$U$51,$U$52))</f>
        <v/>
      </c>
      <c r="M73" s="97">
        <f>($Q$6/$Q$3)*(IF(B73="L",$V$15,$V$16))*(IF(C73="1-34 Bulan",$V$21,$V$22))*(IF(F73="Risiko Lebih",$V$27,IF(F73="Normal",$V$28,IF(F73="Kurang",$V$29,$V$30))))*(IF(G73="Normal",$V$35,IF(G73="Pendek",$V$36,$V$37)))*(IF(H73="Gizi Buruk",$V$42,IF(H73="Gizi Lebih",$V$43,IF(H73="Risiko Gizi Lebih",$V$44,IF(H73="Gizi Baik",$V$45,$V$46)))))*(IF(I73="Ya",$V$51,$V$52))</f>
        <v/>
      </c>
      <c r="N73" s="97">
        <f>IF(K73=MAX(K73,L73,M73),"Stunting",IF(L73=MAX(K73,L73,M73),"Potensi Stunting","Tidak"))</f>
        <v/>
      </c>
    </row>
    <row r="74" ht="15.75" customHeight="1" s="95">
      <c r="A74" s="97" t="inlineStr">
        <is>
          <t>anonymus0818</t>
        </is>
      </c>
      <c r="B74" s="97" t="inlineStr">
        <is>
          <t>P</t>
        </is>
      </c>
      <c r="C74" s="97" t="inlineStr">
        <is>
          <t>1-34 Bulan</t>
        </is>
      </c>
      <c r="D74" s="97" t="n">
        <v>13</v>
      </c>
      <c r="E74" s="97" t="n">
        <v>91</v>
      </c>
      <c r="F74" s="97" t="inlineStr">
        <is>
          <t>Normal</t>
        </is>
      </c>
      <c r="G74" s="97" t="inlineStr">
        <is>
          <t>Normal</t>
        </is>
      </c>
      <c r="H74" s="97" t="inlineStr">
        <is>
          <t>Gizi Baik</t>
        </is>
      </c>
      <c r="I74" s="97" t="inlineStr">
        <is>
          <t>Ya</t>
        </is>
      </c>
      <c r="J74" s="126" t="inlineStr">
        <is>
          <t>Tidak</t>
        </is>
      </c>
      <c r="K74" s="97">
        <f>($Q$4/$Q$3)*(IF(B74="L",$T$15,$T$16))*(IF(C74="1-34 Bulan",$T$21,$T$22))*(IF(F74="Risiko Lebih",$T$27,IF(F74="Normal",$T$28,IF(F74="Kurang",$T$29,$T$30))))*(IF(G74="Normal",$T$35,IF(G74="Pendek",$T$36,$T$37)))*(IF(H74="Gizi Buruk",$T$42,IF(H74="Gizi Lebih",$T$43,IF(H74="Risiko Gizi Lebih",$T$44,IF(H74="Gizi Baik",$T$45,$T$46)))))*(IF(I74="Ya",$T$51,$T$52))</f>
        <v/>
      </c>
      <c r="L74" s="97">
        <f>($Q$5/$Q$3)*(IF(B74="L",$U$15,$U$16))*(IF(C74="1-34 Bulan",$U$21,$U$22))*(IF(F74="Risiko Lebih",$U$27,IF(F74="Normal",$U$28,IF(F74="Kurang",$U$29,$U$30))))*(IF(G74="Normal",$U$35,IF(G74="Pendek",$U$36,$U$37)))*(IF(H74="Gizi Buruk",$U$42,IF(H74="Gizi Lebih",$U$43,IF(H74="Risiko Gizi Lebih",$U$44,IF(H74="Gizi Baik",$U$45,$U$46)))))*(IF(I74="Ya",$U$51,$U$52))</f>
        <v/>
      </c>
      <c r="M74" s="97">
        <f>($Q$6/$Q$3)*(IF(B74="L",$V$15,$V$16))*(IF(C74="1-34 Bulan",$V$21,$V$22))*(IF(F74="Risiko Lebih",$V$27,IF(F74="Normal",$V$28,IF(F74="Kurang",$V$29,$V$30))))*(IF(G74="Normal",$V$35,IF(G74="Pendek",$V$36,$V$37)))*(IF(H74="Gizi Buruk",$V$42,IF(H74="Gizi Lebih",$V$43,IF(H74="Risiko Gizi Lebih",$V$44,IF(H74="Gizi Baik",$V$45,$V$46)))))*(IF(I74="Ya",$V$51,$V$52))</f>
        <v/>
      </c>
      <c r="N74" s="97">
        <f>IF(K74=MAX(K74,L74,M74),"Stunting",IF(L74=MAX(K74,L74,M74),"Potensi Stunting","Tidak"))</f>
        <v/>
      </c>
    </row>
    <row r="75" ht="15.75" customHeight="1" s="95">
      <c r="A75" s="97" t="inlineStr">
        <is>
          <t>anonymus0819</t>
        </is>
      </c>
      <c r="B75" s="97" t="inlineStr">
        <is>
          <t>L</t>
        </is>
      </c>
      <c r="C75" s="97" t="inlineStr">
        <is>
          <t>1-34 Bulan</t>
        </is>
      </c>
      <c r="D75" s="97" t="n">
        <v>8.6</v>
      </c>
      <c r="E75" s="97" t="n">
        <v>78</v>
      </c>
      <c r="F75" s="97" t="inlineStr">
        <is>
          <t>Sangat Kurang</t>
        </is>
      </c>
      <c r="G75" s="97" t="inlineStr">
        <is>
          <t>Sangat Pendek</t>
        </is>
      </c>
      <c r="H75" s="97" t="inlineStr">
        <is>
          <t>Gizi Buruk</t>
        </is>
      </c>
      <c r="I75" s="97" t="inlineStr">
        <is>
          <t>Tidak</t>
        </is>
      </c>
      <c r="J75" s="126" t="inlineStr">
        <is>
          <t>Stunting</t>
        </is>
      </c>
      <c r="K75" s="97">
        <f>($Q$4/$Q$3)*(IF(B75="L",$T$15,$T$16))*(IF(C75="1-34 Bulan",$T$21,$T$22))*(IF(F75="Risiko Lebih",$T$27,IF(F75="Normal",$T$28,IF(F75="Kurang",$T$29,$T$30))))*(IF(G75="Normal",$T$35,IF(G75="Pendek",$T$36,$T$37)))*(IF(H75="Gizi Buruk",$T$42,IF(H75="Gizi Lebih",$T$43,IF(H75="Risiko Gizi Lebih",$T$44,IF(H75="Gizi Baik",$T$45,$T$46)))))*(IF(I75="Ya",$T$51,$T$52))</f>
        <v/>
      </c>
      <c r="L75" s="97">
        <f>($Q$5/$Q$3)*(IF(B75="L",$U$15,$U$16))*(IF(C75="1-34 Bulan",$U$21,$U$22))*(IF(F75="Risiko Lebih",$U$27,IF(F75="Normal",$U$28,IF(F75="Kurang",$U$29,$U$30))))*(IF(G75="Normal",$U$35,IF(G75="Pendek",$U$36,$U$37)))*(IF(H75="Gizi Buruk",$U$42,IF(H75="Gizi Lebih",$U$43,IF(H75="Risiko Gizi Lebih",$U$44,IF(H75="Gizi Baik",$U$45,$U$46)))))*(IF(I75="Ya",$U$51,$U$52))</f>
        <v/>
      </c>
      <c r="M75" s="97">
        <f>($Q$6/$Q$3)*(IF(B75="L",$V$15,$V$16))*(IF(C75="1-34 Bulan",$V$21,$V$22))*(IF(F75="Risiko Lebih",$V$27,IF(F75="Normal",$V$28,IF(F75="Kurang",$V$29,$V$30))))*(IF(G75="Normal",$V$35,IF(G75="Pendek",$V$36,$V$37)))*(IF(H75="Gizi Buruk",$V$42,IF(H75="Gizi Lebih",$V$43,IF(H75="Risiko Gizi Lebih",$V$44,IF(H75="Gizi Baik",$V$45,$V$46)))))*(IF(I75="Ya",$V$51,$V$52))</f>
        <v/>
      </c>
      <c r="N75" s="97">
        <f>IF(K75=MAX(K75,L75,M75),"Stunting",IF(L75=MAX(K75,L75,M75),"Potensi Stunting","Tidak"))</f>
        <v/>
      </c>
    </row>
    <row r="76" ht="15.75" customHeight="1" s="95">
      <c r="A76" s="97" t="inlineStr">
        <is>
          <t>anonymus0820</t>
        </is>
      </c>
      <c r="B76" s="97" t="inlineStr">
        <is>
          <t>L</t>
        </is>
      </c>
      <c r="C76" s="97" t="inlineStr">
        <is>
          <t>35-69 Bulan</t>
        </is>
      </c>
      <c r="D76" s="97" t="n">
        <v>8.5</v>
      </c>
      <c r="E76" s="97" t="n">
        <v>78.3</v>
      </c>
      <c r="F76" s="97" t="inlineStr">
        <is>
          <t>Sangat Kurang</t>
        </is>
      </c>
      <c r="G76" s="97" t="inlineStr">
        <is>
          <t>Sangat Pendek</t>
        </is>
      </c>
      <c r="H76" s="97" t="inlineStr">
        <is>
          <t>Gizi Kurang</t>
        </is>
      </c>
      <c r="I76" s="97" t="inlineStr">
        <is>
          <t>Tidak</t>
        </is>
      </c>
      <c r="J76" s="126" t="inlineStr">
        <is>
          <t>Stunting</t>
        </is>
      </c>
      <c r="K76" s="97">
        <f>($Q$4/$Q$3)*(IF(B76="L",$T$15,$T$16))*(IF(C76="1-34 Bulan",$T$21,$T$22))*(IF(F76="Risiko Lebih",$T$27,IF(F76="Normal",$T$28,IF(F76="Kurang",$T$29,$T$30))))*(IF(G76="Normal",$T$35,IF(G76="Pendek",$T$36,$T$37)))*(IF(H76="Gizi Buruk",$T$42,IF(H76="Gizi Lebih",$T$43,IF(H76="Risiko Gizi Lebih",$T$44,IF(H76="Gizi Baik",$T$45,$T$46)))))*(IF(I76="Ya",$T$51,$T$52))</f>
        <v/>
      </c>
      <c r="L76" s="97">
        <f>($Q$5/$Q$3)*(IF(B76="L",$U$15,$U$16))*(IF(C76="1-34 Bulan",$U$21,$U$22))*(IF(F76="Risiko Lebih",$U$27,IF(F76="Normal",$U$28,IF(F76="Kurang",$U$29,$U$30))))*(IF(G76="Normal",$U$35,IF(G76="Pendek",$U$36,$U$37)))*(IF(H76="Gizi Buruk",$U$42,IF(H76="Gizi Lebih",$U$43,IF(H76="Risiko Gizi Lebih",$U$44,IF(H76="Gizi Baik",$U$45,$U$46)))))*(IF(I76="Ya",$U$51,$U$52))</f>
        <v/>
      </c>
      <c r="M76" s="97">
        <f>($Q$6/$Q$3)*(IF(B76="L",$V$15,$V$16))*(IF(C76="1-34 Bulan",$V$21,$V$22))*(IF(F76="Risiko Lebih",$V$27,IF(F76="Normal",$V$28,IF(F76="Kurang",$V$29,$V$30))))*(IF(G76="Normal",$V$35,IF(G76="Pendek",$V$36,$V$37)))*(IF(H76="Gizi Buruk",$V$42,IF(H76="Gizi Lebih",$V$43,IF(H76="Risiko Gizi Lebih",$V$44,IF(H76="Gizi Baik",$V$45,$V$46)))))*(IF(I76="Ya",$V$51,$V$52))</f>
        <v/>
      </c>
      <c r="N76" s="97">
        <f>IF(K76=MAX(K76,L76,M76),"Stunting",IF(L76=MAX(K76,L76,M76),"Potensi Stunting","Tidak"))</f>
        <v/>
      </c>
    </row>
    <row r="77" ht="15.75" customHeight="1" s="95">
      <c r="A77" s="97" t="inlineStr">
        <is>
          <t>anonymus0821</t>
        </is>
      </c>
      <c r="B77" s="97" t="inlineStr">
        <is>
          <t>L</t>
        </is>
      </c>
      <c r="C77" s="97" t="inlineStr">
        <is>
          <t>35-69 Bulan</t>
        </is>
      </c>
      <c r="D77" s="97" t="n">
        <v>16.1</v>
      </c>
      <c r="E77" s="97" t="n">
        <v>110</v>
      </c>
      <c r="F77" s="97" t="inlineStr">
        <is>
          <t>Normal</t>
        </is>
      </c>
      <c r="G77" s="97" t="inlineStr">
        <is>
          <t>Normal</t>
        </is>
      </c>
      <c r="H77" s="97" t="inlineStr">
        <is>
          <t>Gizi Baik</t>
        </is>
      </c>
      <c r="I77" s="97" t="inlineStr">
        <is>
          <t>Ya</t>
        </is>
      </c>
      <c r="J77" s="126" t="inlineStr">
        <is>
          <t>Tidak</t>
        </is>
      </c>
      <c r="K77" s="97">
        <f>($Q$4/$Q$3)*(IF(B77="L",$T$15,$T$16))*(IF(C77="1-34 Bulan",$T$21,$T$22))*(IF(F77="Risiko Lebih",$T$27,IF(F77="Normal",$T$28,IF(F77="Kurang",$T$29,$T$30))))*(IF(G77="Normal",$T$35,IF(G77="Pendek",$T$36,$T$37)))*(IF(H77="Gizi Buruk",$T$42,IF(H77="Gizi Lebih",$T$43,IF(H77="Risiko Gizi Lebih",$T$44,IF(H77="Gizi Baik",$T$45,$T$46)))))*(IF(I77="Ya",$T$51,$T$52))</f>
        <v/>
      </c>
      <c r="L77" s="97">
        <f>($Q$5/$Q$3)*(IF(B77="L",$U$15,$U$16))*(IF(C77="1-34 Bulan",$U$21,$U$22))*(IF(F77="Risiko Lebih",$U$27,IF(F77="Normal",$U$28,IF(F77="Kurang",$U$29,$U$30))))*(IF(G77="Normal",$U$35,IF(G77="Pendek",$U$36,$U$37)))*(IF(H77="Gizi Buruk",$U$42,IF(H77="Gizi Lebih",$U$43,IF(H77="Risiko Gizi Lebih",$U$44,IF(H77="Gizi Baik",$U$45,$U$46)))))*(IF(I77="Ya",$U$51,$U$52))</f>
        <v/>
      </c>
      <c r="M77" s="97">
        <f>($Q$6/$Q$3)*(IF(B77="L",$V$15,$V$16))*(IF(C77="1-34 Bulan",$V$21,$V$22))*(IF(F77="Risiko Lebih",$V$27,IF(F77="Normal",$V$28,IF(F77="Kurang",$V$29,$V$30))))*(IF(G77="Normal",$V$35,IF(G77="Pendek",$V$36,$V$37)))*(IF(H77="Gizi Buruk",$V$42,IF(H77="Gizi Lebih",$V$43,IF(H77="Risiko Gizi Lebih",$V$44,IF(H77="Gizi Baik",$V$45,$V$46)))))*(IF(I77="Ya",$V$51,$V$52))</f>
        <v/>
      </c>
      <c r="N77" s="97">
        <f>IF(K77=MAX(K77,L77,M77),"Stunting",IF(L77=MAX(K77,L77,M77),"Potensi Stunting","Tidak"))</f>
        <v/>
      </c>
    </row>
    <row r="78" ht="15.75" customHeight="1" s="95">
      <c r="A78" s="97" t="inlineStr">
        <is>
          <t>anonymus0822</t>
        </is>
      </c>
      <c r="B78" s="97" t="inlineStr">
        <is>
          <t>L</t>
        </is>
      </c>
      <c r="C78" s="97" t="inlineStr">
        <is>
          <t>35-69 Bulan</t>
        </is>
      </c>
      <c r="D78" s="97" t="n">
        <v>10.5</v>
      </c>
      <c r="E78" s="97" t="n">
        <v>90</v>
      </c>
      <c r="F78" s="97" t="inlineStr">
        <is>
          <t>Sangat Kurang</t>
        </is>
      </c>
      <c r="G78" s="97" t="inlineStr">
        <is>
          <t>Pendek</t>
        </is>
      </c>
      <c r="H78" s="97" t="inlineStr">
        <is>
          <t>Gizi Kurang</t>
        </is>
      </c>
      <c r="I78" s="97" t="inlineStr">
        <is>
          <t>Tidak</t>
        </is>
      </c>
      <c r="J78" s="126" t="inlineStr">
        <is>
          <t>Stunting</t>
        </is>
      </c>
      <c r="K78" s="97">
        <f>($Q$4/$Q$3)*(IF(B78="L",$T$15,$T$16))*(IF(C78="1-34 Bulan",$T$21,$T$22))*(IF(F78="Risiko Lebih",$T$27,IF(F78="Normal",$T$28,IF(F78="Kurang",$T$29,$T$30))))*(IF(G78="Normal",$T$35,IF(G78="Pendek",$T$36,$T$37)))*(IF(H78="Gizi Buruk",$T$42,IF(H78="Gizi Lebih",$T$43,IF(H78="Risiko Gizi Lebih",$T$44,IF(H78="Gizi Baik",$T$45,$T$46)))))*(IF(I78="Ya",$T$51,$T$52))</f>
        <v/>
      </c>
      <c r="L78" s="97">
        <f>($Q$5/$Q$3)*(IF(B78="L",$U$15,$U$16))*(IF(C78="1-34 Bulan",$U$21,$U$22))*(IF(F78="Risiko Lebih",$U$27,IF(F78="Normal",$U$28,IF(F78="Kurang",$U$29,$U$30))))*(IF(G78="Normal",$U$35,IF(G78="Pendek",$U$36,$U$37)))*(IF(H78="Gizi Buruk",$U$42,IF(H78="Gizi Lebih",$U$43,IF(H78="Risiko Gizi Lebih",$U$44,IF(H78="Gizi Baik",$U$45,$U$46)))))*(IF(I78="Ya",$U$51,$U$52))</f>
        <v/>
      </c>
      <c r="M78" s="97">
        <f>($Q$6/$Q$3)*(IF(B78="L",$V$15,$V$16))*(IF(C78="1-34 Bulan",$V$21,$V$22))*(IF(F78="Risiko Lebih",$V$27,IF(F78="Normal",$V$28,IF(F78="Kurang",$V$29,$V$30))))*(IF(G78="Normal",$V$35,IF(G78="Pendek",$V$36,$V$37)))*(IF(H78="Gizi Buruk",$V$42,IF(H78="Gizi Lebih",$V$43,IF(H78="Risiko Gizi Lebih",$V$44,IF(H78="Gizi Baik",$V$45,$V$46)))))*(IF(I78="Ya",$V$51,$V$52))</f>
        <v/>
      </c>
      <c r="N78" s="97">
        <f>IF(K78=MAX(K78,L78,M78),"Stunting",IF(L78=MAX(K78,L78,M78),"Potensi Stunting","Tidak"))</f>
        <v/>
      </c>
    </row>
    <row r="79" ht="15.75" customHeight="1" s="95">
      <c r="A79" s="97" t="inlineStr">
        <is>
          <t>anonymus0823</t>
        </is>
      </c>
      <c r="B79" s="97" t="inlineStr">
        <is>
          <t>L</t>
        </is>
      </c>
      <c r="C79" s="97" t="inlineStr">
        <is>
          <t>1-34 Bulan</t>
        </is>
      </c>
      <c r="D79" s="97" t="n">
        <v>12.7</v>
      </c>
      <c r="E79" s="97" t="n">
        <v>79</v>
      </c>
      <c r="F79" s="97" t="inlineStr">
        <is>
          <t>Normal</t>
        </is>
      </c>
      <c r="G79" s="97" t="inlineStr">
        <is>
          <t>Normal</t>
        </is>
      </c>
      <c r="H79" s="97" t="inlineStr">
        <is>
          <t>Gizi Baik</t>
        </is>
      </c>
      <c r="I79" s="97" t="inlineStr">
        <is>
          <t>Ya</t>
        </is>
      </c>
      <c r="J79" s="126" t="inlineStr">
        <is>
          <t>Tidak</t>
        </is>
      </c>
      <c r="K79" s="97">
        <f>($Q$4/$Q$3)*(IF(B79="L",$T$15,$T$16))*(IF(C79="1-34 Bulan",$T$21,$T$22))*(IF(F79="Risiko Lebih",$T$27,IF(F79="Normal",$T$28,IF(F79="Kurang",$T$29,$T$30))))*(IF(G79="Normal",$T$35,IF(G79="Pendek",$T$36,$T$37)))*(IF(H79="Gizi Buruk",$T$42,IF(H79="Gizi Lebih",$T$43,IF(H79="Risiko Gizi Lebih",$T$44,IF(H79="Gizi Baik",$T$45,$T$46)))))*(IF(I79="Ya",$T$51,$T$52))</f>
        <v/>
      </c>
      <c r="L79" s="97">
        <f>($Q$5/$Q$3)*(IF(B79="L",$U$15,$U$16))*(IF(C79="1-34 Bulan",$U$21,$U$22))*(IF(F79="Risiko Lebih",$U$27,IF(F79="Normal",$U$28,IF(F79="Kurang",$U$29,$U$30))))*(IF(G79="Normal",$U$35,IF(G79="Pendek",$U$36,$U$37)))*(IF(H79="Gizi Buruk",$U$42,IF(H79="Gizi Lebih",$U$43,IF(H79="Risiko Gizi Lebih",$U$44,IF(H79="Gizi Baik",$U$45,$U$46)))))*(IF(I79="Ya",$U$51,$U$52))</f>
        <v/>
      </c>
      <c r="M79" s="97">
        <f>($Q$6/$Q$3)*(IF(B79="L",$V$15,$V$16))*(IF(C79="1-34 Bulan",$V$21,$V$22))*(IF(F79="Risiko Lebih",$V$27,IF(F79="Normal",$V$28,IF(F79="Kurang",$V$29,$V$30))))*(IF(G79="Normal",$V$35,IF(G79="Pendek",$V$36,$V$37)))*(IF(H79="Gizi Buruk",$V$42,IF(H79="Gizi Lebih",$V$43,IF(H79="Risiko Gizi Lebih",$V$44,IF(H79="Gizi Baik",$V$45,$V$46)))))*(IF(I79="Ya",$V$51,$V$52))</f>
        <v/>
      </c>
      <c r="N79" s="97">
        <f>IF(K79=MAX(K79,L79,M79),"Stunting",IF(L79=MAX(K79,L79,M79),"Potensi Stunting","Tidak"))</f>
        <v/>
      </c>
    </row>
    <row r="80" ht="15.75" customHeight="1" s="95">
      <c r="A80" s="97" t="inlineStr">
        <is>
          <t>anonymus0824</t>
        </is>
      </c>
      <c r="B80" s="97" t="inlineStr">
        <is>
          <t>L</t>
        </is>
      </c>
      <c r="C80" s="97" t="inlineStr">
        <is>
          <t>1-34 Bulan</t>
        </is>
      </c>
      <c r="D80" s="97" t="n">
        <v>14.6</v>
      </c>
      <c r="E80" s="97" t="n">
        <v>99</v>
      </c>
      <c r="F80" s="97" t="inlineStr">
        <is>
          <t>Normal</t>
        </is>
      </c>
      <c r="G80" s="97" t="inlineStr">
        <is>
          <t>Normal</t>
        </is>
      </c>
      <c r="H80" s="97" t="inlineStr">
        <is>
          <t>Gizi Baik</t>
        </is>
      </c>
      <c r="I80" s="97" t="inlineStr">
        <is>
          <t>Ya</t>
        </is>
      </c>
      <c r="J80" s="126" t="inlineStr">
        <is>
          <t>Tidak</t>
        </is>
      </c>
      <c r="K80" s="97">
        <f>($Q$4/$Q$3)*(IF(B80="L",$T$15,$T$16))*(IF(C80="1-34 Bulan",$T$21,$T$22))*(IF(F80="Risiko Lebih",$T$27,IF(F80="Normal",$T$28,IF(F80="Kurang",$T$29,$T$30))))*(IF(G80="Normal",$T$35,IF(G80="Pendek",$T$36,$T$37)))*(IF(H80="Gizi Buruk",$T$42,IF(H80="Gizi Lebih",$T$43,IF(H80="Risiko Gizi Lebih",$T$44,IF(H80="Gizi Baik",$T$45,$T$46)))))*(IF(I80="Ya",$T$51,$T$52))</f>
        <v/>
      </c>
      <c r="L80" s="97">
        <f>($Q$5/$Q$3)*(IF(B80="L",$U$15,$U$16))*(IF(C80="1-34 Bulan",$U$21,$U$22))*(IF(F80="Risiko Lebih",$U$27,IF(F80="Normal",$U$28,IF(F80="Kurang",$U$29,$U$30))))*(IF(G80="Normal",$U$35,IF(G80="Pendek",$U$36,$U$37)))*(IF(H80="Gizi Buruk",$U$42,IF(H80="Gizi Lebih",$U$43,IF(H80="Risiko Gizi Lebih",$U$44,IF(H80="Gizi Baik",$U$45,$U$46)))))*(IF(I80="Ya",$U$51,$U$52))</f>
        <v/>
      </c>
      <c r="M80" s="97">
        <f>($Q$6/$Q$3)*(IF(B80="L",$V$15,$V$16))*(IF(C80="1-34 Bulan",$V$21,$V$22))*(IF(F80="Risiko Lebih",$V$27,IF(F80="Normal",$V$28,IF(F80="Kurang",$V$29,$V$30))))*(IF(G80="Normal",$V$35,IF(G80="Pendek",$V$36,$V$37)))*(IF(H80="Gizi Buruk",$V$42,IF(H80="Gizi Lebih",$V$43,IF(H80="Risiko Gizi Lebih",$V$44,IF(H80="Gizi Baik",$V$45,$V$46)))))*(IF(I80="Ya",$V$51,$V$52))</f>
        <v/>
      </c>
      <c r="N80" s="97">
        <f>IF(K80=MAX(K80,L80,M80),"Stunting",IF(L80=MAX(K80,L80,M80),"Potensi Stunting","Tidak"))</f>
        <v/>
      </c>
    </row>
    <row r="81" ht="15.75" customHeight="1" s="95">
      <c r="A81" s="97" t="inlineStr">
        <is>
          <t>anonymus0825</t>
        </is>
      </c>
      <c r="B81" s="97" t="inlineStr">
        <is>
          <t>L</t>
        </is>
      </c>
      <c r="C81" s="97" t="inlineStr">
        <is>
          <t>1-34 Bulan</t>
        </is>
      </c>
      <c r="D81" s="97" t="inlineStr">
        <is>
          <t>12.5</t>
        </is>
      </c>
      <c r="E81" s="97" t="n">
        <v>87</v>
      </c>
      <c r="F81" s="97" t="inlineStr">
        <is>
          <t>Normal</t>
        </is>
      </c>
      <c r="G81" s="97" t="inlineStr">
        <is>
          <t>Normal</t>
        </is>
      </c>
      <c r="H81" s="97" t="inlineStr">
        <is>
          <t>Gizi Baik</t>
        </is>
      </c>
      <c r="I81" s="97" t="inlineStr">
        <is>
          <t>Ya</t>
        </is>
      </c>
      <c r="J81" s="126" t="inlineStr">
        <is>
          <t>Tidak</t>
        </is>
      </c>
      <c r="K81" s="97">
        <f>($Q$4/$Q$3)*(IF(B81="L",$T$15,$T$16))*(IF(C81="1-34 Bulan",$T$21,$T$22))*(IF(F81="Risiko Lebih",$T$27,IF(F81="Normal",$T$28,IF(F81="Kurang",$T$29,$T$30))))*(IF(G81="Normal",$T$35,IF(G81="Pendek",$T$36,$T$37)))*(IF(H81="Gizi Buruk",$T$42,IF(H81="Gizi Lebih",$T$43,IF(H81="Risiko Gizi Lebih",$T$44,IF(H81="Gizi Baik",$T$45,$T$46)))))*(IF(I81="Ya",$T$51,$T$52))</f>
        <v/>
      </c>
      <c r="L81" s="97">
        <f>($Q$5/$Q$3)*(IF(B81="L",$U$15,$U$16))*(IF(C81="1-34 Bulan",$U$21,$U$22))*(IF(F81="Risiko Lebih",$U$27,IF(F81="Normal",$U$28,IF(F81="Kurang",$U$29,$U$30))))*(IF(G81="Normal",$U$35,IF(G81="Pendek",$U$36,$U$37)))*(IF(H81="Gizi Buruk",$U$42,IF(H81="Gizi Lebih",$U$43,IF(H81="Risiko Gizi Lebih",$U$44,IF(H81="Gizi Baik",$U$45,$U$46)))))*(IF(I81="Ya",$U$51,$U$52))</f>
        <v/>
      </c>
      <c r="M81" s="97">
        <f>($Q$6/$Q$3)*(IF(B81="L",$V$15,$V$16))*(IF(C81="1-34 Bulan",$V$21,$V$22))*(IF(F81="Risiko Lebih",$V$27,IF(F81="Normal",$V$28,IF(F81="Kurang",$V$29,$V$30))))*(IF(G81="Normal",$V$35,IF(G81="Pendek",$V$36,$V$37)))*(IF(H81="Gizi Buruk",$V$42,IF(H81="Gizi Lebih",$V$43,IF(H81="Risiko Gizi Lebih",$V$44,IF(H81="Gizi Baik",$V$45,$V$46)))))*(IF(I81="Ya",$V$51,$V$52))</f>
        <v/>
      </c>
      <c r="N81" s="97">
        <f>IF(K81=MAX(K81,L81,M81),"Stunting",IF(L81=MAX(K81,L81,M81),"Potensi Stunting","Tidak"))</f>
        <v/>
      </c>
    </row>
    <row r="82" ht="15.75" customHeight="1" s="95">
      <c r="A82" s="97" t="inlineStr">
        <is>
          <t>anonymus0826</t>
        </is>
      </c>
      <c r="B82" s="97" t="inlineStr">
        <is>
          <t>L</t>
        </is>
      </c>
      <c r="C82" s="97" t="inlineStr">
        <is>
          <t>35-69 Bulan</t>
        </is>
      </c>
      <c r="D82" s="97" t="n">
        <v>16.9</v>
      </c>
      <c r="E82" s="97" t="n">
        <v>93</v>
      </c>
      <c r="F82" s="97" t="inlineStr">
        <is>
          <t>Normal</t>
        </is>
      </c>
      <c r="G82" s="97" t="inlineStr">
        <is>
          <t>Normal</t>
        </is>
      </c>
      <c r="H82" s="97" t="inlineStr">
        <is>
          <t>Gizi Baik</t>
        </is>
      </c>
      <c r="I82" s="97" t="inlineStr">
        <is>
          <t>Ya</t>
        </is>
      </c>
      <c r="J82" s="126" t="inlineStr">
        <is>
          <t>Tidak</t>
        </is>
      </c>
      <c r="K82" s="97">
        <f>($Q$4/$Q$3)*(IF(B82="L",$T$15,$T$16))*(IF(C82="1-34 Bulan",$T$21,$T$22))*(IF(F82="Risiko Lebih",$T$27,IF(F82="Normal",$T$28,IF(F82="Kurang",$T$29,$T$30))))*(IF(G82="Normal",$T$35,IF(G82="Pendek",$T$36,$T$37)))*(IF(H82="Gizi Buruk",$T$42,IF(H82="Gizi Lebih",$T$43,IF(H82="Risiko Gizi Lebih",$T$44,IF(H82="Gizi Baik",$T$45,$T$46)))))*(IF(I82="Ya",$T$51,$T$52))</f>
        <v/>
      </c>
      <c r="L82" s="97">
        <f>($Q$5/$Q$3)*(IF(B82="L",$U$15,$U$16))*(IF(C82="1-34 Bulan",$U$21,$U$22))*(IF(F82="Risiko Lebih",$U$27,IF(F82="Normal",$U$28,IF(F82="Kurang",$U$29,$U$30))))*(IF(G82="Normal",$U$35,IF(G82="Pendek",$U$36,$U$37)))*(IF(H82="Gizi Buruk",$U$42,IF(H82="Gizi Lebih",$U$43,IF(H82="Risiko Gizi Lebih",$U$44,IF(H82="Gizi Baik",$U$45,$U$46)))))*(IF(I82="Ya",$U$51,$U$52))</f>
        <v/>
      </c>
      <c r="M82" s="97">
        <f>($Q$6/$Q$3)*(IF(B82="L",$V$15,$V$16))*(IF(C82="1-34 Bulan",$V$21,$V$22))*(IF(F82="Risiko Lebih",$V$27,IF(F82="Normal",$V$28,IF(F82="Kurang",$V$29,$V$30))))*(IF(G82="Normal",$V$35,IF(G82="Pendek",$V$36,$V$37)))*(IF(H82="Gizi Buruk",$V$42,IF(H82="Gizi Lebih",$V$43,IF(H82="Risiko Gizi Lebih",$V$44,IF(H82="Gizi Baik",$V$45,$V$46)))))*(IF(I82="Ya",$V$51,$V$52))</f>
        <v/>
      </c>
      <c r="N82" s="97">
        <f>IF(K82=MAX(K82,L82,M82),"Stunting",IF(L82=MAX(K82,L82,M82),"Potensi Stunting","Tidak"))</f>
        <v/>
      </c>
    </row>
    <row r="83" ht="15.75" customHeight="1" s="95">
      <c r="A83" s="97" t="inlineStr">
        <is>
          <t>anonymus0827</t>
        </is>
      </c>
      <c r="B83" s="97" t="inlineStr">
        <is>
          <t>L</t>
        </is>
      </c>
      <c r="C83" s="97" t="inlineStr">
        <is>
          <t>1-34 Bulan</t>
        </is>
      </c>
      <c r="D83" s="97" t="n">
        <v>6.16</v>
      </c>
      <c r="E83" s="97" t="n">
        <v>65.5</v>
      </c>
      <c r="F83" s="97" t="inlineStr">
        <is>
          <t>Kurang</t>
        </is>
      </c>
      <c r="G83" s="97" t="inlineStr">
        <is>
          <t>Pendek</t>
        </is>
      </c>
      <c r="H83" s="97" t="inlineStr">
        <is>
          <t>Gizi Kurang</t>
        </is>
      </c>
      <c r="I83" s="97" t="inlineStr">
        <is>
          <t>Tidak</t>
        </is>
      </c>
      <c r="J83" s="126" t="inlineStr">
        <is>
          <t>Stunting</t>
        </is>
      </c>
      <c r="K83" s="97">
        <f>($Q$4/$Q$3)*(IF(B83="L",$T$15,$T$16))*(IF(C83="1-34 Bulan",$T$21,$T$22))*(IF(F83="Risiko Lebih",$T$27,IF(F83="Normal",$T$28,IF(F83="Kurang",$T$29,$T$30))))*(IF(G83="Normal",$T$35,IF(G83="Pendek",$T$36,$T$37)))*(IF(H83="Gizi Buruk",$T$42,IF(H83="Gizi Lebih",$T$43,IF(H83="Risiko Gizi Lebih",$T$44,IF(H83="Gizi Baik",$T$45,$T$46)))))*(IF(I83="Ya",$T$51,$T$52))</f>
        <v/>
      </c>
      <c r="L83" s="97">
        <f>($Q$5/$Q$3)*(IF(B83="L",$U$15,$U$16))*(IF(C83="1-34 Bulan",$U$21,$U$22))*(IF(F83="Risiko Lebih",$U$27,IF(F83="Normal",$U$28,IF(F83="Kurang",$U$29,$U$30))))*(IF(G83="Normal",$U$35,IF(G83="Pendek",$U$36,$U$37)))*(IF(H83="Gizi Buruk",$U$42,IF(H83="Gizi Lebih",$U$43,IF(H83="Risiko Gizi Lebih",$U$44,IF(H83="Gizi Baik",$U$45,$U$46)))))*(IF(I83="Ya",$U$51,$U$52))</f>
        <v/>
      </c>
      <c r="M83" s="97">
        <f>($Q$6/$Q$3)*(IF(B83="L",$V$15,$V$16))*(IF(C83="1-34 Bulan",$V$21,$V$22))*(IF(F83="Risiko Lebih",$V$27,IF(F83="Normal",$V$28,IF(F83="Kurang",$V$29,$V$30))))*(IF(G83="Normal",$V$35,IF(G83="Pendek",$V$36,$V$37)))*(IF(H83="Gizi Buruk",$V$42,IF(H83="Gizi Lebih",$V$43,IF(H83="Risiko Gizi Lebih",$V$44,IF(H83="Gizi Baik",$V$45,$V$46)))))*(IF(I83="Ya",$V$51,$V$52))</f>
        <v/>
      </c>
      <c r="N83" s="97">
        <f>IF(K83=MAX(K83,L83,M83),"Stunting",IF(L83=MAX(K83,L83,M83),"Potensi Stunting","Tidak"))</f>
        <v/>
      </c>
    </row>
    <row r="84" ht="15.75" customHeight="1" s="95">
      <c r="A84" s="97" t="inlineStr">
        <is>
          <t>anonymus0828</t>
        </is>
      </c>
      <c r="B84" s="97" t="inlineStr">
        <is>
          <t>P</t>
        </is>
      </c>
      <c r="C84" s="97" t="inlineStr">
        <is>
          <t>1-34 Bulan</t>
        </is>
      </c>
      <c r="D84" s="97" t="n">
        <v>6.3</v>
      </c>
      <c r="E84" s="97" t="n">
        <v>70</v>
      </c>
      <c r="F84" s="97" t="inlineStr">
        <is>
          <t>Kurang</t>
        </is>
      </c>
      <c r="G84" s="97" t="inlineStr">
        <is>
          <t>Normal</t>
        </is>
      </c>
      <c r="H84" s="97" t="inlineStr">
        <is>
          <t>Gizi Kurang</t>
        </is>
      </c>
      <c r="I84" s="97" t="inlineStr">
        <is>
          <t>Ya</t>
        </is>
      </c>
      <c r="J84" s="126" t="inlineStr">
        <is>
          <t>Tidak</t>
        </is>
      </c>
      <c r="K84" s="97">
        <f>($Q$4/$Q$3)*(IF(B84="L",$T$15,$T$16))*(IF(C84="1-34 Bulan",$T$21,$T$22))*(IF(F84="Risiko Lebih",$T$27,IF(F84="Normal",$T$28,IF(F84="Kurang",$T$29,$T$30))))*(IF(G84="Normal",$T$35,IF(G84="Pendek",$T$36,$T$37)))*(IF(H84="Gizi Buruk",$T$42,IF(H84="Gizi Lebih",$T$43,IF(H84="Risiko Gizi Lebih",$T$44,IF(H84="Gizi Baik",$T$45,$T$46)))))*(IF(I84="Ya",$T$51,$T$52))</f>
        <v/>
      </c>
      <c r="L84" s="97">
        <f>($Q$5/$Q$3)*(IF(B84="L",$U$15,$U$16))*(IF(C84="1-34 Bulan",$U$21,$U$22))*(IF(F84="Risiko Lebih",$U$27,IF(F84="Normal",$U$28,IF(F84="Kurang",$U$29,$U$30))))*(IF(G84="Normal",$U$35,IF(G84="Pendek",$U$36,$U$37)))*(IF(H84="Gizi Buruk",$U$42,IF(H84="Gizi Lebih",$U$43,IF(H84="Risiko Gizi Lebih",$U$44,IF(H84="Gizi Baik",$U$45,$U$46)))))*(IF(I84="Ya",$U$51,$U$52))</f>
        <v/>
      </c>
      <c r="M84" s="97">
        <f>($Q$6/$Q$3)*(IF(B84="L",$V$15,$V$16))*(IF(C84="1-34 Bulan",$V$21,$V$22))*(IF(F84="Risiko Lebih",$V$27,IF(F84="Normal",$V$28,IF(F84="Kurang",$V$29,$V$30))))*(IF(G84="Normal",$V$35,IF(G84="Pendek",$V$36,$V$37)))*(IF(H84="Gizi Buruk",$V$42,IF(H84="Gizi Lebih",$V$43,IF(H84="Risiko Gizi Lebih",$V$44,IF(H84="Gizi Baik",$V$45,$V$46)))))*(IF(I84="Ya",$V$51,$V$52))</f>
        <v/>
      </c>
      <c r="N84" s="97">
        <f>IF(K84=MAX(K84,L84,M84),"Stunting",IF(L84=MAX(K84,L84,M84),"Potensi Stunting","Tidak"))</f>
        <v/>
      </c>
    </row>
    <row r="85" ht="15.75" customHeight="1" s="95">
      <c r="A85" s="97" t="inlineStr">
        <is>
          <t>anonymus0829</t>
        </is>
      </c>
      <c r="B85" s="97" t="inlineStr">
        <is>
          <t>P</t>
        </is>
      </c>
      <c r="C85" s="97" t="inlineStr">
        <is>
          <t>1-34 Bulan</t>
        </is>
      </c>
      <c r="D85" s="97" t="n">
        <v>7.8</v>
      </c>
      <c r="E85" s="97" t="n">
        <v>72</v>
      </c>
      <c r="F85" s="97" t="inlineStr">
        <is>
          <t>Normal</t>
        </is>
      </c>
      <c r="G85" s="97" t="inlineStr">
        <is>
          <t>Pendek</t>
        </is>
      </c>
      <c r="H85" s="97" t="inlineStr">
        <is>
          <t>Gizi Baik</t>
        </is>
      </c>
      <c r="I85" s="97" t="inlineStr">
        <is>
          <t>Ya</t>
        </is>
      </c>
      <c r="J85" s="126" t="inlineStr">
        <is>
          <t>Potensi Stunting</t>
        </is>
      </c>
      <c r="K85" s="97">
        <f>($Q$4/$Q$3)*(IF(B85="L",$T$15,$T$16))*(IF(C85="1-34 Bulan",$T$21,$T$22))*(IF(F85="Risiko Lebih",$T$27,IF(F85="Normal",$T$28,IF(F85="Kurang",$T$29,$T$30))))*(IF(G85="Normal",$T$35,IF(G85="Pendek",$T$36,$T$37)))*(IF(H85="Gizi Buruk",$T$42,IF(H85="Gizi Lebih",$T$43,IF(H85="Risiko Gizi Lebih",$T$44,IF(H85="Gizi Baik",$T$45,$T$46)))))*(IF(I85="Ya",$T$51,$T$52))</f>
        <v/>
      </c>
      <c r="L85" s="97">
        <f>($Q$5/$Q$3)*(IF(B85="L",$U$15,$U$16))*(IF(C85="1-34 Bulan",$U$21,$U$22))*(IF(F85="Risiko Lebih",$U$27,IF(F85="Normal",$U$28,IF(F85="Kurang",$U$29,$U$30))))*(IF(G85="Normal",$U$35,IF(G85="Pendek",$U$36,$U$37)))*(IF(H85="Gizi Buruk",$U$42,IF(H85="Gizi Lebih",$U$43,IF(H85="Risiko Gizi Lebih",$U$44,IF(H85="Gizi Baik",$U$45,$U$46)))))*(IF(I85="Ya",$U$51,$U$52))</f>
        <v/>
      </c>
      <c r="M85" s="97">
        <f>($Q$6/$Q$3)*(IF(B85="L",$V$15,$V$16))*(IF(C85="1-34 Bulan",$V$21,$V$22))*(IF(F85="Risiko Lebih",$V$27,IF(F85="Normal",$V$28,IF(F85="Kurang",$V$29,$V$30))))*(IF(G85="Normal",$V$35,IF(G85="Pendek",$V$36,$V$37)))*(IF(H85="Gizi Buruk",$V$42,IF(H85="Gizi Lebih",$V$43,IF(H85="Risiko Gizi Lebih",$V$44,IF(H85="Gizi Baik",$V$45,$V$46)))))*(IF(I85="Ya",$V$51,$V$52))</f>
        <v/>
      </c>
      <c r="N85" s="97">
        <f>IF(K85=MAX(K85,L85,M85),"Stunting",IF(L85=MAX(K85,L85,M85),"Potensi Stunting","Tidak"))</f>
        <v/>
      </c>
    </row>
    <row r="86" ht="15.75" customHeight="1" s="95">
      <c r="A86" s="97" t="inlineStr">
        <is>
          <t>anonymus0830</t>
        </is>
      </c>
      <c r="B86" s="97" t="inlineStr">
        <is>
          <t>P</t>
        </is>
      </c>
      <c r="C86" s="97" t="inlineStr">
        <is>
          <t>1-34 Bulan</t>
        </is>
      </c>
      <c r="D86" s="97" t="inlineStr">
        <is>
          <t>7.2</t>
        </is>
      </c>
      <c r="E86" s="97" t="n">
        <v>70</v>
      </c>
      <c r="F86" s="97" t="inlineStr">
        <is>
          <t>Normal</t>
        </is>
      </c>
      <c r="G86" s="97" t="inlineStr">
        <is>
          <t>Normal</t>
        </is>
      </c>
      <c r="H86" s="97" t="inlineStr">
        <is>
          <t>Gizi Baik</t>
        </is>
      </c>
      <c r="I86" s="97" t="inlineStr">
        <is>
          <t>Ya</t>
        </is>
      </c>
      <c r="J86" s="126" t="inlineStr">
        <is>
          <t>Tidak</t>
        </is>
      </c>
      <c r="K86" s="97">
        <f>($Q$4/$Q$3)*(IF(B86="L",$T$15,$T$16))*(IF(C86="1-34 Bulan",$T$21,$T$22))*(IF(F86="Risiko Lebih",$T$27,IF(F86="Normal",$T$28,IF(F86="Kurang",$T$29,$T$30))))*(IF(G86="Normal",$T$35,IF(G86="Pendek",$T$36,$T$37)))*(IF(H86="Gizi Buruk",$T$42,IF(H86="Gizi Lebih",$T$43,IF(H86="Risiko Gizi Lebih",$T$44,IF(H86="Gizi Baik",$T$45,$T$46)))))*(IF(I86="Ya",$T$51,$T$52))</f>
        <v/>
      </c>
      <c r="L86" s="97">
        <f>($Q$5/$Q$3)*(IF(B86="L",$U$15,$U$16))*(IF(C86="1-34 Bulan",$U$21,$U$22))*(IF(F86="Risiko Lebih",$U$27,IF(F86="Normal",$U$28,IF(F86="Kurang",$U$29,$U$30))))*(IF(G86="Normal",$U$35,IF(G86="Pendek",$U$36,$U$37)))*(IF(H86="Gizi Buruk",$U$42,IF(H86="Gizi Lebih",$U$43,IF(H86="Risiko Gizi Lebih",$U$44,IF(H86="Gizi Baik",$U$45,$U$46)))))*(IF(I86="Ya",$U$51,$U$52))</f>
        <v/>
      </c>
      <c r="M86" s="97">
        <f>($Q$6/$Q$3)*(IF(B86="L",$V$15,$V$16))*(IF(C86="1-34 Bulan",$V$21,$V$22))*(IF(F86="Risiko Lebih",$V$27,IF(F86="Normal",$V$28,IF(F86="Kurang",$V$29,$V$30))))*(IF(G86="Normal",$V$35,IF(G86="Pendek",$V$36,$V$37)))*(IF(H86="Gizi Buruk",$V$42,IF(H86="Gizi Lebih",$V$43,IF(H86="Risiko Gizi Lebih",$V$44,IF(H86="Gizi Baik",$V$45,$V$46)))))*(IF(I86="Ya",$V$51,$V$52))</f>
        <v/>
      </c>
      <c r="N86" s="97">
        <f>IF(K86=MAX(K86,L86,M86),"Stunting",IF(L86=MAX(K86,L86,M86),"Potensi Stunting","Tidak"))</f>
        <v/>
      </c>
    </row>
    <row r="87" ht="15.75" customHeight="1" s="95">
      <c r="A87" s="97" t="inlineStr">
        <is>
          <t>anonymus0831</t>
        </is>
      </c>
      <c r="B87" s="97" t="inlineStr">
        <is>
          <t>P</t>
        </is>
      </c>
      <c r="C87" s="97" t="inlineStr">
        <is>
          <t>35-69 Bulan</t>
        </is>
      </c>
      <c r="D87" s="97" t="n">
        <v>10.1</v>
      </c>
      <c r="E87" s="97" t="n">
        <v>84</v>
      </c>
      <c r="F87" s="97" t="inlineStr">
        <is>
          <t>Kurang</t>
        </is>
      </c>
      <c r="G87" s="97" t="inlineStr">
        <is>
          <t>Pendek</t>
        </is>
      </c>
      <c r="H87" s="97" t="inlineStr">
        <is>
          <t>Gizi Baik</t>
        </is>
      </c>
      <c r="I87" s="97" t="inlineStr">
        <is>
          <t>Ya</t>
        </is>
      </c>
      <c r="J87" s="126" t="inlineStr">
        <is>
          <t>Tidak</t>
        </is>
      </c>
      <c r="K87" s="97">
        <f>($Q$4/$Q$3)*(IF(B87="L",$T$15,$T$16))*(IF(C87="1-34 Bulan",$T$21,$T$22))*(IF(F87="Risiko Lebih",$T$27,IF(F87="Normal",$T$28,IF(F87="Kurang",$T$29,$T$30))))*(IF(G87="Normal",$T$35,IF(G87="Pendek",$T$36,$T$37)))*(IF(H87="Gizi Buruk",$T$42,IF(H87="Gizi Lebih",$T$43,IF(H87="Risiko Gizi Lebih",$T$44,IF(H87="Gizi Baik",$T$45,$T$46)))))*(IF(I87="Ya",$T$51,$T$52))</f>
        <v/>
      </c>
      <c r="L87" s="97">
        <f>($Q$5/$Q$3)*(IF(B87="L",$U$15,$U$16))*(IF(C87="1-34 Bulan",$U$21,$U$22))*(IF(F87="Risiko Lebih",$U$27,IF(F87="Normal",$U$28,IF(F87="Kurang",$U$29,$U$30))))*(IF(G87="Normal",$U$35,IF(G87="Pendek",$U$36,$U$37)))*(IF(H87="Gizi Buruk",$U$42,IF(H87="Gizi Lebih",$U$43,IF(H87="Risiko Gizi Lebih",$U$44,IF(H87="Gizi Baik",$U$45,$U$46)))))*(IF(I87="Ya",$U$51,$U$52))</f>
        <v/>
      </c>
      <c r="M87" s="97">
        <f>($Q$6/$Q$3)*(IF(B87="L",$V$15,$V$16))*(IF(C87="1-34 Bulan",$V$21,$V$22))*(IF(F87="Risiko Lebih",$V$27,IF(F87="Normal",$V$28,IF(F87="Kurang",$V$29,$V$30))))*(IF(G87="Normal",$V$35,IF(G87="Pendek",$V$36,$V$37)))*(IF(H87="Gizi Buruk",$V$42,IF(H87="Gizi Lebih",$V$43,IF(H87="Risiko Gizi Lebih",$V$44,IF(H87="Gizi Baik",$V$45,$V$46)))))*(IF(I87="Ya",$V$51,$V$52))</f>
        <v/>
      </c>
      <c r="N87" s="97">
        <f>IF(K87=MAX(K87,L87,M87),"Stunting",IF(L87=MAX(K87,L87,M87),"Potensi Stunting","Tidak"))</f>
        <v/>
      </c>
    </row>
    <row r="88" ht="15.75" customHeight="1" s="95">
      <c r="A88" s="97" t="inlineStr">
        <is>
          <t>anonymus0832</t>
        </is>
      </c>
      <c r="B88" s="97" t="inlineStr">
        <is>
          <t>P</t>
        </is>
      </c>
      <c r="C88" s="97" t="inlineStr">
        <is>
          <t>1-34 Bulan</t>
        </is>
      </c>
      <c r="D88" s="97" t="n">
        <v>7.2</v>
      </c>
      <c r="E88" s="97" t="n">
        <v>69</v>
      </c>
      <c r="F88" s="97" t="inlineStr">
        <is>
          <t>Kurang</t>
        </is>
      </c>
      <c r="G88" s="97" t="inlineStr">
        <is>
          <t>Pendek</t>
        </is>
      </c>
      <c r="H88" s="97" t="inlineStr">
        <is>
          <t>Gizi Baik</t>
        </is>
      </c>
      <c r="I88" s="97" t="inlineStr">
        <is>
          <t>Ya</t>
        </is>
      </c>
      <c r="J88" s="126" t="inlineStr">
        <is>
          <t>Potensi Stunting</t>
        </is>
      </c>
      <c r="K88" s="97">
        <f>($Q$4/$Q$3)*(IF(B88="L",$T$15,$T$16))*(IF(C88="1-34 Bulan",$T$21,$T$22))*(IF(F88="Risiko Lebih",$T$27,IF(F88="Normal",$T$28,IF(F88="Kurang",$T$29,$T$30))))*(IF(G88="Normal",$T$35,IF(G88="Pendek",$T$36,$T$37)))*(IF(H88="Gizi Buruk",$T$42,IF(H88="Gizi Lebih",$T$43,IF(H88="Risiko Gizi Lebih",$T$44,IF(H88="Gizi Baik",$T$45,$T$46)))))*(IF(I88="Ya",$T$51,$T$52))</f>
        <v/>
      </c>
      <c r="L88" s="97">
        <f>($Q$5/$Q$3)*(IF(B88="L",$U$15,$U$16))*(IF(C88="1-34 Bulan",$U$21,$U$22))*(IF(F88="Risiko Lebih",$U$27,IF(F88="Normal",$U$28,IF(F88="Kurang",$U$29,$U$30))))*(IF(G88="Normal",$U$35,IF(G88="Pendek",$U$36,$U$37)))*(IF(H88="Gizi Buruk",$U$42,IF(H88="Gizi Lebih",$U$43,IF(H88="Risiko Gizi Lebih",$U$44,IF(H88="Gizi Baik",$U$45,$U$46)))))*(IF(I88="Ya",$U$51,$U$52))</f>
        <v/>
      </c>
      <c r="M88" s="97">
        <f>($Q$6/$Q$3)*(IF(B88="L",$V$15,$V$16))*(IF(C88="1-34 Bulan",$V$21,$V$22))*(IF(F88="Risiko Lebih",$V$27,IF(F88="Normal",$V$28,IF(F88="Kurang",$V$29,$V$30))))*(IF(G88="Normal",$V$35,IF(G88="Pendek",$V$36,$V$37)))*(IF(H88="Gizi Buruk",$V$42,IF(H88="Gizi Lebih",$V$43,IF(H88="Risiko Gizi Lebih",$V$44,IF(H88="Gizi Baik",$V$45,$V$46)))))*(IF(I88="Ya",$V$51,$V$52))</f>
        <v/>
      </c>
      <c r="N88" s="97">
        <f>IF(K88=MAX(K88,L88,M88),"Stunting",IF(L88=MAX(K88,L88,M88),"Potensi Stunting","Tidak"))</f>
        <v/>
      </c>
    </row>
    <row r="89" ht="15.75" customHeight="1" s="95">
      <c r="A89" s="97" t="inlineStr">
        <is>
          <t>anonymus0833</t>
        </is>
      </c>
      <c r="B89" s="97" t="inlineStr">
        <is>
          <t>L</t>
        </is>
      </c>
      <c r="C89" s="97" t="inlineStr">
        <is>
          <t>1-34 Bulan</t>
        </is>
      </c>
      <c r="D89" s="97" t="n">
        <v>12.4</v>
      </c>
      <c r="E89" s="97" t="n">
        <v>73</v>
      </c>
      <c r="F89" s="97" t="inlineStr">
        <is>
          <t>Normal</t>
        </is>
      </c>
      <c r="G89" s="97" t="inlineStr">
        <is>
          <t>Normal</t>
        </is>
      </c>
      <c r="H89" s="97" t="inlineStr">
        <is>
          <t>Gizi Baik</t>
        </is>
      </c>
      <c r="I89" s="97" t="inlineStr">
        <is>
          <t>Ya</t>
        </is>
      </c>
      <c r="J89" s="126" t="inlineStr">
        <is>
          <t>Tidak</t>
        </is>
      </c>
      <c r="K89" s="97">
        <f>($Q$4/$Q$3)*(IF(B89="L",$T$15,$T$16))*(IF(C89="1-34 Bulan",$T$21,$T$22))*(IF(F89="Risiko Lebih",$T$27,IF(F89="Normal",$T$28,IF(F89="Kurang",$T$29,$T$30))))*(IF(G89="Normal",$T$35,IF(G89="Pendek",$T$36,$T$37)))*(IF(H89="Gizi Buruk",$T$42,IF(H89="Gizi Lebih",$T$43,IF(H89="Risiko Gizi Lebih",$T$44,IF(H89="Gizi Baik",$T$45,$T$46)))))*(IF(I89="Ya",$T$51,$T$52))</f>
        <v/>
      </c>
      <c r="L89" s="97">
        <f>($Q$5/$Q$3)*(IF(B89="L",$U$15,$U$16))*(IF(C89="1-34 Bulan",$U$21,$U$22))*(IF(F89="Risiko Lebih",$U$27,IF(F89="Normal",$U$28,IF(F89="Kurang",$U$29,$U$30))))*(IF(G89="Normal",$U$35,IF(G89="Pendek",$U$36,$U$37)))*(IF(H89="Gizi Buruk",$U$42,IF(H89="Gizi Lebih",$U$43,IF(H89="Risiko Gizi Lebih",$U$44,IF(H89="Gizi Baik",$U$45,$U$46)))))*(IF(I89="Ya",$U$51,$U$52))</f>
        <v/>
      </c>
      <c r="M89" s="97">
        <f>($Q$6/$Q$3)*(IF(B89="L",$V$15,$V$16))*(IF(C89="1-34 Bulan",$V$21,$V$22))*(IF(F89="Risiko Lebih",$V$27,IF(F89="Normal",$V$28,IF(F89="Kurang",$V$29,$V$30))))*(IF(G89="Normal",$V$35,IF(G89="Pendek",$V$36,$V$37)))*(IF(H89="Gizi Buruk",$V$42,IF(H89="Gizi Lebih",$V$43,IF(H89="Risiko Gizi Lebih",$V$44,IF(H89="Gizi Baik",$V$45,$V$46)))))*(IF(I89="Ya",$V$51,$V$52))</f>
        <v/>
      </c>
      <c r="N89" s="97">
        <f>IF(K89=MAX(K89,L89,M89),"Stunting",IF(L89=MAX(K89,L89,M89),"Potensi Stunting","Tidak"))</f>
        <v/>
      </c>
    </row>
    <row r="90" ht="15.75" customHeight="1" s="95">
      <c r="A90" s="97" t="inlineStr">
        <is>
          <t>anonymus0834</t>
        </is>
      </c>
      <c r="B90" s="97" t="inlineStr">
        <is>
          <t>P</t>
        </is>
      </c>
      <c r="C90" s="97" t="inlineStr">
        <is>
          <t>35-69 Bulan</t>
        </is>
      </c>
      <c r="D90" s="97" t="n">
        <v>12.3</v>
      </c>
      <c r="E90" s="97" t="n">
        <v>83</v>
      </c>
      <c r="F90" s="97" t="inlineStr">
        <is>
          <t>Kurang</t>
        </is>
      </c>
      <c r="G90" s="97" t="inlineStr">
        <is>
          <t>Sangat Pendek</t>
        </is>
      </c>
      <c r="H90" s="97" t="inlineStr">
        <is>
          <t>Risiko Gizi Lebih</t>
        </is>
      </c>
      <c r="I90" s="97" t="inlineStr">
        <is>
          <t>Ya</t>
        </is>
      </c>
      <c r="J90" s="126" t="inlineStr">
        <is>
          <t>Potensi Stunting</t>
        </is>
      </c>
      <c r="K90" s="97">
        <f>($Q$4/$Q$3)*(IF(B90="L",$T$15,$T$16))*(IF(C90="1-34 Bulan",$T$21,$T$22))*(IF(F90="Risiko Lebih",$T$27,IF(F90="Normal",$T$28,IF(F90="Kurang",$T$29,$T$30))))*(IF(G90="Normal",$T$35,IF(G90="Pendek",$T$36,$T$37)))*(IF(H90="Gizi Buruk",$T$42,IF(H90="Gizi Lebih",$T$43,IF(H90="Risiko Gizi Lebih",$T$44,IF(H90="Gizi Baik",$T$45,$T$46)))))*(IF(I90="Ya",$T$51,$T$52))</f>
        <v/>
      </c>
      <c r="L90" s="97">
        <f>($Q$5/$Q$3)*(IF(B90="L",$U$15,$U$16))*(IF(C90="1-34 Bulan",$U$21,$U$22))*(IF(F90="Risiko Lebih",$U$27,IF(F90="Normal",$U$28,IF(F90="Kurang",$U$29,$U$30))))*(IF(G90="Normal",$U$35,IF(G90="Pendek",$U$36,$U$37)))*(IF(H90="Gizi Buruk",$U$42,IF(H90="Gizi Lebih",$U$43,IF(H90="Risiko Gizi Lebih",$U$44,IF(H90="Gizi Baik",$U$45,$U$46)))))*(IF(I90="Ya",$U$51,$U$52))</f>
        <v/>
      </c>
      <c r="M90" s="97">
        <f>($Q$6/$Q$3)*(IF(B90="L",$V$15,$V$16))*(IF(C90="1-34 Bulan",$V$21,$V$22))*(IF(F90="Risiko Lebih",$V$27,IF(F90="Normal",$V$28,IF(F90="Kurang",$V$29,$V$30))))*(IF(G90="Normal",$V$35,IF(G90="Pendek",$V$36,$V$37)))*(IF(H90="Gizi Buruk",$V$42,IF(H90="Gizi Lebih",$V$43,IF(H90="Risiko Gizi Lebih",$V$44,IF(H90="Gizi Baik",$V$45,$V$46)))))*(IF(I90="Ya",$V$51,$V$52))</f>
        <v/>
      </c>
      <c r="N90" s="97">
        <f>IF(K90=MAX(K90,L90,M90),"Stunting",IF(L90=MAX(K90,L90,M90),"Potensi Stunting","Tidak"))</f>
        <v/>
      </c>
    </row>
    <row r="91" ht="15.75" customHeight="1" s="95">
      <c r="A91" s="97" t="inlineStr">
        <is>
          <t>anonymus0835</t>
        </is>
      </c>
      <c r="B91" s="97" t="inlineStr">
        <is>
          <t>L</t>
        </is>
      </c>
      <c r="C91" s="97" t="inlineStr">
        <is>
          <t>1-34 Bulan</t>
        </is>
      </c>
      <c r="D91" s="97" t="n">
        <v>10.15</v>
      </c>
      <c r="E91" s="97" t="n">
        <v>74</v>
      </c>
      <c r="F91" s="97" t="inlineStr">
        <is>
          <t>Normal</t>
        </is>
      </c>
      <c r="G91" s="97" t="inlineStr">
        <is>
          <t>Pendek</t>
        </is>
      </c>
      <c r="H91" s="97" t="inlineStr">
        <is>
          <t>Risiko Gizi Lebih</t>
        </is>
      </c>
      <c r="I91" s="97" t="inlineStr">
        <is>
          <t>Ya</t>
        </is>
      </c>
      <c r="J91" s="126" t="inlineStr">
        <is>
          <t>Potensi Stunting</t>
        </is>
      </c>
      <c r="K91" s="97">
        <f>($Q$4/$Q$3)*(IF(B91="L",$T$15,$T$16))*(IF(C91="1-34 Bulan",$T$21,$T$22))*(IF(F91="Risiko Lebih",$T$27,IF(F91="Normal",$T$28,IF(F91="Kurang",$T$29,$T$30))))*(IF(G91="Normal",$T$35,IF(G91="Pendek",$T$36,$T$37)))*(IF(H91="Gizi Buruk",$T$42,IF(H91="Gizi Lebih",$T$43,IF(H91="Risiko Gizi Lebih",$T$44,IF(H91="Gizi Baik",$T$45,$T$46)))))*(IF(I91="Ya",$T$51,$T$52))</f>
        <v/>
      </c>
      <c r="L91" s="97">
        <f>($Q$5/$Q$3)*(IF(B91="L",$U$15,$U$16))*(IF(C91="1-34 Bulan",$U$21,$U$22))*(IF(F91="Risiko Lebih",$U$27,IF(F91="Normal",$U$28,IF(F91="Kurang",$U$29,$U$30))))*(IF(G91="Normal",$U$35,IF(G91="Pendek",$U$36,$U$37)))*(IF(H91="Gizi Buruk",$U$42,IF(H91="Gizi Lebih",$U$43,IF(H91="Risiko Gizi Lebih",$U$44,IF(H91="Gizi Baik",$U$45,$U$46)))))*(IF(I91="Ya",$U$51,$U$52))</f>
        <v/>
      </c>
      <c r="M91" s="97">
        <f>($Q$6/$Q$3)*(IF(B91="L",$V$15,$V$16))*(IF(C91="1-34 Bulan",$V$21,$V$22))*(IF(F91="Risiko Lebih",$V$27,IF(F91="Normal",$V$28,IF(F91="Kurang",$V$29,$V$30))))*(IF(G91="Normal",$V$35,IF(G91="Pendek",$V$36,$V$37)))*(IF(H91="Gizi Buruk",$V$42,IF(H91="Gizi Lebih",$V$43,IF(H91="Risiko Gizi Lebih",$V$44,IF(H91="Gizi Baik",$V$45,$V$46)))))*(IF(I91="Ya",$V$51,$V$52))</f>
        <v/>
      </c>
      <c r="N91" s="97">
        <f>IF(K91=MAX(K91,L91,M91),"Stunting",IF(L91=MAX(K91,L91,M91),"Potensi Stunting","Tidak"))</f>
        <v/>
      </c>
    </row>
    <row r="92" ht="15.75" customHeight="1" s="95">
      <c r="A92" s="97" t="inlineStr">
        <is>
          <t>anonymus0836</t>
        </is>
      </c>
      <c r="B92" s="97" t="inlineStr">
        <is>
          <t>P</t>
        </is>
      </c>
      <c r="C92" s="97" t="inlineStr">
        <is>
          <t>35-69 Bulan</t>
        </is>
      </c>
      <c r="D92" s="97" t="n">
        <v>14.2</v>
      </c>
      <c r="E92" s="97" t="n">
        <v>116</v>
      </c>
      <c r="F92" s="97" t="inlineStr">
        <is>
          <t>Normal</t>
        </is>
      </c>
      <c r="G92" s="97" t="inlineStr">
        <is>
          <t>Normal</t>
        </is>
      </c>
      <c r="H92" s="97" t="inlineStr">
        <is>
          <t>Gizi Baik</t>
        </is>
      </c>
      <c r="I92" s="97" t="inlineStr">
        <is>
          <t>Ya</t>
        </is>
      </c>
      <c r="J92" s="126" t="inlineStr">
        <is>
          <t>Tidak</t>
        </is>
      </c>
      <c r="K92" s="97">
        <f>($Q$4/$Q$3)*(IF(B92="L",$T$15,$T$16))*(IF(C92="1-34 Bulan",$T$21,$T$22))*(IF(F92="Risiko Lebih",$T$27,IF(F92="Normal",$T$28,IF(F92="Kurang",$T$29,$T$30))))*(IF(G92="Normal",$T$35,IF(G92="Pendek",$T$36,$T$37)))*(IF(H92="Gizi Buruk",$T$42,IF(H92="Gizi Lebih",$T$43,IF(H92="Risiko Gizi Lebih",$T$44,IF(H92="Gizi Baik",$T$45,$T$46)))))*(IF(I92="Ya",$T$51,$T$52))</f>
        <v/>
      </c>
      <c r="L92" s="97">
        <f>($Q$5/$Q$3)*(IF(B92="L",$U$15,$U$16))*(IF(C92="1-34 Bulan",$U$21,$U$22))*(IF(F92="Risiko Lebih",$U$27,IF(F92="Normal",$U$28,IF(F92="Kurang",$U$29,$U$30))))*(IF(G92="Normal",$U$35,IF(G92="Pendek",$U$36,$U$37)))*(IF(H92="Gizi Buruk",$U$42,IF(H92="Gizi Lebih",$U$43,IF(H92="Risiko Gizi Lebih",$U$44,IF(H92="Gizi Baik",$U$45,$U$46)))))*(IF(I92="Ya",$U$51,$U$52))</f>
        <v/>
      </c>
      <c r="M92" s="97">
        <f>($Q$6/$Q$3)*(IF(B92="L",$V$15,$V$16))*(IF(C92="1-34 Bulan",$V$21,$V$22))*(IF(F92="Risiko Lebih",$V$27,IF(F92="Normal",$V$28,IF(F92="Kurang",$V$29,$V$30))))*(IF(G92="Normal",$V$35,IF(G92="Pendek",$V$36,$V$37)))*(IF(H92="Gizi Buruk",$V$42,IF(H92="Gizi Lebih",$V$43,IF(H92="Risiko Gizi Lebih",$V$44,IF(H92="Gizi Baik",$V$45,$V$46)))))*(IF(I92="Ya",$V$51,$V$52))</f>
        <v/>
      </c>
      <c r="N92" s="97">
        <f>IF(K92=MAX(K92,L92,M92),"Stunting",IF(L92=MAX(K92,L92,M92),"Potensi Stunting","Tidak"))</f>
        <v/>
      </c>
    </row>
    <row r="93" ht="15.75" customHeight="1" s="95">
      <c r="A93" s="97" t="inlineStr">
        <is>
          <t>anonymus0837</t>
        </is>
      </c>
      <c r="B93" s="97" t="inlineStr">
        <is>
          <t>P</t>
        </is>
      </c>
      <c r="C93" s="97" t="inlineStr">
        <is>
          <t>1-34 Bulan</t>
        </is>
      </c>
      <c r="D93" s="97" t="n">
        <v>13</v>
      </c>
      <c r="E93" s="97" t="n">
        <v>80</v>
      </c>
      <c r="F93" s="97" t="inlineStr">
        <is>
          <t>Normal</t>
        </is>
      </c>
      <c r="G93" s="97" t="inlineStr">
        <is>
          <t>Normal</t>
        </is>
      </c>
      <c r="H93" s="97" t="inlineStr">
        <is>
          <t>Gizi Baik</t>
        </is>
      </c>
      <c r="I93" s="97" t="inlineStr">
        <is>
          <t>Ya</t>
        </is>
      </c>
      <c r="J93" s="126" t="inlineStr">
        <is>
          <t>Tidak</t>
        </is>
      </c>
      <c r="K93" s="97">
        <f>($Q$4/$Q$3)*(IF(B93="L",$T$15,$T$16))*(IF(C93="1-34 Bulan",$T$21,$T$22))*(IF(F93="Risiko Lebih",$T$27,IF(F93="Normal",$T$28,IF(F93="Kurang",$T$29,$T$30))))*(IF(G93="Normal",$T$35,IF(G93="Pendek",$T$36,$T$37)))*(IF(H93="Gizi Buruk",$T$42,IF(H93="Gizi Lebih",$T$43,IF(H93="Risiko Gizi Lebih",$T$44,IF(H93="Gizi Baik",$T$45,$T$46)))))*(IF(I93="Ya",$T$51,$T$52))</f>
        <v/>
      </c>
      <c r="L93" s="97">
        <f>($Q$5/$Q$3)*(IF(B93="L",$U$15,$U$16))*(IF(C93="1-34 Bulan",$U$21,$U$22))*(IF(F93="Risiko Lebih",$U$27,IF(F93="Normal",$U$28,IF(F93="Kurang",$U$29,$U$30))))*(IF(G93="Normal",$U$35,IF(G93="Pendek",$U$36,$U$37)))*(IF(H93="Gizi Buruk",$U$42,IF(H93="Gizi Lebih",$U$43,IF(H93="Risiko Gizi Lebih",$U$44,IF(H93="Gizi Baik",$U$45,$U$46)))))*(IF(I93="Ya",$U$51,$U$52))</f>
        <v/>
      </c>
      <c r="M93" s="97">
        <f>($Q$6/$Q$3)*(IF(B93="L",$V$15,$V$16))*(IF(C93="1-34 Bulan",$V$21,$V$22))*(IF(F93="Risiko Lebih",$V$27,IF(F93="Normal",$V$28,IF(F93="Kurang",$V$29,$V$30))))*(IF(G93="Normal",$V$35,IF(G93="Pendek",$V$36,$V$37)))*(IF(H93="Gizi Buruk",$V$42,IF(H93="Gizi Lebih",$V$43,IF(H93="Risiko Gizi Lebih",$V$44,IF(H93="Gizi Baik",$V$45,$V$46)))))*(IF(I93="Ya",$V$51,$V$52))</f>
        <v/>
      </c>
      <c r="N93" s="97">
        <f>IF(K93=MAX(K93,L93,M93),"Stunting",IF(L93=MAX(K93,L93,M93),"Potensi Stunting","Tidak"))</f>
        <v/>
      </c>
    </row>
    <row r="94" ht="15.75" customHeight="1" s="95">
      <c r="A94" s="97" t="inlineStr">
        <is>
          <t>anonymus0838</t>
        </is>
      </c>
      <c r="B94" s="97" t="inlineStr">
        <is>
          <t>P</t>
        </is>
      </c>
      <c r="C94" s="97" t="inlineStr">
        <is>
          <t>35-69 Bulan</t>
        </is>
      </c>
      <c r="D94" s="97" t="n">
        <v>15.7</v>
      </c>
      <c r="E94" s="97" t="n">
        <v>96</v>
      </c>
      <c r="F94" s="97" t="inlineStr">
        <is>
          <t>Normal</t>
        </is>
      </c>
      <c r="G94" s="97" t="inlineStr">
        <is>
          <t>Normal</t>
        </is>
      </c>
      <c r="H94" s="97" t="inlineStr">
        <is>
          <t>Gizi Baik</t>
        </is>
      </c>
      <c r="I94" s="97" t="inlineStr">
        <is>
          <t>Ya</t>
        </is>
      </c>
      <c r="J94" s="126" t="inlineStr">
        <is>
          <t>Tidak</t>
        </is>
      </c>
      <c r="K94" s="97">
        <f>($Q$4/$Q$3)*(IF(B94="L",$T$15,$T$16))*(IF(C94="1-34 Bulan",$T$21,$T$22))*(IF(F94="Risiko Lebih",$T$27,IF(F94="Normal",$T$28,IF(F94="Kurang",$T$29,$T$30))))*(IF(G94="Normal",$T$35,IF(G94="Pendek",$T$36,$T$37)))*(IF(H94="Gizi Buruk",$T$42,IF(H94="Gizi Lebih",$T$43,IF(H94="Risiko Gizi Lebih",$T$44,IF(H94="Gizi Baik",$T$45,$T$46)))))*(IF(I94="Ya",$T$51,$T$52))</f>
        <v/>
      </c>
      <c r="L94" s="97">
        <f>($Q$5/$Q$3)*(IF(B94="L",$U$15,$U$16))*(IF(C94="1-34 Bulan",$U$21,$U$22))*(IF(F94="Risiko Lebih",$U$27,IF(F94="Normal",$U$28,IF(F94="Kurang",$U$29,$U$30))))*(IF(G94="Normal",$U$35,IF(G94="Pendek",$U$36,$U$37)))*(IF(H94="Gizi Buruk",$U$42,IF(H94="Gizi Lebih",$U$43,IF(H94="Risiko Gizi Lebih",$U$44,IF(H94="Gizi Baik",$U$45,$U$46)))))*(IF(I94="Ya",$U$51,$U$52))</f>
        <v/>
      </c>
      <c r="M94" s="97">
        <f>($Q$6/$Q$3)*(IF(B94="L",$V$15,$V$16))*(IF(C94="1-34 Bulan",$V$21,$V$22))*(IF(F94="Risiko Lebih",$V$27,IF(F94="Normal",$V$28,IF(F94="Kurang",$V$29,$V$30))))*(IF(G94="Normal",$V$35,IF(G94="Pendek",$V$36,$V$37)))*(IF(H94="Gizi Buruk",$V$42,IF(H94="Gizi Lebih",$V$43,IF(H94="Risiko Gizi Lebih",$V$44,IF(H94="Gizi Baik",$V$45,$V$46)))))*(IF(I94="Ya",$V$51,$V$52))</f>
        <v/>
      </c>
      <c r="N94" s="97">
        <f>IF(K94=MAX(K94,L94,M94),"Stunting",IF(L94=MAX(K94,L94,M94),"Potensi Stunting","Tidak"))</f>
        <v/>
      </c>
    </row>
    <row r="95" ht="15.75" customHeight="1" s="95">
      <c r="A95" s="97" t="inlineStr">
        <is>
          <t>anonymus0839</t>
        </is>
      </c>
      <c r="B95" s="97" t="inlineStr">
        <is>
          <t>L</t>
        </is>
      </c>
      <c r="C95" s="97" t="inlineStr">
        <is>
          <t>1-34 Bulan</t>
        </is>
      </c>
      <c r="D95" s="97" t="n">
        <v>14</v>
      </c>
      <c r="E95" s="97" t="n">
        <v>91</v>
      </c>
      <c r="F95" s="97" t="inlineStr">
        <is>
          <t>Normal</t>
        </is>
      </c>
      <c r="G95" s="97" t="inlineStr">
        <is>
          <t>Normal</t>
        </is>
      </c>
      <c r="H95" s="97" t="inlineStr">
        <is>
          <t>Gizi Baik</t>
        </is>
      </c>
      <c r="I95" s="97" t="inlineStr">
        <is>
          <t>Ya</t>
        </is>
      </c>
      <c r="J95" s="126" t="inlineStr">
        <is>
          <t>Tidak</t>
        </is>
      </c>
      <c r="K95" s="97">
        <f>($Q$4/$Q$3)*(IF(B95="L",$T$15,$T$16))*(IF(C95="1-34 Bulan",$T$21,$T$22))*(IF(F95="Risiko Lebih",$T$27,IF(F95="Normal",$T$28,IF(F95="Kurang",$T$29,$T$30))))*(IF(G95="Normal",$T$35,IF(G95="Pendek",$T$36,$T$37)))*(IF(H95="Gizi Buruk",$T$42,IF(H95="Gizi Lebih",$T$43,IF(H95="Risiko Gizi Lebih",$T$44,IF(H95="Gizi Baik",$T$45,$T$46)))))*(IF(I95="Ya",$T$51,$T$52))</f>
        <v/>
      </c>
      <c r="L95" s="97">
        <f>($Q$5/$Q$3)*(IF(B95="L",$U$15,$U$16))*(IF(C95="1-34 Bulan",$U$21,$U$22))*(IF(F95="Risiko Lebih",$U$27,IF(F95="Normal",$U$28,IF(F95="Kurang",$U$29,$U$30))))*(IF(G95="Normal",$U$35,IF(G95="Pendek",$U$36,$U$37)))*(IF(H95="Gizi Buruk",$U$42,IF(H95="Gizi Lebih",$U$43,IF(H95="Risiko Gizi Lebih",$U$44,IF(H95="Gizi Baik",$U$45,$U$46)))))*(IF(I95="Ya",$U$51,$U$52))</f>
        <v/>
      </c>
      <c r="M95" s="97">
        <f>($Q$6/$Q$3)*(IF(B95="L",$V$15,$V$16))*(IF(C95="1-34 Bulan",$V$21,$V$22))*(IF(F95="Risiko Lebih",$V$27,IF(F95="Normal",$V$28,IF(F95="Kurang",$V$29,$V$30))))*(IF(G95="Normal",$V$35,IF(G95="Pendek",$V$36,$V$37)))*(IF(H95="Gizi Buruk",$V$42,IF(H95="Gizi Lebih",$V$43,IF(H95="Risiko Gizi Lebih",$V$44,IF(H95="Gizi Baik",$V$45,$V$46)))))*(IF(I95="Ya",$V$51,$V$52))</f>
        <v/>
      </c>
      <c r="N95" s="97">
        <f>IF(K95=MAX(K95,L95,M95),"Stunting",IF(L95=MAX(K95,L95,M95),"Potensi Stunting","Tidak"))</f>
        <v/>
      </c>
    </row>
    <row r="96" ht="15.75" customHeight="1" s="95">
      <c r="A96" s="97" t="inlineStr">
        <is>
          <t>anonymus0840</t>
        </is>
      </c>
      <c r="B96" s="97" t="inlineStr">
        <is>
          <t>P</t>
        </is>
      </c>
      <c r="C96" s="97" t="inlineStr">
        <is>
          <t>35-69 Bulan</t>
        </is>
      </c>
      <c r="D96" s="97" t="n">
        <v>9.4</v>
      </c>
      <c r="E96" s="97" t="n">
        <v>78</v>
      </c>
      <c r="F96" s="97" t="inlineStr">
        <is>
          <t>Normal</t>
        </is>
      </c>
      <c r="G96" s="97" t="inlineStr">
        <is>
          <t>Pendek</t>
        </is>
      </c>
      <c r="H96" s="97" t="inlineStr">
        <is>
          <t>Gizi Baik</t>
        </is>
      </c>
      <c r="I96" s="97" t="inlineStr">
        <is>
          <t>Ya</t>
        </is>
      </c>
      <c r="J96" s="126" t="inlineStr">
        <is>
          <t>Tidak</t>
        </is>
      </c>
      <c r="K96" s="97">
        <f>($Q$4/$Q$3)*(IF(B96="L",$T$15,$T$16))*(IF(C96="1-34 Bulan",$T$21,$T$22))*(IF(F96="Risiko Lebih",$T$27,IF(F96="Normal",$T$28,IF(F96="Kurang",$T$29,$T$30))))*(IF(G96="Normal",$T$35,IF(G96="Pendek",$T$36,$T$37)))*(IF(H96="Gizi Buruk",$T$42,IF(H96="Gizi Lebih",$T$43,IF(H96="Risiko Gizi Lebih",$T$44,IF(H96="Gizi Baik",$T$45,$T$46)))))*(IF(I96="Ya",$T$51,$T$52))</f>
        <v/>
      </c>
      <c r="L96" s="97">
        <f>($Q$5/$Q$3)*(IF(B96="L",$U$15,$U$16))*(IF(C96="1-34 Bulan",$U$21,$U$22))*(IF(F96="Risiko Lebih",$U$27,IF(F96="Normal",$U$28,IF(F96="Kurang",$U$29,$U$30))))*(IF(G96="Normal",$U$35,IF(G96="Pendek",$U$36,$U$37)))*(IF(H96="Gizi Buruk",$U$42,IF(H96="Gizi Lebih",$U$43,IF(H96="Risiko Gizi Lebih",$U$44,IF(H96="Gizi Baik",$U$45,$U$46)))))*(IF(I96="Ya",$U$51,$U$52))</f>
        <v/>
      </c>
      <c r="M96" s="97">
        <f>($Q$6/$Q$3)*(IF(B96="L",$V$15,$V$16))*(IF(C96="1-34 Bulan",$V$21,$V$22))*(IF(F96="Risiko Lebih",$V$27,IF(F96="Normal",$V$28,IF(F96="Kurang",$V$29,$V$30))))*(IF(G96="Normal",$V$35,IF(G96="Pendek",$V$36,$V$37)))*(IF(H96="Gizi Buruk",$V$42,IF(H96="Gizi Lebih",$V$43,IF(H96="Risiko Gizi Lebih",$V$44,IF(H96="Gizi Baik",$V$45,$V$46)))))*(IF(I96="Ya",$V$51,$V$52))</f>
        <v/>
      </c>
      <c r="N96" s="97">
        <f>IF(K96=MAX(K96,L96,M96),"Stunting",IF(L96=MAX(K96,L96,M96),"Potensi Stunting","Tidak"))</f>
        <v/>
      </c>
    </row>
    <row r="97" ht="15.75" customHeight="1" s="95">
      <c r="A97" s="97" t="inlineStr">
        <is>
          <t>anonymus0841</t>
        </is>
      </c>
      <c r="B97" s="97" t="inlineStr">
        <is>
          <t>P</t>
        </is>
      </c>
      <c r="C97" s="97" t="inlineStr">
        <is>
          <t>35-69 Bulan</t>
        </is>
      </c>
      <c r="D97" s="97" t="n">
        <v>19.8</v>
      </c>
      <c r="E97" s="97" t="n">
        <v>119</v>
      </c>
      <c r="F97" s="97" t="inlineStr">
        <is>
          <t>Risiko Lebih</t>
        </is>
      </c>
      <c r="G97" s="97" t="inlineStr">
        <is>
          <t>Normal</t>
        </is>
      </c>
      <c r="H97" s="97" t="inlineStr">
        <is>
          <t>Gizi Lebih</t>
        </is>
      </c>
      <c r="I97" s="97" t="inlineStr">
        <is>
          <t>Ya</t>
        </is>
      </c>
      <c r="J97" s="126" t="inlineStr">
        <is>
          <t>Tidak</t>
        </is>
      </c>
      <c r="K97" s="97">
        <f>($Q$4/$Q$3)*(IF(B97="L",$T$15,$T$16))*(IF(C97="1-34 Bulan",$T$21,$T$22))*(IF(F97="Risiko Lebih",$T$27,IF(F97="Normal",$T$28,IF(F97="Kurang",$T$29,$T$30))))*(IF(G97="Normal",$T$35,IF(G97="Pendek",$T$36,$T$37)))*(IF(H97="Gizi Buruk",$T$42,IF(H97="Gizi Lebih",$T$43,IF(H97="Risiko Gizi Lebih",$T$44,IF(H97="Gizi Baik",$T$45,$T$46)))))*(IF(I97="Ya",$T$51,$T$52))</f>
        <v/>
      </c>
      <c r="L97" s="97">
        <f>($Q$5/$Q$3)*(IF(B97="L",$U$15,$U$16))*(IF(C97="1-34 Bulan",$U$21,$U$22))*(IF(F97="Risiko Lebih",$U$27,IF(F97="Normal",$U$28,IF(F97="Kurang",$U$29,$U$30))))*(IF(G97="Normal",$U$35,IF(G97="Pendek",$U$36,$U$37)))*(IF(H97="Gizi Buruk",$U$42,IF(H97="Gizi Lebih",$U$43,IF(H97="Risiko Gizi Lebih",$U$44,IF(H97="Gizi Baik",$U$45,$U$46)))))*(IF(I97="Ya",$U$51,$U$52))</f>
        <v/>
      </c>
      <c r="M97" s="97">
        <f>($Q$6/$Q$3)*(IF(B97="L",$V$15,$V$16))*(IF(C97="1-34 Bulan",$V$21,$V$22))*(IF(F97="Risiko Lebih",$V$27,IF(F97="Normal",$V$28,IF(F97="Kurang",$V$29,$V$30))))*(IF(G97="Normal",$V$35,IF(G97="Pendek",$V$36,$V$37)))*(IF(H97="Gizi Buruk",$V$42,IF(H97="Gizi Lebih",$V$43,IF(H97="Risiko Gizi Lebih",$V$44,IF(H97="Gizi Baik",$V$45,$V$46)))))*(IF(I97="Ya",$V$51,$V$52))</f>
        <v/>
      </c>
      <c r="N97" s="97">
        <f>IF(K97=MAX(K97,L97,M97),"Stunting",IF(L97=MAX(K97,L97,M97),"Potensi Stunting","Tidak"))</f>
        <v/>
      </c>
    </row>
    <row r="98" ht="15.75" customHeight="1" s="95">
      <c r="A98" s="97" t="inlineStr">
        <is>
          <t>anonymus0842</t>
        </is>
      </c>
      <c r="B98" s="97" t="inlineStr">
        <is>
          <t>L</t>
        </is>
      </c>
      <c r="C98" s="97" t="inlineStr">
        <is>
          <t>35-69 Bulan</t>
        </is>
      </c>
      <c r="D98" s="97" t="n">
        <v>17.7</v>
      </c>
      <c r="E98" s="97" t="n">
        <v>98</v>
      </c>
      <c r="F98" s="97" t="inlineStr">
        <is>
          <t>Risiko Lebih</t>
        </is>
      </c>
      <c r="G98" s="97" t="inlineStr">
        <is>
          <t>Normal</t>
        </is>
      </c>
      <c r="H98" s="97" t="inlineStr">
        <is>
          <t>Gizi Lebih</t>
        </is>
      </c>
      <c r="I98" s="97" t="inlineStr">
        <is>
          <t>Tidak</t>
        </is>
      </c>
      <c r="J98" s="126" t="inlineStr">
        <is>
          <t>Potensi Stunting</t>
        </is>
      </c>
      <c r="K98" s="97">
        <f>($Q$4/$Q$3)*(IF(B98="L",$T$15,$T$16))*(IF(C98="1-34 Bulan",$T$21,$T$22))*(IF(F98="Risiko Lebih",$T$27,IF(F98="Normal",$T$28,IF(F98="Kurang",$T$29,$T$30))))*(IF(G98="Normal",$T$35,IF(G98="Pendek",$T$36,$T$37)))*(IF(H98="Gizi Buruk",$T$42,IF(H98="Gizi Lebih",$T$43,IF(H98="Risiko Gizi Lebih",$T$44,IF(H98="Gizi Baik",$T$45,$T$46)))))*(IF(I98="Ya",$T$51,$T$52))</f>
        <v/>
      </c>
      <c r="L98" s="97">
        <f>($Q$5/$Q$3)*(IF(B98="L",$U$15,$U$16))*(IF(C98="1-34 Bulan",$U$21,$U$22))*(IF(F98="Risiko Lebih",$U$27,IF(F98="Normal",$U$28,IF(F98="Kurang",$U$29,$U$30))))*(IF(G98="Normal",$U$35,IF(G98="Pendek",$U$36,$U$37)))*(IF(H98="Gizi Buruk",$U$42,IF(H98="Gizi Lebih",$U$43,IF(H98="Risiko Gizi Lebih",$U$44,IF(H98="Gizi Baik",$U$45,$U$46)))))*(IF(I98="Ya",$U$51,$U$52))</f>
        <v/>
      </c>
      <c r="M98" s="97">
        <f>($Q$6/$Q$3)*(IF(B98="L",$V$15,$V$16))*(IF(C98="1-34 Bulan",$V$21,$V$22))*(IF(F98="Risiko Lebih",$V$27,IF(F98="Normal",$V$28,IF(F98="Kurang",$V$29,$V$30))))*(IF(G98="Normal",$V$35,IF(G98="Pendek",$V$36,$V$37)))*(IF(H98="Gizi Buruk",$V$42,IF(H98="Gizi Lebih",$V$43,IF(H98="Risiko Gizi Lebih",$V$44,IF(H98="Gizi Baik",$V$45,$V$46)))))*(IF(I98="Ya",$V$51,$V$52))</f>
        <v/>
      </c>
      <c r="N98" s="97">
        <f>IF(K98=MAX(K98,L98,M98),"Stunting",IF(L98=MAX(K98,L98,M98),"Potensi Stunting","Tidak"))</f>
        <v/>
      </c>
    </row>
    <row r="99" ht="15.75" customHeight="1" s="95">
      <c r="A99" s="97" t="inlineStr">
        <is>
          <t>anonymus0843</t>
        </is>
      </c>
      <c r="B99" s="97" t="inlineStr">
        <is>
          <t>P</t>
        </is>
      </c>
      <c r="C99" s="97" t="inlineStr">
        <is>
          <t>35-69 Bulan</t>
        </is>
      </c>
      <c r="D99" s="97" t="n">
        <v>18.7</v>
      </c>
      <c r="E99" s="97" t="n">
        <v>112</v>
      </c>
      <c r="F99" s="97" t="inlineStr">
        <is>
          <t>Risiko Lebih</t>
        </is>
      </c>
      <c r="G99" s="97" t="inlineStr">
        <is>
          <t>Normal</t>
        </is>
      </c>
      <c r="H99" s="97" t="inlineStr">
        <is>
          <t>Gizi Lebih</t>
        </is>
      </c>
      <c r="I99" s="97" t="inlineStr">
        <is>
          <t>Ya</t>
        </is>
      </c>
      <c r="J99" s="126" t="inlineStr">
        <is>
          <t>Tidak</t>
        </is>
      </c>
      <c r="K99" s="97">
        <f>($Q$4/$Q$3)*(IF(B99="L",$T$15,$T$16))*(IF(C99="1-34 Bulan",$T$21,$T$22))*(IF(F99="Risiko Lebih",$T$27,IF(F99="Normal",$T$28,IF(F99="Kurang",$T$29,$T$30))))*(IF(G99="Normal",$T$35,IF(G99="Pendek",$T$36,$T$37)))*(IF(H99="Gizi Buruk",$T$42,IF(H99="Gizi Lebih",$T$43,IF(H99="Risiko Gizi Lebih",$T$44,IF(H99="Gizi Baik",$T$45,$T$46)))))*(IF(I99="Ya",$T$51,$T$52))</f>
        <v/>
      </c>
      <c r="L99" s="97">
        <f>($Q$5/$Q$3)*(IF(B99="L",$U$15,$U$16))*(IF(C99="1-34 Bulan",$U$21,$U$22))*(IF(F99="Risiko Lebih",$U$27,IF(F99="Normal",$U$28,IF(F99="Kurang",$U$29,$U$30))))*(IF(G99="Normal",$U$35,IF(G99="Pendek",$U$36,$U$37)))*(IF(H99="Gizi Buruk",$U$42,IF(H99="Gizi Lebih",$U$43,IF(H99="Risiko Gizi Lebih",$U$44,IF(H99="Gizi Baik",$U$45,$U$46)))))*(IF(I99="Ya",$U$51,$U$52))</f>
        <v/>
      </c>
      <c r="M99" s="97">
        <f>($Q$6/$Q$3)*(IF(B99="L",$V$15,$V$16))*(IF(C99="1-34 Bulan",$V$21,$V$22))*(IF(F99="Risiko Lebih",$V$27,IF(F99="Normal",$V$28,IF(F99="Kurang",$V$29,$V$30))))*(IF(G99="Normal",$V$35,IF(G99="Pendek",$V$36,$V$37)))*(IF(H99="Gizi Buruk",$V$42,IF(H99="Gizi Lebih",$V$43,IF(H99="Risiko Gizi Lebih",$V$44,IF(H99="Gizi Baik",$V$45,$V$46)))))*(IF(I99="Ya",$V$51,$V$52))</f>
        <v/>
      </c>
      <c r="N99" s="97">
        <f>IF(K99=MAX(K99,L99,M99),"Stunting",IF(L99=MAX(K99,L99,M99),"Potensi Stunting","Tidak"))</f>
        <v/>
      </c>
    </row>
    <row r="100" ht="15.75" customHeight="1" s="95">
      <c r="A100" s="97" t="inlineStr">
        <is>
          <t>anonymus0844</t>
        </is>
      </c>
      <c r="B100" s="97" t="inlineStr">
        <is>
          <t>P</t>
        </is>
      </c>
      <c r="C100" s="97" t="inlineStr">
        <is>
          <t>35-69 Bulan</t>
        </is>
      </c>
      <c r="D100" s="97" t="inlineStr">
        <is>
          <t>9.4</t>
        </is>
      </c>
      <c r="E100" s="97" t="n">
        <v>83</v>
      </c>
      <c r="F100" s="97" t="inlineStr">
        <is>
          <t>Sangat Kurang</t>
        </is>
      </c>
      <c r="G100" s="97" t="inlineStr">
        <is>
          <t>Sangat Pendek</t>
        </is>
      </c>
      <c r="H100" s="97" t="inlineStr">
        <is>
          <t>Gizi Baik</t>
        </is>
      </c>
      <c r="I100" s="97" t="inlineStr">
        <is>
          <t>Ya</t>
        </is>
      </c>
      <c r="J100" s="126" t="inlineStr">
        <is>
          <t>Stunting</t>
        </is>
      </c>
      <c r="K100" s="97">
        <f>($Q$4/$Q$3)*(IF(B100="L",$T$15,$T$16))*(IF(C100="1-34 Bulan",$T$21,$T$22))*(IF(F100="Risiko Lebih",$T$27,IF(F100="Normal",$T$28,IF(F100="Kurang",$T$29,$T$30))))*(IF(G100="Normal",$T$35,IF(G100="Pendek",$T$36,$T$37)))*(IF(H100="Gizi Buruk",$T$42,IF(H100="Gizi Lebih",$T$43,IF(H100="Risiko Gizi Lebih",$T$44,IF(H100="Gizi Baik",$T$45,$T$46)))))*(IF(I100="Ya",$T$51,$T$52))</f>
        <v/>
      </c>
      <c r="L100" s="97">
        <f>($Q$5/$Q$3)*(IF(B100="L",$U$15,$U$16))*(IF(C100="1-34 Bulan",$U$21,$U$22))*(IF(F100="Risiko Lebih",$U$27,IF(F100="Normal",$U$28,IF(F100="Kurang",$U$29,$U$30))))*(IF(G100="Normal",$U$35,IF(G100="Pendek",$U$36,$U$37)))*(IF(H100="Gizi Buruk",$U$42,IF(H100="Gizi Lebih",$U$43,IF(H100="Risiko Gizi Lebih",$U$44,IF(H100="Gizi Baik",$U$45,$U$46)))))*(IF(I100="Ya",$U$51,$U$52))</f>
        <v/>
      </c>
      <c r="M100" s="97">
        <f>($Q$6/$Q$3)*(IF(B100="L",$V$15,$V$16))*(IF(C100="1-34 Bulan",$V$21,$V$22))*(IF(F100="Risiko Lebih",$V$27,IF(F100="Normal",$V$28,IF(F100="Kurang",$V$29,$V$30))))*(IF(G100="Normal",$V$35,IF(G100="Pendek",$V$36,$V$37)))*(IF(H100="Gizi Buruk",$V$42,IF(H100="Gizi Lebih",$V$43,IF(H100="Risiko Gizi Lebih",$V$44,IF(H100="Gizi Baik",$V$45,$V$46)))))*(IF(I100="Ya",$V$51,$V$52))</f>
        <v/>
      </c>
      <c r="N100" s="97">
        <f>IF(K100=MAX(K100,L100,M100),"Stunting",IF(L100=MAX(K100,L100,M100),"Potensi Stunting","Tidak"))</f>
        <v/>
      </c>
    </row>
    <row r="101" ht="15.75" customHeight="1" s="95">
      <c r="A101" s="97" t="inlineStr">
        <is>
          <t>anonymus0845</t>
        </is>
      </c>
      <c r="B101" s="97" t="inlineStr">
        <is>
          <t>L</t>
        </is>
      </c>
      <c r="C101" s="97" t="inlineStr">
        <is>
          <t>35-69 Bulan</t>
        </is>
      </c>
      <c r="D101" s="97" t="n">
        <v>9.5</v>
      </c>
      <c r="E101" s="97" t="n">
        <v>83</v>
      </c>
      <c r="F101" s="97" t="inlineStr">
        <is>
          <t>Sangat Kurang</t>
        </is>
      </c>
      <c r="G101" s="97" t="inlineStr">
        <is>
          <t>Sangat Pendek</t>
        </is>
      </c>
      <c r="H101" s="97" t="inlineStr">
        <is>
          <t>Gizi Baik</t>
        </is>
      </c>
      <c r="I101" s="97" t="inlineStr">
        <is>
          <t>Ya</t>
        </is>
      </c>
      <c r="J101" s="126" t="inlineStr">
        <is>
          <t>Stunting</t>
        </is>
      </c>
      <c r="K101" s="97">
        <f>($Q$4/$Q$3)*(IF(B101="L",$T$15,$T$16))*(IF(C101="1-34 Bulan",$T$21,$T$22))*(IF(F101="Risiko Lebih",$T$27,IF(F101="Normal",$T$28,IF(F101="Kurang",$T$29,$T$30))))*(IF(G101="Normal",$T$35,IF(G101="Pendek",$T$36,$T$37)))*(IF(H101="Gizi Buruk",$T$42,IF(H101="Gizi Lebih",$T$43,IF(H101="Risiko Gizi Lebih",$T$44,IF(H101="Gizi Baik",$T$45,$T$46)))))*(IF(I101="Ya",$T$51,$T$52))</f>
        <v/>
      </c>
      <c r="L101" s="97">
        <f>($Q$5/$Q$3)*(IF(B101="L",$U$15,$U$16))*(IF(C101="1-34 Bulan",$U$21,$U$22))*(IF(F101="Risiko Lebih",$U$27,IF(F101="Normal",$U$28,IF(F101="Kurang",$U$29,$U$30))))*(IF(G101="Normal",$U$35,IF(G101="Pendek",$U$36,$U$37)))*(IF(H101="Gizi Buruk",$U$42,IF(H101="Gizi Lebih",$U$43,IF(H101="Risiko Gizi Lebih",$U$44,IF(H101="Gizi Baik",$U$45,$U$46)))))*(IF(I101="Ya",$U$51,$U$52))</f>
        <v/>
      </c>
      <c r="M101" s="97">
        <f>($Q$6/$Q$3)*(IF(B101="L",$V$15,$V$16))*(IF(C101="1-34 Bulan",$V$21,$V$22))*(IF(F101="Risiko Lebih",$V$27,IF(F101="Normal",$V$28,IF(F101="Kurang",$V$29,$V$30))))*(IF(G101="Normal",$V$35,IF(G101="Pendek",$V$36,$V$37)))*(IF(H101="Gizi Buruk",$V$42,IF(H101="Gizi Lebih",$V$43,IF(H101="Risiko Gizi Lebih",$V$44,IF(H101="Gizi Baik",$V$45,$V$46)))))*(IF(I101="Ya",$V$51,$V$52))</f>
        <v/>
      </c>
      <c r="N101" s="97">
        <f>IF(K101=MAX(K101,L101,M101),"Stunting",IF(L101=MAX(K101,L101,M101),"Potensi Stunting","Tidak"))</f>
        <v/>
      </c>
    </row>
    <row r="102" ht="15.75" customHeight="1" s="95">
      <c r="A102" s="97" t="inlineStr">
        <is>
          <t>anonymus0846</t>
        </is>
      </c>
      <c r="B102" s="97" t="inlineStr">
        <is>
          <t>L</t>
        </is>
      </c>
      <c r="C102" s="97" t="inlineStr">
        <is>
          <t>35-69 Bulan</t>
        </is>
      </c>
      <c r="D102" s="97" t="n">
        <v>15.8</v>
      </c>
      <c r="E102" s="97" t="n">
        <v>111</v>
      </c>
      <c r="F102" s="97" t="inlineStr">
        <is>
          <t>Normal</t>
        </is>
      </c>
      <c r="G102" s="97" t="inlineStr">
        <is>
          <t>Normal</t>
        </is>
      </c>
      <c r="H102" s="97" t="inlineStr">
        <is>
          <t>Gizi Kurang</t>
        </is>
      </c>
      <c r="I102" s="97" t="inlineStr">
        <is>
          <t>Ya</t>
        </is>
      </c>
      <c r="J102" s="126" t="inlineStr">
        <is>
          <t>Tidak</t>
        </is>
      </c>
      <c r="K102" s="97">
        <f>($Q$4/$Q$3)*(IF(B102="L",$T$15,$T$16))*(IF(C102="1-34 Bulan",$T$21,$T$22))*(IF(F102="Risiko Lebih",$T$27,IF(F102="Normal",$T$28,IF(F102="Kurang",$T$29,$T$30))))*(IF(G102="Normal",$T$35,IF(G102="Pendek",$T$36,$T$37)))*(IF(H102="Gizi Buruk",$T$42,IF(H102="Gizi Lebih",$T$43,IF(H102="Risiko Gizi Lebih",$T$44,IF(H102="Gizi Baik",$T$45,$T$46)))))*(IF(I102="Ya",$T$51,$T$52))</f>
        <v/>
      </c>
      <c r="L102" s="97">
        <f>($Q$5/$Q$3)*(IF(B102="L",$U$15,$U$16))*(IF(C102="1-34 Bulan",$U$21,$U$22))*(IF(F102="Risiko Lebih",$U$27,IF(F102="Normal",$U$28,IF(F102="Kurang",$U$29,$U$30))))*(IF(G102="Normal",$U$35,IF(G102="Pendek",$U$36,$U$37)))*(IF(H102="Gizi Buruk",$U$42,IF(H102="Gizi Lebih",$U$43,IF(H102="Risiko Gizi Lebih",$U$44,IF(H102="Gizi Baik",$U$45,$U$46)))))*(IF(I102="Ya",$U$51,$U$52))</f>
        <v/>
      </c>
      <c r="M102" s="97">
        <f>($Q$6/$Q$3)*(IF(B102="L",$V$15,$V$16))*(IF(C102="1-34 Bulan",$V$21,$V$22))*(IF(F102="Risiko Lebih",$V$27,IF(F102="Normal",$V$28,IF(F102="Kurang",$V$29,$V$30))))*(IF(G102="Normal",$V$35,IF(G102="Pendek",$V$36,$V$37)))*(IF(H102="Gizi Buruk",$V$42,IF(H102="Gizi Lebih",$V$43,IF(H102="Risiko Gizi Lebih",$V$44,IF(H102="Gizi Baik",$V$45,$V$46)))))*(IF(I102="Ya",$V$51,$V$52))</f>
        <v/>
      </c>
      <c r="N102" s="97">
        <f>IF(K102=MAX(K102,L102,M102),"Stunting",IF(L102=MAX(K102,L102,M102),"Potensi Stunting","Tidak"))</f>
        <v/>
      </c>
    </row>
    <row r="103" ht="15.75" customHeight="1" s="95">
      <c r="A103" s="97" t="inlineStr">
        <is>
          <t>anonymus0847</t>
        </is>
      </c>
      <c r="B103" s="97" t="inlineStr">
        <is>
          <t>P</t>
        </is>
      </c>
      <c r="C103" s="97" t="inlineStr">
        <is>
          <t>1-34 Bulan</t>
        </is>
      </c>
      <c r="D103" s="97" t="inlineStr">
        <is>
          <t>9.2</t>
        </is>
      </c>
      <c r="E103" s="97" t="n">
        <v>71</v>
      </c>
      <c r="F103" s="97" t="inlineStr">
        <is>
          <t>Normal</t>
        </is>
      </c>
      <c r="G103" s="97" t="inlineStr">
        <is>
          <t>Normal</t>
        </is>
      </c>
      <c r="H103" s="97" t="inlineStr">
        <is>
          <t>Risiko Gizi Lebih</t>
        </is>
      </c>
      <c r="I103" s="97" t="inlineStr">
        <is>
          <t>Ya</t>
        </is>
      </c>
      <c r="J103" s="126" t="inlineStr">
        <is>
          <t>Tidak</t>
        </is>
      </c>
      <c r="K103" s="97">
        <f>($Q$4/$Q$3)*(IF(B103="L",$T$15,$T$16))*(IF(C103="1-34 Bulan",$T$21,$T$22))*(IF(F103="Risiko Lebih",$T$27,IF(F103="Normal",$T$28,IF(F103="Kurang",$T$29,$T$30))))*(IF(G103="Normal",$T$35,IF(G103="Pendek",$T$36,$T$37)))*(IF(H103="Gizi Buruk",$T$42,IF(H103="Gizi Lebih",$T$43,IF(H103="Risiko Gizi Lebih",$T$44,IF(H103="Gizi Baik",$T$45,$T$46)))))*(IF(I103="Ya",$T$51,$T$52))</f>
        <v/>
      </c>
      <c r="L103" s="97">
        <f>($Q$5/$Q$3)*(IF(B103="L",$U$15,$U$16))*(IF(C103="1-34 Bulan",$U$21,$U$22))*(IF(F103="Risiko Lebih",$U$27,IF(F103="Normal",$U$28,IF(F103="Kurang",$U$29,$U$30))))*(IF(G103="Normal",$U$35,IF(G103="Pendek",$U$36,$U$37)))*(IF(H103="Gizi Buruk",$U$42,IF(H103="Gizi Lebih",$U$43,IF(H103="Risiko Gizi Lebih",$U$44,IF(H103="Gizi Baik",$U$45,$U$46)))))*(IF(I103="Ya",$U$51,$U$52))</f>
        <v/>
      </c>
      <c r="M103" s="97">
        <f>($Q$6/$Q$3)*(IF(B103="L",$V$15,$V$16))*(IF(C103="1-34 Bulan",$V$21,$V$22))*(IF(F103="Risiko Lebih",$V$27,IF(F103="Normal",$V$28,IF(F103="Kurang",$V$29,$V$30))))*(IF(G103="Normal",$V$35,IF(G103="Pendek",$V$36,$V$37)))*(IF(H103="Gizi Buruk",$V$42,IF(H103="Gizi Lebih",$V$43,IF(H103="Risiko Gizi Lebih",$V$44,IF(H103="Gizi Baik",$V$45,$V$46)))))*(IF(I103="Ya",$V$51,$V$52))</f>
        <v/>
      </c>
      <c r="N103" s="97">
        <f>IF(K103=MAX(K103,L103,M103),"Stunting",IF(L103=MAX(K103,L103,M103),"Potensi Stunting","Tidak"))</f>
        <v/>
      </c>
    </row>
    <row r="104" ht="15.75" customHeight="1" s="95">
      <c r="A104" s="97" t="inlineStr">
        <is>
          <t>anonymus0848</t>
        </is>
      </c>
      <c r="B104" s="97" t="inlineStr">
        <is>
          <t>P</t>
        </is>
      </c>
      <c r="C104" s="97" t="inlineStr">
        <is>
          <t>1-34 Bulan</t>
        </is>
      </c>
      <c r="D104" s="97" t="inlineStr">
        <is>
          <t>10.4</t>
        </is>
      </c>
      <c r="E104" s="97" t="n">
        <v>85</v>
      </c>
      <c r="F104" s="97" t="inlineStr">
        <is>
          <t>Normal</t>
        </is>
      </c>
      <c r="G104" s="97" t="inlineStr">
        <is>
          <t>Normal</t>
        </is>
      </c>
      <c r="H104" s="97" t="inlineStr">
        <is>
          <t>Gizi Baik</t>
        </is>
      </c>
      <c r="I104" s="97" t="inlineStr">
        <is>
          <t>Ya</t>
        </is>
      </c>
      <c r="J104" s="126" t="inlineStr">
        <is>
          <t>Tidak</t>
        </is>
      </c>
      <c r="K104" s="97">
        <f>($Q$4/$Q$3)*(IF(B104="L",$T$15,$T$16))*(IF(C104="1-34 Bulan",$T$21,$T$22))*(IF(F104="Risiko Lebih",$T$27,IF(F104="Normal",$T$28,IF(F104="Kurang",$T$29,$T$30))))*(IF(G104="Normal",$T$35,IF(G104="Pendek",$T$36,$T$37)))*(IF(H104="Gizi Buruk",$T$42,IF(H104="Gizi Lebih",$T$43,IF(H104="Risiko Gizi Lebih",$T$44,IF(H104="Gizi Baik",$T$45,$T$46)))))*(IF(I104="Ya",$T$51,$T$52))</f>
        <v/>
      </c>
      <c r="L104" s="97">
        <f>($Q$5/$Q$3)*(IF(B104="L",$U$15,$U$16))*(IF(C104="1-34 Bulan",$U$21,$U$22))*(IF(F104="Risiko Lebih",$U$27,IF(F104="Normal",$U$28,IF(F104="Kurang",$U$29,$U$30))))*(IF(G104="Normal",$U$35,IF(G104="Pendek",$U$36,$U$37)))*(IF(H104="Gizi Buruk",$U$42,IF(H104="Gizi Lebih",$U$43,IF(H104="Risiko Gizi Lebih",$U$44,IF(H104="Gizi Baik",$U$45,$U$46)))))*(IF(I104="Ya",$U$51,$U$52))</f>
        <v/>
      </c>
      <c r="M104" s="97">
        <f>($Q$6/$Q$3)*(IF(B104="L",$V$15,$V$16))*(IF(C104="1-34 Bulan",$V$21,$V$22))*(IF(F104="Risiko Lebih",$V$27,IF(F104="Normal",$V$28,IF(F104="Kurang",$V$29,$V$30))))*(IF(G104="Normal",$V$35,IF(G104="Pendek",$V$36,$V$37)))*(IF(H104="Gizi Buruk",$V$42,IF(H104="Gizi Lebih",$V$43,IF(H104="Risiko Gizi Lebih",$V$44,IF(H104="Gizi Baik",$V$45,$V$46)))))*(IF(I104="Ya",$V$51,$V$52))</f>
        <v/>
      </c>
      <c r="N104" s="97">
        <f>IF(K104=MAX(K104,L104,M104),"Stunting",IF(L104=MAX(K104,L104,M104),"Potensi Stunting","Tidak"))</f>
        <v/>
      </c>
    </row>
    <row r="105" ht="15.75" customHeight="1" s="95">
      <c r="A105" s="97" t="inlineStr">
        <is>
          <t>anonymus0849</t>
        </is>
      </c>
      <c r="B105" s="97" t="inlineStr">
        <is>
          <t>P</t>
        </is>
      </c>
      <c r="C105" s="97" t="inlineStr">
        <is>
          <t>35-69 Bulan</t>
        </is>
      </c>
      <c r="D105" s="97" t="inlineStr">
        <is>
          <t>13.2</t>
        </is>
      </c>
      <c r="E105" s="97" t="n">
        <v>96</v>
      </c>
      <c r="F105" s="97" t="inlineStr">
        <is>
          <t>Normal</t>
        </is>
      </c>
      <c r="G105" s="97" t="inlineStr">
        <is>
          <t>Normal</t>
        </is>
      </c>
      <c r="H105" s="97" t="inlineStr">
        <is>
          <t>Gizi Baik</t>
        </is>
      </c>
      <c r="I105" s="97" t="inlineStr">
        <is>
          <t>Ya</t>
        </is>
      </c>
      <c r="J105" s="126" t="inlineStr">
        <is>
          <t>Tidak</t>
        </is>
      </c>
      <c r="K105" s="97">
        <f>($Q$4/$Q$3)*(IF(B105="L",$T$15,$T$16))*(IF(C105="1-34 Bulan",$T$21,$T$22))*(IF(F105="Risiko Lebih",$T$27,IF(F105="Normal",$T$28,IF(F105="Kurang",$T$29,$T$30))))*(IF(G105="Normal",$T$35,IF(G105="Pendek",$T$36,$T$37)))*(IF(H105="Gizi Buruk",$T$42,IF(H105="Gizi Lebih",$T$43,IF(H105="Risiko Gizi Lebih",$T$44,IF(H105="Gizi Baik",$T$45,$T$46)))))*(IF(I105="Ya",$T$51,$T$52))</f>
        <v/>
      </c>
      <c r="L105" s="97">
        <f>($Q$5/$Q$3)*(IF(B105="L",$U$15,$U$16))*(IF(C105="1-34 Bulan",$U$21,$U$22))*(IF(F105="Risiko Lebih",$U$27,IF(F105="Normal",$U$28,IF(F105="Kurang",$U$29,$U$30))))*(IF(G105="Normal",$U$35,IF(G105="Pendek",$U$36,$U$37)))*(IF(H105="Gizi Buruk",$U$42,IF(H105="Gizi Lebih",$U$43,IF(H105="Risiko Gizi Lebih",$U$44,IF(H105="Gizi Baik",$U$45,$U$46)))))*(IF(I105="Ya",$U$51,$U$52))</f>
        <v/>
      </c>
      <c r="M105" s="97">
        <f>($Q$6/$Q$3)*(IF(B105="L",$V$15,$V$16))*(IF(C105="1-34 Bulan",$V$21,$V$22))*(IF(F105="Risiko Lebih",$V$27,IF(F105="Normal",$V$28,IF(F105="Kurang",$V$29,$V$30))))*(IF(G105="Normal",$V$35,IF(G105="Pendek",$V$36,$V$37)))*(IF(H105="Gizi Buruk",$V$42,IF(H105="Gizi Lebih",$V$43,IF(H105="Risiko Gizi Lebih",$V$44,IF(H105="Gizi Baik",$V$45,$V$46)))))*(IF(I105="Ya",$V$51,$V$52))</f>
        <v/>
      </c>
      <c r="N105" s="97">
        <f>IF(K105=MAX(K105,L105,M105),"Stunting",IF(L105=MAX(K105,L105,M105),"Potensi Stunting","Tidak"))</f>
        <v/>
      </c>
    </row>
    <row r="106" ht="15.75" customHeight="1" s="95">
      <c r="A106" s="97" t="inlineStr">
        <is>
          <t>anonymus0850</t>
        </is>
      </c>
      <c r="B106" s="97" t="inlineStr">
        <is>
          <t>P</t>
        </is>
      </c>
      <c r="C106" s="97" t="inlineStr">
        <is>
          <t>1-34 Bulan</t>
        </is>
      </c>
      <c r="D106" s="97" t="n">
        <v>7.13</v>
      </c>
      <c r="E106" s="97" t="n">
        <v>72</v>
      </c>
      <c r="F106" s="97" t="inlineStr">
        <is>
          <t>Normal</t>
        </is>
      </c>
      <c r="G106" s="97" t="inlineStr">
        <is>
          <t>Normal</t>
        </is>
      </c>
      <c r="H106" s="97" t="inlineStr">
        <is>
          <t>Gizi Kurang</t>
        </is>
      </c>
      <c r="I106" s="97" t="inlineStr">
        <is>
          <t>Ya</t>
        </is>
      </c>
      <c r="J106" s="126" t="inlineStr">
        <is>
          <t>Tidak</t>
        </is>
      </c>
      <c r="K106" s="97">
        <f>($Q$4/$Q$3)*(IF(B106="L",$T$15,$T$16))*(IF(C106="1-34 Bulan",$T$21,$T$22))*(IF(F106="Risiko Lebih",$T$27,IF(F106="Normal",$T$28,IF(F106="Kurang",$T$29,$T$30))))*(IF(G106="Normal",$T$35,IF(G106="Pendek",$T$36,$T$37)))*(IF(H106="Gizi Buruk",$T$42,IF(H106="Gizi Lebih",$T$43,IF(H106="Risiko Gizi Lebih",$T$44,IF(H106="Gizi Baik",$T$45,$T$46)))))*(IF(I106="Ya",$T$51,$T$52))</f>
        <v/>
      </c>
      <c r="L106" s="97">
        <f>($Q$5/$Q$3)*(IF(B106="L",$U$15,$U$16))*(IF(C106="1-34 Bulan",$U$21,$U$22))*(IF(F106="Risiko Lebih",$U$27,IF(F106="Normal",$U$28,IF(F106="Kurang",$U$29,$U$30))))*(IF(G106="Normal",$U$35,IF(G106="Pendek",$U$36,$U$37)))*(IF(H106="Gizi Buruk",$U$42,IF(H106="Gizi Lebih",$U$43,IF(H106="Risiko Gizi Lebih",$U$44,IF(H106="Gizi Baik",$U$45,$U$46)))))*(IF(I106="Ya",$U$51,$U$52))</f>
        <v/>
      </c>
      <c r="M106" s="97">
        <f>($Q$6/$Q$3)*(IF(B106="L",$V$15,$V$16))*(IF(C106="1-34 Bulan",$V$21,$V$22))*(IF(F106="Risiko Lebih",$V$27,IF(F106="Normal",$V$28,IF(F106="Kurang",$V$29,$V$30))))*(IF(G106="Normal",$V$35,IF(G106="Pendek",$V$36,$V$37)))*(IF(H106="Gizi Buruk",$V$42,IF(H106="Gizi Lebih",$V$43,IF(H106="Risiko Gizi Lebih",$V$44,IF(H106="Gizi Baik",$V$45,$V$46)))))*(IF(I106="Ya",$V$51,$V$52))</f>
        <v/>
      </c>
      <c r="N106" s="97">
        <f>IF(K106=MAX(K106,L106,M106),"Stunting",IF(L106=MAX(K106,L106,M106),"Potensi Stunting","Tidak"))</f>
        <v/>
      </c>
    </row>
    <row r="107" ht="15.75" customHeight="1" s="95">
      <c r="A107" s="97" t="inlineStr">
        <is>
          <t>anonymus0851</t>
        </is>
      </c>
      <c r="B107" s="97" t="inlineStr">
        <is>
          <t>L</t>
        </is>
      </c>
      <c r="C107" s="97" t="inlineStr">
        <is>
          <t>35-69 Bulan</t>
        </is>
      </c>
      <c r="D107" s="97" t="n">
        <v>13.6</v>
      </c>
      <c r="E107" s="97" t="n">
        <v>111</v>
      </c>
      <c r="F107" s="97" t="inlineStr">
        <is>
          <t>Normal</t>
        </is>
      </c>
      <c r="G107" s="97" t="inlineStr">
        <is>
          <t>Normal</t>
        </is>
      </c>
      <c r="H107" s="97" t="inlineStr">
        <is>
          <t>Gizi Baik</t>
        </is>
      </c>
      <c r="I107" s="97" t="inlineStr">
        <is>
          <t>Ya</t>
        </is>
      </c>
      <c r="J107" s="126" t="inlineStr">
        <is>
          <t>Tidak</t>
        </is>
      </c>
      <c r="K107" s="97">
        <f>($Q$4/$Q$3)*(IF(B107="L",$T$15,$T$16))*(IF(C107="1-34 Bulan",$T$21,$T$22))*(IF(F107="Risiko Lebih",$T$27,IF(F107="Normal",$T$28,IF(F107="Kurang",$T$29,$T$30))))*(IF(G107="Normal",$T$35,IF(G107="Pendek",$T$36,$T$37)))*(IF(H107="Gizi Buruk",$T$42,IF(H107="Gizi Lebih",$T$43,IF(H107="Risiko Gizi Lebih",$T$44,IF(H107="Gizi Baik",$T$45,$T$46)))))*(IF(I107="Ya",$T$51,$T$52))</f>
        <v/>
      </c>
      <c r="L107" s="97">
        <f>($Q$5/$Q$3)*(IF(B107="L",$U$15,$U$16))*(IF(C107="1-34 Bulan",$U$21,$U$22))*(IF(F107="Risiko Lebih",$U$27,IF(F107="Normal",$U$28,IF(F107="Kurang",$U$29,$U$30))))*(IF(G107="Normal",$U$35,IF(G107="Pendek",$U$36,$U$37)))*(IF(H107="Gizi Buruk",$U$42,IF(H107="Gizi Lebih",$U$43,IF(H107="Risiko Gizi Lebih",$U$44,IF(H107="Gizi Baik",$U$45,$U$46)))))*(IF(I107="Ya",$U$51,$U$52))</f>
        <v/>
      </c>
      <c r="M107" s="97">
        <f>($Q$6/$Q$3)*(IF(B107="L",$V$15,$V$16))*(IF(C107="1-34 Bulan",$V$21,$V$22))*(IF(F107="Risiko Lebih",$V$27,IF(F107="Normal",$V$28,IF(F107="Kurang",$V$29,$V$30))))*(IF(G107="Normal",$V$35,IF(G107="Pendek",$V$36,$V$37)))*(IF(H107="Gizi Buruk",$V$42,IF(H107="Gizi Lebih",$V$43,IF(H107="Risiko Gizi Lebih",$V$44,IF(H107="Gizi Baik",$V$45,$V$46)))))*(IF(I107="Ya",$V$51,$V$52))</f>
        <v/>
      </c>
      <c r="N107" s="97">
        <f>IF(K107=MAX(K107,L107,M107),"Stunting",IF(L107=MAX(K107,L107,M107),"Potensi Stunting","Tidak"))</f>
        <v/>
      </c>
    </row>
    <row r="108" ht="15.75" customHeight="1" s="95">
      <c r="A108" s="97" t="inlineStr">
        <is>
          <t>anonymus0852</t>
        </is>
      </c>
      <c r="B108" s="97" t="inlineStr">
        <is>
          <t>L</t>
        </is>
      </c>
      <c r="C108" s="97" t="inlineStr">
        <is>
          <t>35-69 Bulan</t>
        </is>
      </c>
      <c r="D108" s="97" t="n">
        <v>11</v>
      </c>
      <c r="E108" s="97" t="n">
        <v>93</v>
      </c>
      <c r="F108" s="97" t="inlineStr">
        <is>
          <t>Kurang</t>
        </is>
      </c>
      <c r="G108" s="97" t="inlineStr">
        <is>
          <t>Normal</t>
        </is>
      </c>
      <c r="H108" s="97" t="inlineStr">
        <is>
          <t>Gizi Kurang</t>
        </is>
      </c>
      <c r="I108" s="97" t="inlineStr">
        <is>
          <t>Ya</t>
        </is>
      </c>
      <c r="J108" s="126" t="inlineStr">
        <is>
          <t>Tidak</t>
        </is>
      </c>
      <c r="K108" s="97">
        <f>($Q$4/$Q$3)*(IF(B108="L",$T$15,$T$16))*(IF(C108="1-34 Bulan",$T$21,$T$22))*(IF(F108="Risiko Lebih",$T$27,IF(F108="Normal",$T$28,IF(F108="Kurang",$T$29,$T$30))))*(IF(G108="Normal",$T$35,IF(G108="Pendek",$T$36,$T$37)))*(IF(H108="Gizi Buruk",$T$42,IF(H108="Gizi Lebih",$T$43,IF(H108="Risiko Gizi Lebih",$T$44,IF(H108="Gizi Baik",$T$45,$T$46)))))*(IF(I108="Ya",$T$51,$T$52))</f>
        <v/>
      </c>
      <c r="L108" s="97">
        <f>($Q$5/$Q$3)*(IF(B108="L",$U$15,$U$16))*(IF(C108="1-34 Bulan",$U$21,$U$22))*(IF(F108="Risiko Lebih",$U$27,IF(F108="Normal",$U$28,IF(F108="Kurang",$U$29,$U$30))))*(IF(G108="Normal",$U$35,IF(G108="Pendek",$U$36,$U$37)))*(IF(H108="Gizi Buruk",$U$42,IF(H108="Gizi Lebih",$U$43,IF(H108="Risiko Gizi Lebih",$U$44,IF(H108="Gizi Baik",$U$45,$U$46)))))*(IF(I108="Ya",$U$51,$U$52))</f>
        <v/>
      </c>
      <c r="M108" s="97">
        <f>($Q$6/$Q$3)*(IF(B108="L",$V$15,$V$16))*(IF(C108="1-34 Bulan",$V$21,$V$22))*(IF(F108="Risiko Lebih",$V$27,IF(F108="Normal",$V$28,IF(F108="Kurang",$V$29,$V$30))))*(IF(G108="Normal",$V$35,IF(G108="Pendek",$V$36,$V$37)))*(IF(H108="Gizi Buruk",$V$42,IF(H108="Gizi Lebih",$V$43,IF(H108="Risiko Gizi Lebih",$V$44,IF(H108="Gizi Baik",$V$45,$V$46)))))*(IF(I108="Ya",$V$51,$V$52))</f>
        <v/>
      </c>
      <c r="N108" s="97">
        <f>IF(K108=MAX(K108,L108,M108),"Stunting",IF(L108=MAX(K108,L108,M108),"Potensi Stunting","Tidak"))</f>
        <v/>
      </c>
    </row>
    <row r="109" ht="15.75" customHeight="1" s="95">
      <c r="A109" s="97" t="inlineStr">
        <is>
          <t>anonymus0853</t>
        </is>
      </c>
      <c r="B109" s="97" t="inlineStr">
        <is>
          <t>P</t>
        </is>
      </c>
      <c r="C109" s="97" t="inlineStr">
        <is>
          <t>1-34 Bulan</t>
        </is>
      </c>
      <c r="D109" s="97" t="n">
        <v>7.8</v>
      </c>
      <c r="E109" s="97" t="n">
        <v>78</v>
      </c>
      <c r="F109" s="97" t="inlineStr">
        <is>
          <t>Kurang</t>
        </is>
      </c>
      <c r="G109" s="97" t="inlineStr">
        <is>
          <t>Normal</t>
        </is>
      </c>
      <c r="H109" s="97" t="inlineStr">
        <is>
          <t>Gizi Kurang</t>
        </is>
      </c>
      <c r="I109" s="97" t="inlineStr">
        <is>
          <t>Ya</t>
        </is>
      </c>
      <c r="J109" s="126" t="inlineStr">
        <is>
          <t>Tidak</t>
        </is>
      </c>
      <c r="K109" s="97">
        <f>($Q$4/$Q$3)*(IF(B109="L",$T$15,$T$16))*(IF(C109="1-34 Bulan",$T$21,$T$22))*(IF(F109="Risiko Lebih",$T$27,IF(F109="Normal",$T$28,IF(F109="Kurang",$T$29,$T$30))))*(IF(G109="Normal",$T$35,IF(G109="Pendek",$T$36,$T$37)))*(IF(H109="Gizi Buruk",$T$42,IF(H109="Gizi Lebih",$T$43,IF(H109="Risiko Gizi Lebih",$T$44,IF(H109="Gizi Baik",$T$45,$T$46)))))*(IF(I109="Ya",$T$51,$T$52))</f>
        <v/>
      </c>
      <c r="L109" s="97">
        <f>($Q$5/$Q$3)*(IF(B109="L",$U$15,$U$16))*(IF(C109="1-34 Bulan",$U$21,$U$22))*(IF(F109="Risiko Lebih",$U$27,IF(F109="Normal",$U$28,IF(F109="Kurang",$U$29,$U$30))))*(IF(G109="Normal",$U$35,IF(G109="Pendek",$U$36,$U$37)))*(IF(H109="Gizi Buruk",$U$42,IF(H109="Gizi Lebih",$U$43,IF(H109="Risiko Gizi Lebih",$U$44,IF(H109="Gizi Baik",$U$45,$U$46)))))*(IF(I109="Ya",$U$51,$U$52))</f>
        <v/>
      </c>
      <c r="M109" s="97">
        <f>($Q$6/$Q$3)*(IF(B109="L",$V$15,$V$16))*(IF(C109="1-34 Bulan",$V$21,$V$22))*(IF(F109="Risiko Lebih",$V$27,IF(F109="Normal",$V$28,IF(F109="Kurang",$V$29,$V$30))))*(IF(G109="Normal",$V$35,IF(G109="Pendek",$V$36,$V$37)))*(IF(H109="Gizi Buruk",$V$42,IF(H109="Gizi Lebih",$V$43,IF(H109="Risiko Gizi Lebih",$V$44,IF(H109="Gizi Baik",$V$45,$V$46)))))*(IF(I109="Ya",$V$51,$V$52))</f>
        <v/>
      </c>
      <c r="N109" s="97">
        <f>IF(K109=MAX(K109,L109,M109),"Stunting",IF(L109=MAX(K109,L109,M109),"Potensi Stunting","Tidak"))</f>
        <v/>
      </c>
    </row>
    <row r="110" ht="15.75" customHeight="1" s="95">
      <c r="A110" s="97" t="inlineStr">
        <is>
          <t>anonymus0854</t>
        </is>
      </c>
      <c r="B110" s="97" t="inlineStr">
        <is>
          <t>L</t>
        </is>
      </c>
      <c r="C110" s="97" t="inlineStr">
        <is>
          <t>35-69 Bulan</t>
        </is>
      </c>
      <c r="D110" s="97" t="inlineStr">
        <is>
          <t>17.4</t>
        </is>
      </c>
      <c r="E110" s="97" t="n">
        <v>105</v>
      </c>
      <c r="F110" s="97" t="inlineStr">
        <is>
          <t>Normal</t>
        </is>
      </c>
      <c r="G110" s="97" t="inlineStr">
        <is>
          <t>Normal</t>
        </is>
      </c>
      <c r="H110" s="97" t="inlineStr">
        <is>
          <t>Gizi Baik</t>
        </is>
      </c>
      <c r="I110" s="97" t="inlineStr">
        <is>
          <t>Ya</t>
        </is>
      </c>
      <c r="J110" s="126" t="inlineStr">
        <is>
          <t>Tidak</t>
        </is>
      </c>
      <c r="K110" s="97">
        <f>($Q$4/$Q$3)*(IF(B110="L",$T$15,$T$16))*(IF(C110="1-34 Bulan",$T$21,$T$22))*(IF(F110="Risiko Lebih",$T$27,IF(F110="Normal",$T$28,IF(F110="Kurang",$T$29,$T$30))))*(IF(G110="Normal",$T$35,IF(G110="Pendek",$T$36,$T$37)))*(IF(H110="Gizi Buruk",$T$42,IF(H110="Gizi Lebih",$T$43,IF(H110="Risiko Gizi Lebih",$T$44,IF(H110="Gizi Baik",$T$45,$T$46)))))*(IF(I110="Ya",$T$51,$T$52))</f>
        <v/>
      </c>
      <c r="L110" s="97">
        <f>($Q$5/$Q$3)*(IF(B110="L",$U$15,$U$16))*(IF(C110="1-34 Bulan",$U$21,$U$22))*(IF(F110="Risiko Lebih",$U$27,IF(F110="Normal",$U$28,IF(F110="Kurang",$U$29,$U$30))))*(IF(G110="Normal",$U$35,IF(G110="Pendek",$U$36,$U$37)))*(IF(H110="Gizi Buruk",$U$42,IF(H110="Gizi Lebih",$U$43,IF(H110="Risiko Gizi Lebih",$U$44,IF(H110="Gizi Baik",$U$45,$U$46)))))*(IF(I110="Ya",$U$51,$U$52))</f>
        <v/>
      </c>
      <c r="M110" s="97">
        <f>($Q$6/$Q$3)*(IF(B110="L",$V$15,$V$16))*(IF(C110="1-34 Bulan",$V$21,$V$22))*(IF(F110="Risiko Lebih",$V$27,IF(F110="Normal",$V$28,IF(F110="Kurang",$V$29,$V$30))))*(IF(G110="Normal",$V$35,IF(G110="Pendek",$V$36,$V$37)))*(IF(H110="Gizi Buruk",$V$42,IF(H110="Gizi Lebih",$V$43,IF(H110="Risiko Gizi Lebih",$V$44,IF(H110="Gizi Baik",$V$45,$V$46)))))*(IF(I110="Ya",$V$51,$V$52))</f>
        <v/>
      </c>
      <c r="N110" s="97">
        <f>IF(K110=MAX(K110,L110,M110),"Stunting",IF(L110=MAX(K110,L110,M110),"Potensi Stunting","Tidak"))</f>
        <v/>
      </c>
    </row>
    <row r="111" ht="15.75" customHeight="1" s="95">
      <c r="A111" s="97" t="inlineStr">
        <is>
          <t>anonymus0855</t>
        </is>
      </c>
      <c r="B111" s="97" t="inlineStr">
        <is>
          <t>P</t>
        </is>
      </c>
      <c r="C111" s="97" t="inlineStr">
        <is>
          <t>1-34 Bulan</t>
        </is>
      </c>
      <c r="D111" s="97" t="n">
        <v>12.5</v>
      </c>
      <c r="E111" s="97" t="n">
        <v>81</v>
      </c>
      <c r="F111" s="97" t="inlineStr">
        <is>
          <t>Normal</t>
        </is>
      </c>
      <c r="G111" s="97" t="inlineStr">
        <is>
          <t>Normal</t>
        </is>
      </c>
      <c r="H111" s="97" t="inlineStr">
        <is>
          <t>Gizi Baik</t>
        </is>
      </c>
      <c r="I111" s="97" t="inlineStr">
        <is>
          <t>Ya</t>
        </is>
      </c>
      <c r="J111" s="126" t="inlineStr">
        <is>
          <t>Tidak</t>
        </is>
      </c>
      <c r="K111" s="97">
        <f>($Q$4/$Q$3)*(IF(B111="L",$T$15,$T$16))*(IF(C111="1-34 Bulan",$T$21,$T$22))*(IF(F111="Risiko Lebih",$T$27,IF(F111="Normal",$T$28,IF(F111="Kurang",$T$29,$T$30))))*(IF(G111="Normal",$T$35,IF(G111="Pendek",$T$36,$T$37)))*(IF(H111="Gizi Buruk",$T$42,IF(H111="Gizi Lebih",$T$43,IF(H111="Risiko Gizi Lebih",$T$44,IF(H111="Gizi Baik",$T$45,$T$46)))))*(IF(I111="Ya",$T$51,$T$52))</f>
        <v/>
      </c>
      <c r="L111" s="97">
        <f>($Q$5/$Q$3)*(IF(B111="L",$U$15,$U$16))*(IF(C111="1-34 Bulan",$U$21,$U$22))*(IF(F111="Risiko Lebih",$U$27,IF(F111="Normal",$U$28,IF(F111="Kurang",$U$29,$U$30))))*(IF(G111="Normal",$U$35,IF(G111="Pendek",$U$36,$U$37)))*(IF(H111="Gizi Buruk",$U$42,IF(H111="Gizi Lebih",$U$43,IF(H111="Risiko Gizi Lebih",$U$44,IF(H111="Gizi Baik",$U$45,$U$46)))))*(IF(I111="Ya",$U$51,$U$52))</f>
        <v/>
      </c>
      <c r="M111" s="97">
        <f>($Q$6/$Q$3)*(IF(B111="L",$V$15,$V$16))*(IF(C111="1-34 Bulan",$V$21,$V$22))*(IF(F111="Risiko Lebih",$V$27,IF(F111="Normal",$V$28,IF(F111="Kurang",$V$29,$V$30))))*(IF(G111="Normal",$V$35,IF(G111="Pendek",$V$36,$V$37)))*(IF(H111="Gizi Buruk",$V$42,IF(H111="Gizi Lebih",$V$43,IF(H111="Risiko Gizi Lebih",$V$44,IF(H111="Gizi Baik",$V$45,$V$46)))))*(IF(I111="Ya",$V$51,$V$52))</f>
        <v/>
      </c>
      <c r="N111" s="97">
        <f>IF(K111=MAX(K111,L111,M111),"Stunting",IF(L111=MAX(K111,L111,M111),"Potensi Stunting","Tidak"))</f>
        <v/>
      </c>
    </row>
    <row r="112" ht="15.75" customHeight="1" s="95">
      <c r="A112" s="97" t="inlineStr">
        <is>
          <t>anonymus0856</t>
        </is>
      </c>
      <c r="B112" s="97" t="inlineStr">
        <is>
          <t>L</t>
        </is>
      </c>
      <c r="C112" s="97" t="inlineStr">
        <is>
          <t>35-69 Bulan</t>
        </is>
      </c>
      <c r="D112" s="97" t="n">
        <v>12.3</v>
      </c>
      <c r="E112" s="97" t="n">
        <v>99</v>
      </c>
      <c r="F112" s="97" t="inlineStr">
        <is>
          <t>Kurang</t>
        </is>
      </c>
      <c r="G112" s="97" t="inlineStr">
        <is>
          <t>Normal</t>
        </is>
      </c>
      <c r="H112" s="97" t="inlineStr">
        <is>
          <t>Gizi Kurang</t>
        </is>
      </c>
      <c r="I112" s="97" t="inlineStr">
        <is>
          <t>Ya</t>
        </is>
      </c>
      <c r="J112" s="126" t="inlineStr">
        <is>
          <t>Tidak</t>
        </is>
      </c>
      <c r="K112" s="97">
        <f>($Q$4/$Q$3)*(IF(B112="L",$T$15,$T$16))*(IF(C112="1-34 Bulan",$T$21,$T$22))*(IF(F112="Risiko Lebih",$T$27,IF(F112="Normal",$T$28,IF(F112="Kurang",$T$29,$T$30))))*(IF(G112="Normal",$T$35,IF(G112="Pendek",$T$36,$T$37)))*(IF(H112="Gizi Buruk",$T$42,IF(H112="Gizi Lebih",$T$43,IF(H112="Risiko Gizi Lebih",$T$44,IF(H112="Gizi Baik",$T$45,$T$46)))))*(IF(I112="Ya",$T$51,$T$52))</f>
        <v/>
      </c>
      <c r="L112" s="97">
        <f>($Q$5/$Q$3)*(IF(B112="L",$U$15,$U$16))*(IF(C112="1-34 Bulan",$U$21,$U$22))*(IF(F112="Risiko Lebih",$U$27,IF(F112="Normal",$U$28,IF(F112="Kurang",$U$29,$U$30))))*(IF(G112="Normal",$U$35,IF(G112="Pendek",$U$36,$U$37)))*(IF(H112="Gizi Buruk",$U$42,IF(H112="Gizi Lebih",$U$43,IF(H112="Risiko Gizi Lebih",$U$44,IF(H112="Gizi Baik",$U$45,$U$46)))))*(IF(I112="Ya",$U$51,$U$52))</f>
        <v/>
      </c>
      <c r="M112" s="97">
        <f>($Q$6/$Q$3)*(IF(B112="L",$V$15,$V$16))*(IF(C112="1-34 Bulan",$V$21,$V$22))*(IF(F112="Risiko Lebih",$V$27,IF(F112="Normal",$V$28,IF(F112="Kurang",$V$29,$V$30))))*(IF(G112="Normal",$V$35,IF(G112="Pendek",$V$36,$V$37)))*(IF(H112="Gizi Buruk",$V$42,IF(H112="Gizi Lebih",$V$43,IF(H112="Risiko Gizi Lebih",$V$44,IF(H112="Gizi Baik",$V$45,$V$46)))))*(IF(I112="Ya",$V$51,$V$52))</f>
        <v/>
      </c>
      <c r="N112" s="97">
        <f>IF(K112=MAX(K112,L112,M112),"Stunting",IF(L112=MAX(K112,L112,M112),"Potensi Stunting","Tidak"))</f>
        <v/>
      </c>
    </row>
    <row r="113" ht="15.75" customHeight="1" s="95">
      <c r="A113" s="97" t="inlineStr">
        <is>
          <t>anonymus0857</t>
        </is>
      </c>
      <c r="B113" s="97" t="inlineStr">
        <is>
          <t>L</t>
        </is>
      </c>
      <c r="C113" s="97" t="inlineStr">
        <is>
          <t>35-69 Bulan</t>
        </is>
      </c>
      <c r="D113" s="97" t="n">
        <v>12.4</v>
      </c>
      <c r="E113" s="97" t="n">
        <v>97</v>
      </c>
      <c r="F113" s="97" t="inlineStr">
        <is>
          <t>Normal</t>
        </is>
      </c>
      <c r="G113" s="97" t="inlineStr">
        <is>
          <t>Normal</t>
        </is>
      </c>
      <c r="H113" s="97" t="inlineStr">
        <is>
          <t>Gizi Kurang</t>
        </is>
      </c>
      <c r="I113" s="97" t="inlineStr">
        <is>
          <t>Ya</t>
        </is>
      </c>
      <c r="J113" s="126" t="inlineStr">
        <is>
          <t>Tidak</t>
        </is>
      </c>
      <c r="K113" s="97">
        <f>($Q$4/$Q$3)*(IF(B113="L",$T$15,$T$16))*(IF(C113="1-34 Bulan",$T$21,$T$22))*(IF(F113="Risiko Lebih",$T$27,IF(F113="Normal",$T$28,IF(F113="Kurang",$T$29,$T$30))))*(IF(G113="Normal",$T$35,IF(G113="Pendek",$T$36,$T$37)))*(IF(H113="Gizi Buruk",$T$42,IF(H113="Gizi Lebih",$T$43,IF(H113="Risiko Gizi Lebih",$T$44,IF(H113="Gizi Baik",$T$45,$T$46)))))*(IF(I113="Ya",$T$51,$T$52))</f>
        <v/>
      </c>
      <c r="L113" s="97">
        <f>($Q$5/$Q$3)*(IF(B113="L",$U$15,$U$16))*(IF(C113="1-34 Bulan",$U$21,$U$22))*(IF(F113="Risiko Lebih",$U$27,IF(F113="Normal",$U$28,IF(F113="Kurang",$U$29,$U$30))))*(IF(G113="Normal",$U$35,IF(G113="Pendek",$U$36,$U$37)))*(IF(H113="Gizi Buruk",$U$42,IF(H113="Gizi Lebih",$U$43,IF(H113="Risiko Gizi Lebih",$U$44,IF(H113="Gizi Baik",$U$45,$U$46)))))*(IF(I113="Ya",$U$51,$U$52))</f>
        <v/>
      </c>
      <c r="M113" s="97">
        <f>($Q$6/$Q$3)*(IF(B113="L",$V$15,$V$16))*(IF(C113="1-34 Bulan",$V$21,$V$22))*(IF(F113="Risiko Lebih",$V$27,IF(F113="Normal",$V$28,IF(F113="Kurang",$V$29,$V$30))))*(IF(G113="Normal",$V$35,IF(G113="Pendek",$V$36,$V$37)))*(IF(H113="Gizi Buruk",$V$42,IF(H113="Gizi Lebih",$V$43,IF(H113="Risiko Gizi Lebih",$V$44,IF(H113="Gizi Baik",$V$45,$V$46)))))*(IF(I113="Ya",$V$51,$V$52))</f>
        <v/>
      </c>
      <c r="N113" s="97">
        <f>IF(K113=MAX(K113,L113,M113),"Stunting",IF(L113=MAX(K113,L113,M113),"Potensi Stunting","Tidak"))</f>
        <v/>
      </c>
    </row>
    <row r="114" ht="15.75" customHeight="1" s="95">
      <c r="A114" s="97" t="inlineStr">
        <is>
          <t>anonymus0858</t>
        </is>
      </c>
      <c r="B114" s="97" t="inlineStr">
        <is>
          <t>L</t>
        </is>
      </c>
      <c r="C114" s="97" t="inlineStr">
        <is>
          <t>35-69 Bulan</t>
        </is>
      </c>
      <c r="D114" s="97" t="n">
        <v>17.1</v>
      </c>
      <c r="E114" s="97" t="n">
        <v>101</v>
      </c>
      <c r="F114" s="97" t="inlineStr">
        <is>
          <t>Risiko Lebih</t>
        </is>
      </c>
      <c r="G114" s="97" t="inlineStr">
        <is>
          <t>Normal</t>
        </is>
      </c>
      <c r="H114" s="97" t="inlineStr">
        <is>
          <t>Gizi Lebih</t>
        </is>
      </c>
      <c r="I114" s="97" t="inlineStr">
        <is>
          <t>Ya</t>
        </is>
      </c>
      <c r="J114" s="126" t="inlineStr">
        <is>
          <t>Tidak</t>
        </is>
      </c>
      <c r="K114" s="97">
        <f>($Q$4/$Q$3)*(IF(B114="L",$T$15,$T$16))*(IF(C114="1-34 Bulan",$T$21,$T$22))*(IF(F114="Risiko Lebih",$T$27,IF(F114="Normal",$T$28,IF(F114="Kurang",$T$29,$T$30))))*(IF(G114="Normal",$T$35,IF(G114="Pendek",$T$36,$T$37)))*(IF(H114="Gizi Buruk",$T$42,IF(H114="Gizi Lebih",$T$43,IF(H114="Risiko Gizi Lebih",$T$44,IF(H114="Gizi Baik",$T$45,$T$46)))))*(IF(I114="Ya",$T$51,$T$52))</f>
        <v/>
      </c>
      <c r="L114" s="97">
        <f>($Q$5/$Q$3)*(IF(B114="L",$U$15,$U$16))*(IF(C114="1-34 Bulan",$U$21,$U$22))*(IF(F114="Risiko Lebih",$U$27,IF(F114="Normal",$U$28,IF(F114="Kurang",$U$29,$U$30))))*(IF(G114="Normal",$U$35,IF(G114="Pendek",$U$36,$U$37)))*(IF(H114="Gizi Buruk",$U$42,IF(H114="Gizi Lebih",$U$43,IF(H114="Risiko Gizi Lebih",$U$44,IF(H114="Gizi Baik",$U$45,$U$46)))))*(IF(I114="Ya",$U$51,$U$52))</f>
        <v/>
      </c>
      <c r="M114" s="97">
        <f>($Q$6/$Q$3)*(IF(B114="L",$V$15,$V$16))*(IF(C114="1-34 Bulan",$V$21,$V$22))*(IF(F114="Risiko Lebih",$V$27,IF(F114="Normal",$V$28,IF(F114="Kurang",$V$29,$V$30))))*(IF(G114="Normal",$V$35,IF(G114="Pendek",$V$36,$V$37)))*(IF(H114="Gizi Buruk",$V$42,IF(H114="Gizi Lebih",$V$43,IF(H114="Risiko Gizi Lebih",$V$44,IF(H114="Gizi Baik",$V$45,$V$46)))))*(IF(I114="Ya",$V$51,$V$52))</f>
        <v/>
      </c>
      <c r="N114" s="97">
        <f>IF(K114=MAX(K114,L114,M114),"Stunting",IF(L114=MAX(K114,L114,M114),"Potensi Stunting","Tidak"))</f>
        <v/>
      </c>
    </row>
    <row r="115" ht="15.75" customHeight="1" s="95">
      <c r="A115" s="97" t="inlineStr">
        <is>
          <t>anonymus0859</t>
        </is>
      </c>
      <c r="B115" s="97" t="inlineStr">
        <is>
          <t>L</t>
        </is>
      </c>
      <c r="C115" s="97" t="inlineStr">
        <is>
          <t>35-69 Bulan</t>
        </is>
      </c>
      <c r="D115" s="97" t="inlineStr">
        <is>
          <t>14.3</t>
        </is>
      </c>
      <c r="E115" s="97" t="n">
        <v>100</v>
      </c>
      <c r="F115" s="97" t="inlineStr">
        <is>
          <t>Normal</t>
        </is>
      </c>
      <c r="G115" s="97" t="inlineStr">
        <is>
          <t>Normal</t>
        </is>
      </c>
      <c r="H115" s="97" t="inlineStr">
        <is>
          <t>Gizi Baik</t>
        </is>
      </c>
      <c r="I115" s="97" t="inlineStr">
        <is>
          <t>Ya</t>
        </is>
      </c>
      <c r="J115" s="126" t="inlineStr">
        <is>
          <t>Tidak</t>
        </is>
      </c>
      <c r="K115" s="97">
        <f>($Q$4/$Q$3)*(IF(B115="L",$T$15,$T$16))*(IF(C115="1-34 Bulan",$T$21,$T$22))*(IF(F115="Risiko Lebih",$T$27,IF(F115="Normal",$T$28,IF(F115="Kurang",$T$29,$T$30))))*(IF(G115="Normal",$T$35,IF(G115="Pendek",$T$36,$T$37)))*(IF(H115="Gizi Buruk",$T$42,IF(H115="Gizi Lebih",$T$43,IF(H115="Risiko Gizi Lebih",$T$44,IF(H115="Gizi Baik",$T$45,$T$46)))))*(IF(I115="Ya",$T$51,$T$52))</f>
        <v/>
      </c>
      <c r="L115" s="97">
        <f>($Q$5/$Q$3)*(IF(B115="L",$U$15,$U$16))*(IF(C115="1-34 Bulan",$U$21,$U$22))*(IF(F115="Risiko Lebih",$U$27,IF(F115="Normal",$U$28,IF(F115="Kurang",$U$29,$U$30))))*(IF(G115="Normal",$U$35,IF(G115="Pendek",$U$36,$U$37)))*(IF(H115="Gizi Buruk",$U$42,IF(H115="Gizi Lebih",$U$43,IF(H115="Risiko Gizi Lebih",$U$44,IF(H115="Gizi Baik",$U$45,$U$46)))))*(IF(I115="Ya",$U$51,$U$52))</f>
        <v/>
      </c>
      <c r="M115" s="97">
        <f>($Q$6/$Q$3)*(IF(B115="L",$V$15,$V$16))*(IF(C115="1-34 Bulan",$V$21,$V$22))*(IF(F115="Risiko Lebih",$V$27,IF(F115="Normal",$V$28,IF(F115="Kurang",$V$29,$V$30))))*(IF(G115="Normal",$V$35,IF(G115="Pendek",$V$36,$V$37)))*(IF(H115="Gizi Buruk",$V$42,IF(H115="Gizi Lebih",$V$43,IF(H115="Risiko Gizi Lebih",$V$44,IF(H115="Gizi Baik",$V$45,$V$46)))))*(IF(I115="Ya",$V$51,$V$52))</f>
        <v/>
      </c>
      <c r="N115" s="97">
        <f>IF(K115=MAX(K115,L115,M115),"Stunting",IF(L115=MAX(K115,L115,M115),"Potensi Stunting","Tidak"))</f>
        <v/>
      </c>
    </row>
    <row r="116" ht="15.75" customHeight="1" s="95">
      <c r="A116" s="97" t="inlineStr">
        <is>
          <t>anonymus0860</t>
        </is>
      </c>
      <c r="B116" s="97" t="inlineStr">
        <is>
          <t>L</t>
        </is>
      </c>
      <c r="C116" s="97" t="inlineStr">
        <is>
          <t>35-69 Bulan</t>
        </is>
      </c>
      <c r="D116" s="97" t="n">
        <v>10</v>
      </c>
      <c r="E116" s="97" t="n">
        <v>84</v>
      </c>
      <c r="F116" s="97" t="inlineStr">
        <is>
          <t>Kurang</t>
        </is>
      </c>
      <c r="G116" s="97" t="inlineStr">
        <is>
          <t>Pendek</t>
        </is>
      </c>
      <c r="H116" s="97" t="inlineStr">
        <is>
          <t>Gizi Baik</t>
        </is>
      </c>
      <c r="I116" s="97" t="inlineStr">
        <is>
          <t>Ya</t>
        </is>
      </c>
      <c r="J116" s="126" t="inlineStr">
        <is>
          <t>Tidak</t>
        </is>
      </c>
      <c r="K116" s="97">
        <f>($Q$4/$Q$3)*(IF(B116="L",$T$15,$T$16))*(IF(C116="1-34 Bulan",$T$21,$T$22))*(IF(F116="Risiko Lebih",$T$27,IF(F116="Normal",$T$28,IF(F116="Kurang",$T$29,$T$30))))*(IF(G116="Normal",$T$35,IF(G116="Pendek",$T$36,$T$37)))*(IF(H116="Gizi Buruk",$T$42,IF(H116="Gizi Lebih",$T$43,IF(H116="Risiko Gizi Lebih",$T$44,IF(H116="Gizi Baik",$T$45,$T$46)))))*(IF(I116="Ya",$T$51,$T$52))</f>
        <v/>
      </c>
      <c r="L116" s="97">
        <f>($Q$5/$Q$3)*(IF(B116="L",$U$15,$U$16))*(IF(C116="1-34 Bulan",$U$21,$U$22))*(IF(F116="Risiko Lebih",$U$27,IF(F116="Normal",$U$28,IF(F116="Kurang",$U$29,$U$30))))*(IF(G116="Normal",$U$35,IF(G116="Pendek",$U$36,$U$37)))*(IF(H116="Gizi Buruk",$U$42,IF(H116="Gizi Lebih",$U$43,IF(H116="Risiko Gizi Lebih",$U$44,IF(H116="Gizi Baik",$U$45,$U$46)))))*(IF(I116="Ya",$U$51,$U$52))</f>
        <v/>
      </c>
      <c r="M116" s="97">
        <f>($Q$6/$Q$3)*(IF(B116="L",$V$15,$V$16))*(IF(C116="1-34 Bulan",$V$21,$V$22))*(IF(F116="Risiko Lebih",$V$27,IF(F116="Normal",$V$28,IF(F116="Kurang",$V$29,$V$30))))*(IF(G116="Normal",$V$35,IF(G116="Pendek",$V$36,$V$37)))*(IF(H116="Gizi Buruk",$V$42,IF(H116="Gizi Lebih",$V$43,IF(H116="Risiko Gizi Lebih",$V$44,IF(H116="Gizi Baik",$V$45,$V$46)))))*(IF(I116="Ya",$V$51,$V$52))</f>
        <v/>
      </c>
      <c r="N116" s="97">
        <f>IF(K116=MAX(K116,L116,M116),"Stunting",IF(L116=MAX(K116,L116,M116),"Potensi Stunting","Tidak"))</f>
        <v/>
      </c>
    </row>
    <row r="117" ht="15.75" customHeight="1" s="95">
      <c r="A117" s="97" t="inlineStr">
        <is>
          <t>anonymus0861</t>
        </is>
      </c>
      <c r="B117" s="97" t="inlineStr">
        <is>
          <t>P</t>
        </is>
      </c>
      <c r="C117" s="97" t="inlineStr">
        <is>
          <t>1-34 Bulan</t>
        </is>
      </c>
      <c r="D117" s="97" t="n">
        <v>14.4</v>
      </c>
      <c r="E117" s="97" t="n">
        <v>81</v>
      </c>
      <c r="F117" s="97" t="inlineStr">
        <is>
          <t>Normal</t>
        </is>
      </c>
      <c r="G117" s="97" t="inlineStr">
        <is>
          <t>Normal</t>
        </is>
      </c>
      <c r="H117" s="97" t="inlineStr">
        <is>
          <t>Gizi Baik</t>
        </is>
      </c>
      <c r="I117" s="97" t="inlineStr">
        <is>
          <t>Ya</t>
        </is>
      </c>
      <c r="J117" s="126" t="inlineStr">
        <is>
          <t>Tidak</t>
        </is>
      </c>
      <c r="K117" s="97">
        <f>($Q$4/$Q$3)*(IF(B117="L",$T$15,$T$16))*(IF(C117="1-34 Bulan",$T$21,$T$22))*(IF(F117="Risiko Lebih",$T$27,IF(F117="Normal",$T$28,IF(F117="Kurang",$T$29,$T$30))))*(IF(G117="Normal",$T$35,IF(G117="Pendek",$T$36,$T$37)))*(IF(H117="Gizi Buruk",$T$42,IF(H117="Gizi Lebih",$T$43,IF(H117="Risiko Gizi Lebih",$T$44,IF(H117="Gizi Baik",$T$45,$T$46)))))*(IF(I117="Ya",$T$51,$T$52))</f>
        <v/>
      </c>
      <c r="L117" s="97">
        <f>($Q$5/$Q$3)*(IF(B117="L",$U$15,$U$16))*(IF(C117="1-34 Bulan",$U$21,$U$22))*(IF(F117="Risiko Lebih",$U$27,IF(F117="Normal",$U$28,IF(F117="Kurang",$U$29,$U$30))))*(IF(G117="Normal",$U$35,IF(G117="Pendek",$U$36,$U$37)))*(IF(H117="Gizi Buruk",$U$42,IF(H117="Gizi Lebih",$U$43,IF(H117="Risiko Gizi Lebih",$U$44,IF(H117="Gizi Baik",$U$45,$U$46)))))*(IF(I117="Ya",$U$51,$U$52))</f>
        <v/>
      </c>
      <c r="M117" s="97">
        <f>($Q$6/$Q$3)*(IF(B117="L",$V$15,$V$16))*(IF(C117="1-34 Bulan",$V$21,$V$22))*(IF(F117="Risiko Lebih",$V$27,IF(F117="Normal",$V$28,IF(F117="Kurang",$V$29,$V$30))))*(IF(G117="Normal",$V$35,IF(G117="Pendek",$V$36,$V$37)))*(IF(H117="Gizi Buruk",$V$42,IF(H117="Gizi Lebih",$V$43,IF(H117="Risiko Gizi Lebih",$V$44,IF(H117="Gizi Baik",$V$45,$V$46)))))*(IF(I117="Ya",$V$51,$V$52))</f>
        <v/>
      </c>
      <c r="N117" s="97">
        <f>IF(K117=MAX(K117,L117,M117),"Stunting",IF(L117=MAX(K117,L117,M117),"Potensi Stunting","Tidak"))</f>
        <v/>
      </c>
    </row>
    <row r="118" ht="15.75" customHeight="1" s="95">
      <c r="A118" s="97" t="inlineStr">
        <is>
          <t>anonymus0862</t>
        </is>
      </c>
      <c r="B118" s="97" t="inlineStr">
        <is>
          <t>L</t>
        </is>
      </c>
      <c r="C118" s="97" t="inlineStr">
        <is>
          <t>35-69 Bulan</t>
        </is>
      </c>
      <c r="D118" s="97" t="inlineStr">
        <is>
          <t>16.9</t>
        </is>
      </c>
      <c r="E118" s="97" t="n">
        <v>102</v>
      </c>
      <c r="F118" s="97" t="inlineStr">
        <is>
          <t>Normal</t>
        </is>
      </c>
      <c r="G118" s="97" t="inlineStr">
        <is>
          <t>Normal</t>
        </is>
      </c>
      <c r="H118" s="97" t="inlineStr">
        <is>
          <t>Gizi Baik</t>
        </is>
      </c>
      <c r="I118" s="97" t="inlineStr">
        <is>
          <t>Ya</t>
        </is>
      </c>
      <c r="J118" s="126" t="inlineStr">
        <is>
          <t>Tidak</t>
        </is>
      </c>
      <c r="K118" s="97">
        <f>($Q$4/$Q$3)*(IF(B118="L",$T$15,$T$16))*(IF(C118="1-34 Bulan",$T$21,$T$22))*(IF(F118="Risiko Lebih",$T$27,IF(F118="Normal",$T$28,IF(F118="Kurang",$T$29,$T$30))))*(IF(G118="Normal",$T$35,IF(G118="Pendek",$T$36,$T$37)))*(IF(H118="Gizi Buruk",$T$42,IF(H118="Gizi Lebih",$T$43,IF(H118="Risiko Gizi Lebih",$T$44,IF(H118="Gizi Baik",$T$45,$T$46)))))*(IF(I118="Ya",$T$51,$T$52))</f>
        <v/>
      </c>
      <c r="L118" s="97">
        <f>($Q$5/$Q$3)*(IF(B118="L",$U$15,$U$16))*(IF(C118="1-34 Bulan",$U$21,$U$22))*(IF(F118="Risiko Lebih",$U$27,IF(F118="Normal",$U$28,IF(F118="Kurang",$U$29,$U$30))))*(IF(G118="Normal",$U$35,IF(G118="Pendek",$U$36,$U$37)))*(IF(H118="Gizi Buruk",$U$42,IF(H118="Gizi Lebih",$U$43,IF(H118="Risiko Gizi Lebih",$U$44,IF(H118="Gizi Baik",$U$45,$U$46)))))*(IF(I118="Ya",$U$51,$U$52))</f>
        <v/>
      </c>
      <c r="M118" s="97">
        <f>($Q$6/$Q$3)*(IF(B118="L",$V$15,$V$16))*(IF(C118="1-34 Bulan",$V$21,$V$22))*(IF(F118="Risiko Lebih",$V$27,IF(F118="Normal",$V$28,IF(F118="Kurang",$V$29,$V$30))))*(IF(G118="Normal",$V$35,IF(G118="Pendek",$V$36,$V$37)))*(IF(H118="Gizi Buruk",$V$42,IF(H118="Gizi Lebih",$V$43,IF(H118="Risiko Gizi Lebih",$V$44,IF(H118="Gizi Baik",$V$45,$V$46)))))*(IF(I118="Ya",$V$51,$V$52))</f>
        <v/>
      </c>
      <c r="N118" s="97">
        <f>IF(K118=MAX(K118,L118,M118),"Stunting",IF(L118=MAX(K118,L118,M118),"Potensi Stunting","Tidak"))</f>
        <v/>
      </c>
    </row>
    <row r="119" ht="15.75" customHeight="1" s="95">
      <c r="A119" s="97" t="inlineStr">
        <is>
          <t>anonymus0863</t>
        </is>
      </c>
      <c r="B119" s="97" t="inlineStr">
        <is>
          <t>L</t>
        </is>
      </c>
      <c r="C119" s="97" t="inlineStr">
        <is>
          <t>35-69 Bulan</t>
        </is>
      </c>
      <c r="D119" s="97" t="n">
        <v>9.199999999999999</v>
      </c>
      <c r="E119" s="97" t="n">
        <v>81.7</v>
      </c>
      <c r="F119" s="97" t="inlineStr">
        <is>
          <t>Kurang</t>
        </is>
      </c>
      <c r="G119" s="97" t="inlineStr">
        <is>
          <t>Pendek</t>
        </is>
      </c>
      <c r="H119" s="97" t="inlineStr">
        <is>
          <t>Gizi Kurang</t>
        </is>
      </c>
      <c r="I119" s="97" t="inlineStr">
        <is>
          <t>Ya</t>
        </is>
      </c>
      <c r="J119" s="126" t="inlineStr">
        <is>
          <t>Potensi Stunting</t>
        </is>
      </c>
      <c r="K119" s="97">
        <f>($Q$4/$Q$3)*(IF(B119="L",$T$15,$T$16))*(IF(C119="1-34 Bulan",$T$21,$T$22))*(IF(F119="Risiko Lebih",$T$27,IF(F119="Normal",$T$28,IF(F119="Kurang",$T$29,$T$30))))*(IF(G119="Normal",$T$35,IF(G119="Pendek",$T$36,$T$37)))*(IF(H119="Gizi Buruk",$T$42,IF(H119="Gizi Lebih",$T$43,IF(H119="Risiko Gizi Lebih",$T$44,IF(H119="Gizi Baik",$T$45,$T$46)))))*(IF(I119="Ya",$T$51,$T$52))</f>
        <v/>
      </c>
      <c r="L119" s="97">
        <f>($Q$5/$Q$3)*(IF(B119="L",$U$15,$U$16))*(IF(C119="1-34 Bulan",$U$21,$U$22))*(IF(F119="Risiko Lebih",$U$27,IF(F119="Normal",$U$28,IF(F119="Kurang",$U$29,$U$30))))*(IF(G119="Normal",$U$35,IF(G119="Pendek",$U$36,$U$37)))*(IF(H119="Gizi Buruk",$U$42,IF(H119="Gizi Lebih",$U$43,IF(H119="Risiko Gizi Lebih",$U$44,IF(H119="Gizi Baik",$U$45,$U$46)))))*(IF(I119="Ya",$U$51,$U$52))</f>
        <v/>
      </c>
      <c r="M119" s="97">
        <f>($Q$6/$Q$3)*(IF(B119="L",$V$15,$V$16))*(IF(C119="1-34 Bulan",$V$21,$V$22))*(IF(F119="Risiko Lebih",$V$27,IF(F119="Normal",$V$28,IF(F119="Kurang",$V$29,$V$30))))*(IF(G119="Normal",$V$35,IF(G119="Pendek",$V$36,$V$37)))*(IF(H119="Gizi Buruk",$V$42,IF(H119="Gizi Lebih",$V$43,IF(H119="Risiko Gizi Lebih",$V$44,IF(H119="Gizi Baik",$V$45,$V$46)))))*(IF(I119="Ya",$V$51,$V$52))</f>
        <v/>
      </c>
      <c r="N119" s="97">
        <f>IF(K119=MAX(K119,L119,M119),"Stunting",IF(L119=MAX(K119,L119,M119),"Potensi Stunting","Tidak"))</f>
        <v/>
      </c>
    </row>
    <row r="120" ht="15.75" customHeight="1" s="95">
      <c r="A120" s="97" t="inlineStr">
        <is>
          <t>anonymus0864</t>
        </is>
      </c>
      <c r="B120" s="97" t="inlineStr">
        <is>
          <t>L</t>
        </is>
      </c>
      <c r="C120" s="97" t="inlineStr">
        <is>
          <t>1-34 Bulan</t>
        </is>
      </c>
      <c r="D120" s="97" t="n">
        <v>13.7</v>
      </c>
      <c r="E120" s="97" t="n">
        <v>73</v>
      </c>
      <c r="F120" s="97" t="inlineStr">
        <is>
          <t>Normal</t>
        </is>
      </c>
      <c r="G120" s="97" t="inlineStr">
        <is>
          <t>Normal</t>
        </is>
      </c>
      <c r="H120" s="97" t="inlineStr">
        <is>
          <t>Gizi Baik</t>
        </is>
      </c>
      <c r="I120" s="97" t="inlineStr">
        <is>
          <t>Ya</t>
        </is>
      </c>
      <c r="J120" s="126" t="inlineStr">
        <is>
          <t>Tidak</t>
        </is>
      </c>
      <c r="K120" s="97">
        <f>($Q$4/$Q$3)*(IF(B120="L",$T$15,$T$16))*(IF(C120="1-34 Bulan",$T$21,$T$22))*(IF(F120="Risiko Lebih",$T$27,IF(F120="Normal",$T$28,IF(F120="Kurang",$T$29,$T$30))))*(IF(G120="Normal",$T$35,IF(G120="Pendek",$T$36,$T$37)))*(IF(H120="Gizi Buruk",$T$42,IF(H120="Gizi Lebih",$T$43,IF(H120="Risiko Gizi Lebih",$T$44,IF(H120="Gizi Baik",$T$45,$T$46)))))*(IF(I120="Ya",$T$51,$T$52))</f>
        <v/>
      </c>
      <c r="L120" s="97">
        <f>($Q$5/$Q$3)*(IF(B120="L",$U$15,$U$16))*(IF(C120="1-34 Bulan",$U$21,$U$22))*(IF(F120="Risiko Lebih",$U$27,IF(F120="Normal",$U$28,IF(F120="Kurang",$U$29,$U$30))))*(IF(G120="Normal",$U$35,IF(G120="Pendek",$U$36,$U$37)))*(IF(H120="Gizi Buruk",$U$42,IF(H120="Gizi Lebih",$U$43,IF(H120="Risiko Gizi Lebih",$U$44,IF(H120="Gizi Baik",$U$45,$U$46)))))*(IF(I120="Ya",$U$51,$U$52))</f>
        <v/>
      </c>
      <c r="M120" s="97">
        <f>($Q$6/$Q$3)*(IF(B120="L",$V$15,$V$16))*(IF(C120="1-34 Bulan",$V$21,$V$22))*(IF(F120="Risiko Lebih",$V$27,IF(F120="Normal",$V$28,IF(F120="Kurang",$V$29,$V$30))))*(IF(G120="Normal",$V$35,IF(G120="Pendek",$V$36,$V$37)))*(IF(H120="Gizi Buruk",$V$42,IF(H120="Gizi Lebih",$V$43,IF(H120="Risiko Gizi Lebih",$V$44,IF(H120="Gizi Baik",$V$45,$V$46)))))*(IF(I120="Ya",$V$51,$V$52))</f>
        <v/>
      </c>
      <c r="N120" s="97">
        <f>IF(K120=MAX(K120,L120,M120),"Stunting",IF(L120=MAX(K120,L120,M120),"Potensi Stunting","Tidak"))</f>
        <v/>
      </c>
    </row>
    <row r="121" ht="15.75" customHeight="1" s="95">
      <c r="A121" s="97" t="inlineStr">
        <is>
          <t>anonymus0865</t>
        </is>
      </c>
      <c r="B121" s="97" t="inlineStr">
        <is>
          <t>L</t>
        </is>
      </c>
      <c r="C121" s="97" t="inlineStr">
        <is>
          <t>1-34 Bulan</t>
        </is>
      </c>
      <c r="D121" s="97" t="inlineStr">
        <is>
          <t>9.2</t>
        </is>
      </c>
      <c r="E121" s="97" t="n">
        <v>74</v>
      </c>
      <c r="F121" s="97" t="inlineStr">
        <is>
          <t>Normal</t>
        </is>
      </c>
      <c r="G121" s="97" t="inlineStr">
        <is>
          <t>Normal</t>
        </is>
      </c>
      <c r="H121" s="97" t="inlineStr">
        <is>
          <t>Gizi Baik</t>
        </is>
      </c>
      <c r="I121" s="97" t="inlineStr">
        <is>
          <t>Ya</t>
        </is>
      </c>
      <c r="J121" s="126" t="inlineStr">
        <is>
          <t>Tidak</t>
        </is>
      </c>
      <c r="K121" s="97">
        <f>($Q$4/$Q$3)*(IF(B121="L",$T$15,$T$16))*(IF(C121="1-34 Bulan",$T$21,$T$22))*(IF(F121="Risiko Lebih",$T$27,IF(F121="Normal",$T$28,IF(F121="Kurang",$T$29,$T$30))))*(IF(G121="Normal",$T$35,IF(G121="Pendek",$T$36,$T$37)))*(IF(H121="Gizi Buruk",$T$42,IF(H121="Gizi Lebih",$T$43,IF(H121="Risiko Gizi Lebih",$T$44,IF(H121="Gizi Baik",$T$45,$T$46)))))*(IF(I121="Ya",$T$51,$T$52))</f>
        <v/>
      </c>
      <c r="L121" s="97">
        <f>($Q$5/$Q$3)*(IF(B121="L",$U$15,$U$16))*(IF(C121="1-34 Bulan",$U$21,$U$22))*(IF(F121="Risiko Lebih",$U$27,IF(F121="Normal",$U$28,IF(F121="Kurang",$U$29,$U$30))))*(IF(G121="Normal",$U$35,IF(G121="Pendek",$U$36,$U$37)))*(IF(H121="Gizi Buruk",$U$42,IF(H121="Gizi Lebih",$U$43,IF(H121="Risiko Gizi Lebih",$U$44,IF(H121="Gizi Baik",$U$45,$U$46)))))*(IF(I121="Ya",$U$51,$U$52))</f>
        <v/>
      </c>
      <c r="M121" s="97">
        <f>($Q$6/$Q$3)*(IF(B121="L",$V$15,$V$16))*(IF(C121="1-34 Bulan",$V$21,$V$22))*(IF(F121="Risiko Lebih",$V$27,IF(F121="Normal",$V$28,IF(F121="Kurang",$V$29,$V$30))))*(IF(G121="Normal",$V$35,IF(G121="Pendek",$V$36,$V$37)))*(IF(H121="Gizi Buruk",$V$42,IF(H121="Gizi Lebih",$V$43,IF(H121="Risiko Gizi Lebih",$V$44,IF(H121="Gizi Baik",$V$45,$V$46)))))*(IF(I121="Ya",$V$51,$V$52))</f>
        <v/>
      </c>
      <c r="N121" s="97">
        <f>IF(K121=MAX(K121,L121,M121),"Stunting",IF(L121=MAX(K121,L121,M121),"Potensi Stunting","Tidak"))</f>
        <v/>
      </c>
    </row>
    <row r="122" ht="15.75" customHeight="1" s="95">
      <c r="A122" s="97" t="inlineStr">
        <is>
          <t>anonymus0866</t>
        </is>
      </c>
      <c r="B122" s="97" t="inlineStr">
        <is>
          <t>L</t>
        </is>
      </c>
      <c r="C122" s="97" t="inlineStr">
        <is>
          <t>35-69 Bulan</t>
        </is>
      </c>
      <c r="D122" s="97" t="n">
        <v>17.4</v>
      </c>
      <c r="E122" s="97" t="n">
        <v>92</v>
      </c>
      <c r="F122" s="97" t="inlineStr">
        <is>
          <t>Risiko Lebih</t>
        </is>
      </c>
      <c r="G122" s="97" t="inlineStr">
        <is>
          <t>Normal</t>
        </is>
      </c>
      <c r="H122" s="97" t="inlineStr">
        <is>
          <t>Gizi Lebih</t>
        </is>
      </c>
      <c r="I122" s="97" t="inlineStr">
        <is>
          <t>Tidak</t>
        </is>
      </c>
      <c r="J122" s="126" t="inlineStr">
        <is>
          <t>Tidak</t>
        </is>
      </c>
      <c r="K122" s="97">
        <f>($Q$4/$Q$3)*(IF(B122="L",$T$15,$T$16))*(IF(C122="1-34 Bulan",$T$21,$T$22))*(IF(F122="Risiko Lebih",$T$27,IF(F122="Normal",$T$28,IF(F122="Kurang",$T$29,$T$30))))*(IF(G122="Normal",$T$35,IF(G122="Pendek",$T$36,$T$37)))*(IF(H122="Gizi Buruk",$T$42,IF(H122="Gizi Lebih",$T$43,IF(H122="Risiko Gizi Lebih",$T$44,IF(H122="Gizi Baik",$T$45,$T$46)))))*(IF(I122="Ya",$T$51,$T$52))</f>
        <v/>
      </c>
      <c r="L122" s="97">
        <f>($Q$5/$Q$3)*(IF(B122="L",$U$15,$U$16))*(IF(C122="1-34 Bulan",$U$21,$U$22))*(IF(F122="Risiko Lebih",$U$27,IF(F122="Normal",$U$28,IF(F122="Kurang",$U$29,$U$30))))*(IF(G122="Normal",$U$35,IF(G122="Pendek",$U$36,$U$37)))*(IF(H122="Gizi Buruk",$U$42,IF(H122="Gizi Lebih",$U$43,IF(H122="Risiko Gizi Lebih",$U$44,IF(H122="Gizi Baik",$U$45,$U$46)))))*(IF(I122="Ya",$U$51,$U$52))</f>
        <v/>
      </c>
      <c r="M122" s="97">
        <f>($Q$6/$Q$3)*(IF(B122="L",$V$15,$V$16))*(IF(C122="1-34 Bulan",$V$21,$V$22))*(IF(F122="Risiko Lebih",$V$27,IF(F122="Normal",$V$28,IF(F122="Kurang",$V$29,$V$30))))*(IF(G122="Normal",$V$35,IF(G122="Pendek",$V$36,$V$37)))*(IF(H122="Gizi Buruk",$V$42,IF(H122="Gizi Lebih",$V$43,IF(H122="Risiko Gizi Lebih",$V$44,IF(H122="Gizi Baik",$V$45,$V$46)))))*(IF(I122="Ya",$V$51,$V$52))</f>
        <v/>
      </c>
      <c r="N122" s="97">
        <f>IF(K122=MAX(K122,L122,M122),"Stunting",IF(L122=MAX(K122,L122,M122),"Potensi Stunting","Tidak"))</f>
        <v/>
      </c>
    </row>
    <row r="123" ht="15.75" customHeight="1" s="95">
      <c r="A123" s="97" t="inlineStr">
        <is>
          <t>anonymus0867</t>
        </is>
      </c>
      <c r="B123" s="97" t="inlineStr">
        <is>
          <t>L</t>
        </is>
      </c>
      <c r="C123" s="97" t="inlineStr">
        <is>
          <t>35-69 Bulan</t>
        </is>
      </c>
      <c r="D123" s="97" t="n">
        <v>17.5</v>
      </c>
      <c r="E123" s="97" t="n">
        <v>117</v>
      </c>
      <c r="F123" s="97" t="inlineStr">
        <is>
          <t>Risiko Lebih</t>
        </is>
      </c>
      <c r="G123" s="97" t="inlineStr">
        <is>
          <t>Normal</t>
        </is>
      </c>
      <c r="H123" s="97" t="inlineStr">
        <is>
          <t>Gizi Lebih</t>
        </is>
      </c>
      <c r="I123" s="97" t="inlineStr">
        <is>
          <t>Ya</t>
        </is>
      </c>
      <c r="J123" s="126" t="inlineStr">
        <is>
          <t>Potensi Stunting</t>
        </is>
      </c>
      <c r="K123" s="97">
        <f>($Q$4/$Q$3)*(IF(B123="L",$T$15,$T$16))*(IF(C123="1-34 Bulan",$T$21,$T$22))*(IF(F123="Risiko Lebih",$T$27,IF(F123="Normal",$T$28,IF(F123="Kurang",$T$29,$T$30))))*(IF(G123="Normal",$T$35,IF(G123="Pendek",$T$36,$T$37)))*(IF(H123="Gizi Buruk",$T$42,IF(H123="Gizi Lebih",$T$43,IF(H123="Risiko Gizi Lebih",$T$44,IF(H123="Gizi Baik",$T$45,$T$46)))))*(IF(I123="Ya",$T$51,$T$52))</f>
        <v/>
      </c>
      <c r="L123" s="97">
        <f>($Q$5/$Q$3)*(IF(B123="L",$U$15,$U$16))*(IF(C123="1-34 Bulan",$U$21,$U$22))*(IF(F123="Risiko Lebih",$U$27,IF(F123="Normal",$U$28,IF(F123="Kurang",$U$29,$U$30))))*(IF(G123="Normal",$U$35,IF(G123="Pendek",$U$36,$U$37)))*(IF(H123="Gizi Buruk",$U$42,IF(H123="Gizi Lebih",$U$43,IF(H123="Risiko Gizi Lebih",$U$44,IF(H123="Gizi Baik",$U$45,$U$46)))))*(IF(I123="Ya",$U$51,$U$52))</f>
        <v/>
      </c>
      <c r="M123" s="97">
        <f>($Q$6/$Q$3)*(IF(B123="L",$V$15,$V$16))*(IF(C123="1-34 Bulan",$V$21,$V$22))*(IF(F123="Risiko Lebih",$V$27,IF(F123="Normal",$V$28,IF(F123="Kurang",$V$29,$V$30))))*(IF(G123="Normal",$V$35,IF(G123="Pendek",$V$36,$V$37)))*(IF(H123="Gizi Buruk",$V$42,IF(H123="Gizi Lebih",$V$43,IF(H123="Risiko Gizi Lebih",$V$44,IF(H123="Gizi Baik",$V$45,$V$46)))))*(IF(I123="Ya",$V$51,$V$52))</f>
        <v/>
      </c>
      <c r="N123" s="97">
        <f>IF(K123=MAX(K123,L123,M123),"Stunting",IF(L123=MAX(K123,L123,M123),"Potensi Stunting","Tidak"))</f>
        <v/>
      </c>
    </row>
    <row r="124" ht="15.75" customHeight="1" s="95">
      <c r="A124" s="97" t="inlineStr">
        <is>
          <t>anonymus0868</t>
        </is>
      </c>
      <c r="B124" s="97" t="inlineStr">
        <is>
          <t>L</t>
        </is>
      </c>
      <c r="C124" s="97" t="inlineStr">
        <is>
          <t>1-34 Bulan</t>
        </is>
      </c>
      <c r="D124" s="97" t="n">
        <v>6.6</v>
      </c>
      <c r="E124" s="97" t="n">
        <v>81</v>
      </c>
      <c r="F124" s="97" t="inlineStr">
        <is>
          <t>Kurang</t>
        </is>
      </c>
      <c r="G124" s="97" t="inlineStr">
        <is>
          <t>Normal</t>
        </is>
      </c>
      <c r="H124" s="97" t="inlineStr">
        <is>
          <t>Gizi Kurang</t>
        </is>
      </c>
      <c r="I124" s="97" t="inlineStr">
        <is>
          <t>Ya</t>
        </is>
      </c>
      <c r="J124" s="126" t="inlineStr">
        <is>
          <t>Tidak</t>
        </is>
      </c>
      <c r="K124" s="97">
        <f>($Q$4/$Q$3)*(IF(B124="L",$T$15,$T$16))*(IF(C124="1-34 Bulan",$T$21,$T$22))*(IF(F124="Risiko Lebih",$T$27,IF(F124="Normal",$T$28,IF(F124="Kurang",$T$29,$T$30))))*(IF(G124="Normal",$T$35,IF(G124="Pendek",$T$36,$T$37)))*(IF(H124="Gizi Buruk",$T$42,IF(H124="Gizi Lebih",$T$43,IF(H124="Risiko Gizi Lebih",$T$44,IF(H124="Gizi Baik",$T$45,$T$46)))))*(IF(I124="Ya",$T$51,$T$52))</f>
        <v/>
      </c>
      <c r="L124" s="97">
        <f>($Q$5/$Q$3)*(IF(B124="L",$U$15,$U$16))*(IF(C124="1-34 Bulan",$U$21,$U$22))*(IF(F124="Risiko Lebih",$U$27,IF(F124="Normal",$U$28,IF(F124="Kurang",$U$29,$U$30))))*(IF(G124="Normal",$U$35,IF(G124="Pendek",$U$36,$U$37)))*(IF(H124="Gizi Buruk",$U$42,IF(H124="Gizi Lebih",$U$43,IF(H124="Risiko Gizi Lebih",$U$44,IF(H124="Gizi Baik",$U$45,$U$46)))))*(IF(I124="Ya",$U$51,$U$52))</f>
        <v/>
      </c>
      <c r="M124" s="97">
        <f>($Q$6/$Q$3)*(IF(B124="L",$V$15,$V$16))*(IF(C124="1-34 Bulan",$V$21,$V$22))*(IF(F124="Risiko Lebih",$V$27,IF(F124="Normal",$V$28,IF(F124="Kurang",$V$29,$V$30))))*(IF(G124="Normal",$V$35,IF(G124="Pendek",$V$36,$V$37)))*(IF(H124="Gizi Buruk",$V$42,IF(H124="Gizi Lebih",$V$43,IF(H124="Risiko Gizi Lebih",$V$44,IF(H124="Gizi Baik",$V$45,$V$46)))))*(IF(I124="Ya",$V$51,$V$52))</f>
        <v/>
      </c>
      <c r="N124" s="97">
        <f>IF(K124=MAX(K124,L124,M124),"Stunting",IF(L124=MAX(K124,L124,M124),"Potensi Stunting","Tidak"))</f>
        <v/>
      </c>
    </row>
    <row r="125" ht="15.75" customHeight="1" s="95">
      <c r="A125" s="97" t="inlineStr">
        <is>
          <t>anonymus0869</t>
        </is>
      </c>
      <c r="B125" s="97" t="inlineStr">
        <is>
          <t>P</t>
        </is>
      </c>
      <c r="C125" s="97" t="inlineStr">
        <is>
          <t>35-69 Bulan</t>
        </is>
      </c>
      <c r="D125" s="97" t="inlineStr">
        <is>
          <t>14.5</t>
        </is>
      </c>
      <c r="E125" s="97" t="n">
        <v>98</v>
      </c>
      <c r="F125" s="97" t="inlineStr">
        <is>
          <t>Normal</t>
        </is>
      </c>
      <c r="G125" s="97" t="inlineStr">
        <is>
          <t>Normal</t>
        </is>
      </c>
      <c r="H125" s="97" t="inlineStr">
        <is>
          <t>Gizi Baik</t>
        </is>
      </c>
      <c r="I125" s="97" t="inlineStr">
        <is>
          <t>Ya</t>
        </is>
      </c>
      <c r="J125" s="126" t="inlineStr">
        <is>
          <t>Tidak</t>
        </is>
      </c>
      <c r="K125" s="97">
        <f>($Q$4/$Q$3)*(IF(B125="L",$T$15,$T$16))*(IF(C125="1-34 Bulan",$T$21,$T$22))*(IF(F125="Risiko Lebih",$T$27,IF(F125="Normal",$T$28,IF(F125="Kurang",$T$29,$T$30))))*(IF(G125="Normal",$T$35,IF(G125="Pendek",$T$36,$T$37)))*(IF(H125="Gizi Buruk",$T$42,IF(H125="Gizi Lebih",$T$43,IF(H125="Risiko Gizi Lebih",$T$44,IF(H125="Gizi Baik",$T$45,$T$46)))))*(IF(I125="Ya",$T$51,$T$52))</f>
        <v/>
      </c>
      <c r="L125" s="97">
        <f>($Q$5/$Q$3)*(IF(B125="L",$U$15,$U$16))*(IF(C125="1-34 Bulan",$U$21,$U$22))*(IF(F125="Risiko Lebih",$U$27,IF(F125="Normal",$U$28,IF(F125="Kurang",$U$29,$U$30))))*(IF(G125="Normal",$U$35,IF(G125="Pendek",$U$36,$U$37)))*(IF(H125="Gizi Buruk",$U$42,IF(H125="Gizi Lebih",$U$43,IF(H125="Risiko Gizi Lebih",$U$44,IF(H125="Gizi Baik",$U$45,$U$46)))))*(IF(I125="Ya",$U$51,$U$52))</f>
        <v/>
      </c>
      <c r="M125" s="97">
        <f>($Q$6/$Q$3)*(IF(B125="L",$V$15,$V$16))*(IF(C125="1-34 Bulan",$V$21,$V$22))*(IF(F125="Risiko Lebih",$V$27,IF(F125="Normal",$V$28,IF(F125="Kurang",$V$29,$V$30))))*(IF(G125="Normal",$V$35,IF(G125="Pendek",$V$36,$V$37)))*(IF(H125="Gizi Buruk",$V$42,IF(H125="Gizi Lebih",$V$43,IF(H125="Risiko Gizi Lebih",$V$44,IF(H125="Gizi Baik",$V$45,$V$46)))))*(IF(I125="Ya",$V$51,$V$52))</f>
        <v/>
      </c>
      <c r="N125" s="97">
        <f>IF(K125=MAX(K125,L125,M125),"Stunting",IF(L125=MAX(K125,L125,M125),"Potensi Stunting","Tidak"))</f>
        <v/>
      </c>
    </row>
    <row r="126" ht="15.75" customHeight="1" s="95">
      <c r="A126" s="97" t="inlineStr">
        <is>
          <t>anonymus0870</t>
        </is>
      </c>
      <c r="B126" s="97" t="inlineStr">
        <is>
          <t>L</t>
        </is>
      </c>
      <c r="C126" s="97" t="inlineStr">
        <is>
          <t>1-34 Bulan</t>
        </is>
      </c>
      <c r="D126" s="97" t="n">
        <v>8</v>
      </c>
      <c r="E126" s="97" t="n">
        <v>78</v>
      </c>
      <c r="F126" s="97" t="inlineStr">
        <is>
          <t>Kurang</t>
        </is>
      </c>
      <c r="G126" s="97" t="inlineStr">
        <is>
          <t>Normal</t>
        </is>
      </c>
      <c r="H126" s="97" t="inlineStr">
        <is>
          <t>Gizi Kurang</t>
        </is>
      </c>
      <c r="I126" s="97" t="inlineStr">
        <is>
          <t>Ya</t>
        </is>
      </c>
      <c r="J126" s="126" t="inlineStr">
        <is>
          <t>Tidak</t>
        </is>
      </c>
      <c r="K126" s="97">
        <f>($Q$4/$Q$3)*(IF(B126="L",$T$15,$T$16))*(IF(C126="1-34 Bulan",$T$21,$T$22))*(IF(F126="Risiko Lebih",$T$27,IF(F126="Normal",$T$28,IF(F126="Kurang",$T$29,$T$30))))*(IF(G126="Normal",$T$35,IF(G126="Pendek",$T$36,$T$37)))*(IF(H126="Gizi Buruk",$T$42,IF(H126="Gizi Lebih",$T$43,IF(H126="Risiko Gizi Lebih",$T$44,IF(H126="Gizi Baik",$T$45,$T$46)))))*(IF(I126="Ya",$T$51,$T$52))</f>
        <v/>
      </c>
      <c r="L126" s="97">
        <f>($Q$5/$Q$3)*(IF(B126="L",$U$15,$U$16))*(IF(C126="1-34 Bulan",$U$21,$U$22))*(IF(F126="Risiko Lebih",$U$27,IF(F126="Normal",$U$28,IF(F126="Kurang",$U$29,$U$30))))*(IF(G126="Normal",$U$35,IF(G126="Pendek",$U$36,$U$37)))*(IF(H126="Gizi Buruk",$U$42,IF(H126="Gizi Lebih",$U$43,IF(H126="Risiko Gizi Lebih",$U$44,IF(H126="Gizi Baik",$U$45,$U$46)))))*(IF(I126="Ya",$U$51,$U$52))</f>
        <v/>
      </c>
      <c r="M126" s="97">
        <f>($Q$6/$Q$3)*(IF(B126="L",$V$15,$V$16))*(IF(C126="1-34 Bulan",$V$21,$V$22))*(IF(F126="Risiko Lebih",$V$27,IF(F126="Normal",$V$28,IF(F126="Kurang",$V$29,$V$30))))*(IF(G126="Normal",$V$35,IF(G126="Pendek",$V$36,$V$37)))*(IF(H126="Gizi Buruk",$V$42,IF(H126="Gizi Lebih",$V$43,IF(H126="Risiko Gizi Lebih",$V$44,IF(H126="Gizi Baik",$V$45,$V$46)))))*(IF(I126="Ya",$V$51,$V$52))</f>
        <v/>
      </c>
      <c r="N126" s="97">
        <f>IF(K126=MAX(K126,L126,M126),"Stunting",IF(L126=MAX(K126,L126,M126),"Potensi Stunting","Tidak"))</f>
        <v/>
      </c>
    </row>
    <row r="127" ht="15.75" customHeight="1" s="95">
      <c r="A127" s="97" t="inlineStr">
        <is>
          <t>anonymus0871</t>
        </is>
      </c>
      <c r="B127" s="97" t="inlineStr">
        <is>
          <t>L</t>
        </is>
      </c>
      <c r="C127" s="97" t="inlineStr">
        <is>
          <t>35-69 Bulan</t>
        </is>
      </c>
      <c r="D127" s="97" t="inlineStr">
        <is>
          <t>17.4</t>
        </is>
      </c>
      <c r="E127" s="97" t="n">
        <v>104</v>
      </c>
      <c r="F127" s="97" t="inlineStr">
        <is>
          <t>Normal</t>
        </is>
      </c>
      <c r="G127" s="97" t="inlineStr">
        <is>
          <t>Normal</t>
        </is>
      </c>
      <c r="H127" s="97" t="inlineStr">
        <is>
          <t>Gizi Baik</t>
        </is>
      </c>
      <c r="I127" s="97" t="inlineStr">
        <is>
          <t>Ya</t>
        </is>
      </c>
      <c r="J127" s="126" t="inlineStr">
        <is>
          <t>Tidak</t>
        </is>
      </c>
      <c r="K127" s="97">
        <f>($Q$4/$Q$3)*(IF(B127="L",$T$15,$T$16))*(IF(C127="1-34 Bulan",$T$21,$T$22))*(IF(F127="Risiko Lebih",$T$27,IF(F127="Normal",$T$28,IF(F127="Kurang",$T$29,$T$30))))*(IF(G127="Normal",$T$35,IF(G127="Pendek",$T$36,$T$37)))*(IF(H127="Gizi Buruk",$T$42,IF(H127="Gizi Lebih",$T$43,IF(H127="Risiko Gizi Lebih",$T$44,IF(H127="Gizi Baik",$T$45,$T$46)))))*(IF(I127="Ya",$T$51,$T$52))</f>
        <v/>
      </c>
      <c r="L127" s="97">
        <f>($Q$5/$Q$3)*(IF(B127="L",$U$15,$U$16))*(IF(C127="1-34 Bulan",$U$21,$U$22))*(IF(F127="Risiko Lebih",$U$27,IF(F127="Normal",$U$28,IF(F127="Kurang",$U$29,$U$30))))*(IF(G127="Normal",$U$35,IF(G127="Pendek",$U$36,$U$37)))*(IF(H127="Gizi Buruk",$U$42,IF(H127="Gizi Lebih",$U$43,IF(H127="Risiko Gizi Lebih",$U$44,IF(H127="Gizi Baik",$U$45,$U$46)))))*(IF(I127="Ya",$U$51,$U$52))</f>
        <v/>
      </c>
      <c r="M127" s="97">
        <f>($Q$6/$Q$3)*(IF(B127="L",$V$15,$V$16))*(IF(C127="1-34 Bulan",$V$21,$V$22))*(IF(F127="Risiko Lebih",$V$27,IF(F127="Normal",$V$28,IF(F127="Kurang",$V$29,$V$30))))*(IF(G127="Normal",$V$35,IF(G127="Pendek",$V$36,$V$37)))*(IF(H127="Gizi Buruk",$V$42,IF(H127="Gizi Lebih",$V$43,IF(H127="Risiko Gizi Lebih",$V$44,IF(H127="Gizi Baik",$V$45,$V$46)))))*(IF(I127="Ya",$V$51,$V$52))</f>
        <v/>
      </c>
      <c r="N127" s="97">
        <f>IF(K127=MAX(K127,L127,M127),"Stunting",IF(L127=MAX(K127,L127,M127),"Potensi Stunting","Tidak"))</f>
        <v/>
      </c>
    </row>
    <row r="128" ht="15.75" customHeight="1" s="95">
      <c r="A128" s="97" t="inlineStr">
        <is>
          <t>anonymus0872</t>
        </is>
      </c>
      <c r="B128" s="97" t="inlineStr">
        <is>
          <t>L</t>
        </is>
      </c>
      <c r="C128" s="97" t="inlineStr">
        <is>
          <t>35-69 Bulan</t>
        </is>
      </c>
      <c r="D128" s="97" t="n">
        <v>13.7</v>
      </c>
      <c r="E128" s="97" t="n">
        <v>96</v>
      </c>
      <c r="F128" s="97" t="inlineStr">
        <is>
          <t>Normal</t>
        </is>
      </c>
      <c r="G128" s="97" t="inlineStr">
        <is>
          <t>Normal</t>
        </is>
      </c>
      <c r="H128" s="97" t="inlineStr">
        <is>
          <t>Gizi Baik</t>
        </is>
      </c>
      <c r="I128" s="97" t="inlineStr">
        <is>
          <t>Ya</t>
        </is>
      </c>
      <c r="J128" s="126" t="inlineStr">
        <is>
          <t>Tidak</t>
        </is>
      </c>
      <c r="K128" s="97">
        <f>($Q$4/$Q$3)*(IF(B128="L",$T$15,$T$16))*(IF(C128="1-34 Bulan",$T$21,$T$22))*(IF(F128="Risiko Lebih",$T$27,IF(F128="Normal",$T$28,IF(F128="Kurang",$T$29,$T$30))))*(IF(G128="Normal",$T$35,IF(G128="Pendek",$T$36,$T$37)))*(IF(H128="Gizi Buruk",$T$42,IF(H128="Gizi Lebih",$T$43,IF(H128="Risiko Gizi Lebih",$T$44,IF(H128="Gizi Baik",$T$45,$T$46)))))*(IF(I128="Ya",$T$51,$T$52))</f>
        <v/>
      </c>
      <c r="L128" s="97">
        <f>($Q$5/$Q$3)*(IF(B128="L",$U$15,$U$16))*(IF(C128="1-34 Bulan",$U$21,$U$22))*(IF(F128="Risiko Lebih",$U$27,IF(F128="Normal",$U$28,IF(F128="Kurang",$U$29,$U$30))))*(IF(G128="Normal",$U$35,IF(G128="Pendek",$U$36,$U$37)))*(IF(H128="Gizi Buruk",$U$42,IF(H128="Gizi Lebih",$U$43,IF(H128="Risiko Gizi Lebih",$U$44,IF(H128="Gizi Baik",$U$45,$U$46)))))*(IF(I128="Ya",$U$51,$U$52))</f>
        <v/>
      </c>
      <c r="M128" s="97">
        <f>($Q$6/$Q$3)*(IF(B128="L",$V$15,$V$16))*(IF(C128="1-34 Bulan",$V$21,$V$22))*(IF(F128="Risiko Lebih",$V$27,IF(F128="Normal",$V$28,IF(F128="Kurang",$V$29,$V$30))))*(IF(G128="Normal",$V$35,IF(G128="Pendek",$V$36,$V$37)))*(IF(H128="Gizi Buruk",$V$42,IF(H128="Gizi Lebih",$V$43,IF(H128="Risiko Gizi Lebih",$V$44,IF(H128="Gizi Baik",$V$45,$V$46)))))*(IF(I128="Ya",$V$51,$V$52))</f>
        <v/>
      </c>
      <c r="N128" s="97">
        <f>IF(K128=MAX(K128,L128,M128),"Stunting",IF(L128=MAX(K128,L128,M128),"Potensi Stunting","Tidak"))</f>
        <v/>
      </c>
    </row>
    <row r="129" ht="15.75" customHeight="1" s="95">
      <c r="A129" s="97" t="inlineStr">
        <is>
          <t>anonymus0873</t>
        </is>
      </c>
      <c r="B129" s="97" t="inlineStr">
        <is>
          <t>L</t>
        </is>
      </c>
      <c r="C129" s="97" t="inlineStr">
        <is>
          <t>1-34 Bulan</t>
        </is>
      </c>
      <c r="D129" s="97" t="inlineStr">
        <is>
          <t>13.5</t>
        </is>
      </c>
      <c r="E129" s="97" t="n">
        <v>87</v>
      </c>
      <c r="F129" s="97" t="inlineStr">
        <is>
          <t>Normal</t>
        </is>
      </c>
      <c r="G129" s="97" t="inlineStr">
        <is>
          <t>Normal</t>
        </is>
      </c>
      <c r="H129" s="97" t="inlineStr">
        <is>
          <t>Risiko Gizi Lebih</t>
        </is>
      </c>
      <c r="I129" s="97" t="inlineStr">
        <is>
          <t>Ya</t>
        </is>
      </c>
      <c r="J129" s="126" t="inlineStr">
        <is>
          <t>Tidak</t>
        </is>
      </c>
      <c r="K129" s="97">
        <f>($Q$4/$Q$3)*(IF(B129="L",$T$15,$T$16))*(IF(C129="1-34 Bulan",$T$21,$T$22))*(IF(F129="Risiko Lebih",$T$27,IF(F129="Normal",$T$28,IF(F129="Kurang",$T$29,$T$30))))*(IF(G129="Normal",$T$35,IF(G129="Pendek",$T$36,$T$37)))*(IF(H129="Gizi Buruk",$T$42,IF(H129="Gizi Lebih",$T$43,IF(H129="Risiko Gizi Lebih",$T$44,IF(H129="Gizi Baik",$T$45,$T$46)))))*(IF(I129="Ya",$T$51,$T$52))</f>
        <v/>
      </c>
      <c r="L129" s="97">
        <f>($Q$5/$Q$3)*(IF(B129="L",$U$15,$U$16))*(IF(C129="1-34 Bulan",$U$21,$U$22))*(IF(F129="Risiko Lebih",$U$27,IF(F129="Normal",$U$28,IF(F129="Kurang",$U$29,$U$30))))*(IF(G129="Normal",$U$35,IF(G129="Pendek",$U$36,$U$37)))*(IF(H129="Gizi Buruk",$U$42,IF(H129="Gizi Lebih",$U$43,IF(H129="Risiko Gizi Lebih",$U$44,IF(H129="Gizi Baik",$U$45,$U$46)))))*(IF(I129="Ya",$U$51,$U$52))</f>
        <v/>
      </c>
      <c r="M129" s="97">
        <f>($Q$6/$Q$3)*(IF(B129="L",$V$15,$V$16))*(IF(C129="1-34 Bulan",$V$21,$V$22))*(IF(F129="Risiko Lebih",$V$27,IF(F129="Normal",$V$28,IF(F129="Kurang",$V$29,$V$30))))*(IF(G129="Normal",$V$35,IF(G129="Pendek",$V$36,$V$37)))*(IF(H129="Gizi Buruk",$V$42,IF(H129="Gizi Lebih",$V$43,IF(H129="Risiko Gizi Lebih",$V$44,IF(H129="Gizi Baik",$V$45,$V$46)))))*(IF(I129="Ya",$V$51,$V$52))</f>
        <v/>
      </c>
      <c r="N129" s="97">
        <f>IF(K129=MAX(K129,L129,M129),"Stunting",IF(L129=MAX(K129,L129,M129),"Potensi Stunting","Tidak"))</f>
        <v/>
      </c>
    </row>
    <row r="130" ht="15.75" customHeight="1" s="95">
      <c r="A130" s="97" t="inlineStr">
        <is>
          <t>anonymus0874</t>
        </is>
      </c>
      <c r="B130" s="97" t="inlineStr">
        <is>
          <t>L</t>
        </is>
      </c>
      <c r="C130" s="97" t="inlineStr">
        <is>
          <t>1-34 Bulan</t>
        </is>
      </c>
      <c r="D130" s="97" t="n">
        <v>9.5</v>
      </c>
      <c r="E130" s="97" t="n">
        <v>85</v>
      </c>
      <c r="F130" s="97" t="inlineStr">
        <is>
          <t>Sangat Kurang</t>
        </is>
      </c>
      <c r="G130" s="97" t="inlineStr">
        <is>
          <t>Pendek</t>
        </is>
      </c>
      <c r="H130" s="97" t="inlineStr">
        <is>
          <t>Gizi Kurang</t>
        </is>
      </c>
      <c r="I130" s="97" t="inlineStr">
        <is>
          <t>Tidak</t>
        </is>
      </c>
      <c r="J130" s="126" t="inlineStr">
        <is>
          <t>Potensi Stunting</t>
        </is>
      </c>
      <c r="K130" s="97">
        <f>($Q$4/$Q$3)*(IF(B130="L",$T$15,$T$16))*(IF(C130="1-34 Bulan",$T$21,$T$22))*(IF(F130="Risiko Lebih",$T$27,IF(F130="Normal",$T$28,IF(F130="Kurang",$T$29,$T$30))))*(IF(G130="Normal",$T$35,IF(G130="Pendek",$T$36,$T$37)))*(IF(H130="Gizi Buruk",$T$42,IF(H130="Gizi Lebih",$T$43,IF(H130="Risiko Gizi Lebih",$T$44,IF(H130="Gizi Baik",$T$45,$T$46)))))*(IF(I130="Ya",$T$51,$T$52))</f>
        <v/>
      </c>
      <c r="L130" s="97">
        <f>($Q$5/$Q$3)*(IF(B130="L",$U$15,$U$16))*(IF(C130="1-34 Bulan",$U$21,$U$22))*(IF(F130="Risiko Lebih",$U$27,IF(F130="Normal",$U$28,IF(F130="Kurang",$U$29,$U$30))))*(IF(G130="Normal",$U$35,IF(G130="Pendek",$U$36,$U$37)))*(IF(H130="Gizi Buruk",$U$42,IF(H130="Gizi Lebih",$U$43,IF(H130="Risiko Gizi Lebih",$U$44,IF(H130="Gizi Baik",$U$45,$U$46)))))*(IF(I130="Ya",$U$51,$U$52))</f>
        <v/>
      </c>
      <c r="M130" s="97">
        <f>($Q$6/$Q$3)*(IF(B130="L",$V$15,$V$16))*(IF(C130="1-34 Bulan",$V$21,$V$22))*(IF(F130="Risiko Lebih",$V$27,IF(F130="Normal",$V$28,IF(F130="Kurang",$V$29,$V$30))))*(IF(G130="Normal",$V$35,IF(G130="Pendek",$V$36,$V$37)))*(IF(H130="Gizi Buruk",$V$42,IF(H130="Gizi Lebih",$V$43,IF(H130="Risiko Gizi Lebih",$V$44,IF(H130="Gizi Baik",$V$45,$V$46)))))*(IF(I130="Ya",$V$51,$V$52))</f>
        <v/>
      </c>
      <c r="N130" s="97">
        <f>IF(K130=MAX(K130,L130,M130),"Stunting",IF(L130=MAX(K130,L130,M130),"Potensi Stunting","Tidak"))</f>
        <v/>
      </c>
    </row>
    <row r="131" ht="15.75" customHeight="1" s="95">
      <c r="A131" s="97" t="inlineStr">
        <is>
          <t>anonymus0875</t>
        </is>
      </c>
      <c r="B131" s="97" t="inlineStr">
        <is>
          <t>L</t>
        </is>
      </c>
      <c r="C131" s="97" t="inlineStr">
        <is>
          <t>35-69 Bulan</t>
        </is>
      </c>
      <c r="D131" s="97" t="inlineStr">
        <is>
          <t>14.5</t>
        </is>
      </c>
      <c r="E131" s="97" t="n">
        <v>105</v>
      </c>
      <c r="F131" s="97" t="inlineStr">
        <is>
          <t>Normal</t>
        </is>
      </c>
      <c r="G131" s="97" t="inlineStr">
        <is>
          <t>Normal</t>
        </is>
      </c>
      <c r="H131" s="97" t="inlineStr">
        <is>
          <t>Gizi Baik</t>
        </is>
      </c>
      <c r="I131" s="97" t="inlineStr">
        <is>
          <t>Ya</t>
        </is>
      </c>
      <c r="J131" s="126" t="inlineStr">
        <is>
          <t>Tidak</t>
        </is>
      </c>
      <c r="K131" s="97">
        <f>($Q$4/$Q$3)*(IF(B131="L",$T$15,$T$16))*(IF(C131="1-34 Bulan",$T$21,$T$22))*(IF(F131="Risiko Lebih",$T$27,IF(F131="Normal",$T$28,IF(F131="Kurang",$T$29,$T$30))))*(IF(G131="Normal",$T$35,IF(G131="Pendek",$T$36,$T$37)))*(IF(H131="Gizi Buruk",$T$42,IF(H131="Gizi Lebih",$T$43,IF(H131="Risiko Gizi Lebih",$T$44,IF(H131="Gizi Baik",$T$45,$T$46)))))*(IF(I131="Ya",$T$51,$T$52))</f>
        <v/>
      </c>
      <c r="L131" s="97">
        <f>($Q$5/$Q$3)*(IF(B131="L",$U$15,$U$16))*(IF(C131="1-34 Bulan",$U$21,$U$22))*(IF(F131="Risiko Lebih",$U$27,IF(F131="Normal",$U$28,IF(F131="Kurang",$U$29,$U$30))))*(IF(G131="Normal",$U$35,IF(G131="Pendek",$U$36,$U$37)))*(IF(H131="Gizi Buruk",$U$42,IF(H131="Gizi Lebih",$U$43,IF(H131="Risiko Gizi Lebih",$U$44,IF(H131="Gizi Baik",$U$45,$U$46)))))*(IF(I131="Ya",$U$51,$U$52))</f>
        <v/>
      </c>
      <c r="M131" s="97">
        <f>($Q$6/$Q$3)*(IF(B131="L",$V$15,$V$16))*(IF(C131="1-34 Bulan",$V$21,$V$22))*(IF(F131="Risiko Lebih",$V$27,IF(F131="Normal",$V$28,IF(F131="Kurang",$V$29,$V$30))))*(IF(G131="Normal",$V$35,IF(G131="Pendek",$V$36,$V$37)))*(IF(H131="Gizi Buruk",$V$42,IF(H131="Gizi Lebih",$V$43,IF(H131="Risiko Gizi Lebih",$V$44,IF(H131="Gizi Baik",$V$45,$V$46)))))*(IF(I131="Ya",$V$51,$V$52))</f>
        <v/>
      </c>
      <c r="N131" s="97">
        <f>IF(K131=MAX(K131,L131,M131),"Stunting",IF(L131=MAX(K131,L131,M131),"Potensi Stunting","Tidak"))</f>
        <v/>
      </c>
    </row>
    <row r="132" ht="15.75" customHeight="1" s="95">
      <c r="A132" s="97" t="inlineStr">
        <is>
          <t>anonymus0876</t>
        </is>
      </c>
      <c r="B132" s="97" t="inlineStr">
        <is>
          <t>L</t>
        </is>
      </c>
      <c r="C132" s="97" t="inlineStr">
        <is>
          <t>35-69 Bulan</t>
        </is>
      </c>
      <c r="D132" s="97" t="n">
        <v>15.2</v>
      </c>
      <c r="E132" s="97" t="n">
        <v>110</v>
      </c>
      <c r="F132" s="97" t="inlineStr">
        <is>
          <t>Normal</t>
        </is>
      </c>
      <c r="G132" s="97" t="inlineStr">
        <is>
          <t>Normal</t>
        </is>
      </c>
      <c r="H132" s="97" t="inlineStr">
        <is>
          <t>Gizi Baik</t>
        </is>
      </c>
      <c r="I132" s="97" t="inlineStr">
        <is>
          <t>Ya</t>
        </is>
      </c>
      <c r="J132" s="126" t="inlineStr">
        <is>
          <t>Tidak</t>
        </is>
      </c>
      <c r="K132" s="97">
        <f>($Q$4/$Q$3)*(IF(B132="L",$T$15,$T$16))*(IF(C132="1-34 Bulan",$T$21,$T$22))*(IF(F132="Risiko Lebih",$T$27,IF(F132="Normal",$T$28,IF(F132="Kurang",$T$29,$T$30))))*(IF(G132="Normal",$T$35,IF(G132="Pendek",$T$36,$T$37)))*(IF(H132="Gizi Buruk",$T$42,IF(H132="Gizi Lebih",$T$43,IF(H132="Risiko Gizi Lebih",$T$44,IF(H132="Gizi Baik",$T$45,$T$46)))))*(IF(I132="Ya",$T$51,$T$52))</f>
        <v/>
      </c>
      <c r="L132" s="97">
        <f>($Q$5/$Q$3)*(IF(B132="L",$U$15,$U$16))*(IF(C132="1-34 Bulan",$U$21,$U$22))*(IF(F132="Risiko Lebih",$U$27,IF(F132="Normal",$U$28,IF(F132="Kurang",$U$29,$U$30))))*(IF(G132="Normal",$U$35,IF(G132="Pendek",$U$36,$U$37)))*(IF(H132="Gizi Buruk",$U$42,IF(H132="Gizi Lebih",$U$43,IF(H132="Risiko Gizi Lebih",$U$44,IF(H132="Gizi Baik",$U$45,$U$46)))))*(IF(I132="Ya",$U$51,$U$52))</f>
        <v/>
      </c>
      <c r="M132" s="97">
        <f>($Q$6/$Q$3)*(IF(B132="L",$V$15,$V$16))*(IF(C132="1-34 Bulan",$V$21,$V$22))*(IF(F132="Risiko Lebih",$V$27,IF(F132="Normal",$V$28,IF(F132="Kurang",$V$29,$V$30))))*(IF(G132="Normal",$V$35,IF(G132="Pendek",$V$36,$V$37)))*(IF(H132="Gizi Buruk",$V$42,IF(H132="Gizi Lebih",$V$43,IF(H132="Risiko Gizi Lebih",$V$44,IF(H132="Gizi Baik",$V$45,$V$46)))))*(IF(I132="Ya",$V$51,$V$52))</f>
        <v/>
      </c>
      <c r="N132" s="97">
        <f>IF(K132=MAX(K132,L132,M132),"Stunting",IF(L132=MAX(K132,L132,M132),"Potensi Stunting","Tidak"))</f>
        <v/>
      </c>
    </row>
    <row r="133" ht="15.75" customHeight="1" s="95">
      <c r="A133" s="97" t="inlineStr">
        <is>
          <t>anonymus0877</t>
        </is>
      </c>
      <c r="B133" s="97" t="inlineStr">
        <is>
          <t>P</t>
        </is>
      </c>
      <c r="C133" s="97" t="inlineStr">
        <is>
          <t>35-69 Bulan</t>
        </is>
      </c>
      <c r="D133" s="97" t="n">
        <v>16.7</v>
      </c>
      <c r="E133" s="97" t="n">
        <v>97</v>
      </c>
      <c r="F133" s="97" t="inlineStr">
        <is>
          <t>Normal</t>
        </is>
      </c>
      <c r="G133" s="97" t="inlineStr">
        <is>
          <t>Normal</t>
        </is>
      </c>
      <c r="H133" s="97" t="inlineStr">
        <is>
          <t>Gizi Baik</t>
        </is>
      </c>
      <c r="I133" s="97" t="inlineStr">
        <is>
          <t>Ya</t>
        </is>
      </c>
      <c r="J133" s="126" t="inlineStr">
        <is>
          <t>Tidak</t>
        </is>
      </c>
      <c r="K133" s="97">
        <f>($Q$4/$Q$3)*(IF(B133="L",$T$15,$T$16))*(IF(C133="1-34 Bulan",$T$21,$T$22))*(IF(F133="Risiko Lebih",$T$27,IF(F133="Normal",$T$28,IF(F133="Kurang",$T$29,$T$30))))*(IF(G133="Normal",$T$35,IF(G133="Pendek",$T$36,$T$37)))*(IF(H133="Gizi Buruk",$T$42,IF(H133="Gizi Lebih",$T$43,IF(H133="Risiko Gizi Lebih",$T$44,IF(H133="Gizi Baik",$T$45,$T$46)))))*(IF(I133="Ya",$T$51,$T$52))</f>
        <v/>
      </c>
      <c r="L133" s="97">
        <f>($Q$5/$Q$3)*(IF(B133="L",$U$15,$U$16))*(IF(C133="1-34 Bulan",$U$21,$U$22))*(IF(F133="Risiko Lebih",$U$27,IF(F133="Normal",$U$28,IF(F133="Kurang",$U$29,$U$30))))*(IF(G133="Normal",$U$35,IF(G133="Pendek",$U$36,$U$37)))*(IF(H133="Gizi Buruk",$U$42,IF(H133="Gizi Lebih",$U$43,IF(H133="Risiko Gizi Lebih",$U$44,IF(H133="Gizi Baik",$U$45,$U$46)))))*(IF(I133="Ya",$U$51,$U$52))</f>
        <v/>
      </c>
      <c r="M133" s="97">
        <f>($Q$6/$Q$3)*(IF(B133="L",$V$15,$V$16))*(IF(C133="1-34 Bulan",$V$21,$V$22))*(IF(F133="Risiko Lebih",$V$27,IF(F133="Normal",$V$28,IF(F133="Kurang",$V$29,$V$30))))*(IF(G133="Normal",$V$35,IF(G133="Pendek",$V$36,$V$37)))*(IF(H133="Gizi Buruk",$V$42,IF(H133="Gizi Lebih",$V$43,IF(H133="Risiko Gizi Lebih",$V$44,IF(H133="Gizi Baik",$V$45,$V$46)))))*(IF(I133="Ya",$V$51,$V$52))</f>
        <v/>
      </c>
      <c r="N133" s="97">
        <f>IF(K133=MAX(K133,L133,M133),"Stunting",IF(L133=MAX(K133,L133,M133),"Potensi Stunting","Tidak"))</f>
        <v/>
      </c>
    </row>
    <row r="134" ht="15.75" customHeight="1" s="95">
      <c r="A134" s="97" t="inlineStr">
        <is>
          <t>anonymus0878</t>
        </is>
      </c>
      <c r="B134" s="97" t="inlineStr">
        <is>
          <t>L</t>
        </is>
      </c>
      <c r="C134" s="97" t="inlineStr">
        <is>
          <t>35-69 Bulan</t>
        </is>
      </c>
      <c r="D134" s="97" t="n">
        <v>14.5</v>
      </c>
      <c r="E134" s="97" t="n">
        <v>109</v>
      </c>
      <c r="F134" s="97" t="inlineStr">
        <is>
          <t>Normal</t>
        </is>
      </c>
      <c r="G134" s="97" t="inlineStr">
        <is>
          <t>Normal</t>
        </is>
      </c>
      <c r="H134" s="97" t="inlineStr">
        <is>
          <t>Gizi Baik</t>
        </is>
      </c>
      <c r="I134" s="97" t="inlineStr">
        <is>
          <t>Ya</t>
        </is>
      </c>
      <c r="J134" s="126" t="inlineStr">
        <is>
          <t>Tidak</t>
        </is>
      </c>
      <c r="K134" s="97">
        <f>($Q$4/$Q$3)*(IF(B134="L",$T$15,$T$16))*(IF(C134="1-34 Bulan",$T$21,$T$22))*(IF(F134="Risiko Lebih",$T$27,IF(F134="Normal",$T$28,IF(F134="Kurang",$T$29,$T$30))))*(IF(G134="Normal",$T$35,IF(G134="Pendek",$T$36,$T$37)))*(IF(H134="Gizi Buruk",$T$42,IF(H134="Gizi Lebih",$T$43,IF(H134="Risiko Gizi Lebih",$T$44,IF(H134="Gizi Baik",$T$45,$T$46)))))*(IF(I134="Ya",$T$51,$T$52))</f>
        <v/>
      </c>
      <c r="L134" s="97">
        <f>($Q$5/$Q$3)*(IF(B134="L",$U$15,$U$16))*(IF(C134="1-34 Bulan",$U$21,$U$22))*(IF(F134="Risiko Lebih",$U$27,IF(F134="Normal",$U$28,IF(F134="Kurang",$U$29,$U$30))))*(IF(G134="Normal",$U$35,IF(G134="Pendek",$U$36,$U$37)))*(IF(H134="Gizi Buruk",$U$42,IF(H134="Gizi Lebih",$U$43,IF(H134="Risiko Gizi Lebih",$U$44,IF(H134="Gizi Baik",$U$45,$U$46)))))*(IF(I134="Ya",$U$51,$U$52))</f>
        <v/>
      </c>
      <c r="M134" s="97">
        <f>($Q$6/$Q$3)*(IF(B134="L",$V$15,$V$16))*(IF(C134="1-34 Bulan",$V$21,$V$22))*(IF(F134="Risiko Lebih",$V$27,IF(F134="Normal",$V$28,IF(F134="Kurang",$V$29,$V$30))))*(IF(G134="Normal",$V$35,IF(G134="Pendek",$V$36,$V$37)))*(IF(H134="Gizi Buruk",$V$42,IF(H134="Gizi Lebih",$V$43,IF(H134="Risiko Gizi Lebih",$V$44,IF(H134="Gizi Baik",$V$45,$V$46)))))*(IF(I134="Ya",$V$51,$V$52))</f>
        <v/>
      </c>
      <c r="N134" s="97">
        <f>IF(K134=MAX(K134,L134,M134),"Stunting",IF(L134=MAX(K134,L134,M134),"Potensi Stunting","Tidak"))</f>
        <v/>
      </c>
    </row>
    <row r="135" ht="15.75" customHeight="1" s="95">
      <c r="A135" s="97" t="inlineStr">
        <is>
          <t>anonymus0879</t>
        </is>
      </c>
      <c r="B135" s="97" t="inlineStr">
        <is>
          <t>L</t>
        </is>
      </c>
      <c r="C135" s="97" t="inlineStr">
        <is>
          <t>35-69 Bulan</t>
        </is>
      </c>
      <c r="D135" s="97" t="n">
        <v>16.2</v>
      </c>
      <c r="E135" s="97" t="n">
        <v>112</v>
      </c>
      <c r="F135" s="97" t="inlineStr">
        <is>
          <t>Normal</t>
        </is>
      </c>
      <c r="G135" s="97" t="inlineStr">
        <is>
          <t>Normal</t>
        </is>
      </c>
      <c r="H135" s="97" t="inlineStr">
        <is>
          <t>Gizi Baik</t>
        </is>
      </c>
      <c r="I135" s="97" t="inlineStr">
        <is>
          <t>Ya</t>
        </is>
      </c>
      <c r="J135" s="126" t="inlineStr">
        <is>
          <t>Tidak</t>
        </is>
      </c>
      <c r="K135" s="97">
        <f>($Q$4/$Q$3)*(IF(B135="L",$T$15,$T$16))*(IF(C135="1-34 Bulan",$T$21,$T$22))*(IF(F135="Risiko Lebih",$T$27,IF(F135="Normal",$T$28,IF(F135="Kurang",$T$29,$T$30))))*(IF(G135="Normal",$T$35,IF(G135="Pendek",$T$36,$T$37)))*(IF(H135="Gizi Buruk",$T$42,IF(H135="Gizi Lebih",$T$43,IF(H135="Risiko Gizi Lebih",$T$44,IF(H135="Gizi Baik",$T$45,$T$46)))))*(IF(I135="Ya",$T$51,$T$52))</f>
        <v/>
      </c>
      <c r="L135" s="97">
        <f>($Q$5/$Q$3)*(IF(B135="L",$U$15,$U$16))*(IF(C135="1-34 Bulan",$U$21,$U$22))*(IF(F135="Risiko Lebih",$U$27,IF(F135="Normal",$U$28,IF(F135="Kurang",$U$29,$U$30))))*(IF(G135="Normal",$U$35,IF(G135="Pendek",$U$36,$U$37)))*(IF(H135="Gizi Buruk",$U$42,IF(H135="Gizi Lebih",$U$43,IF(H135="Risiko Gizi Lebih",$U$44,IF(H135="Gizi Baik",$U$45,$U$46)))))*(IF(I135="Ya",$U$51,$U$52))</f>
        <v/>
      </c>
      <c r="M135" s="97">
        <f>($Q$6/$Q$3)*(IF(B135="L",$V$15,$V$16))*(IF(C135="1-34 Bulan",$V$21,$V$22))*(IF(F135="Risiko Lebih",$V$27,IF(F135="Normal",$V$28,IF(F135="Kurang",$V$29,$V$30))))*(IF(G135="Normal",$V$35,IF(G135="Pendek",$V$36,$V$37)))*(IF(H135="Gizi Buruk",$V$42,IF(H135="Gizi Lebih",$V$43,IF(H135="Risiko Gizi Lebih",$V$44,IF(H135="Gizi Baik",$V$45,$V$46)))))*(IF(I135="Ya",$V$51,$V$52))</f>
        <v/>
      </c>
      <c r="N135" s="97">
        <f>IF(K135=MAX(K135,L135,M135),"Stunting",IF(L135=MAX(K135,L135,M135),"Potensi Stunting","Tidak"))</f>
        <v/>
      </c>
    </row>
    <row r="136" ht="15.75" customHeight="1" s="95">
      <c r="A136" s="97" t="inlineStr">
        <is>
          <t>anonymus0880</t>
        </is>
      </c>
      <c r="B136" s="97" t="inlineStr">
        <is>
          <t>L</t>
        </is>
      </c>
      <c r="C136" s="97" t="inlineStr">
        <is>
          <t>35-69 Bulan</t>
        </is>
      </c>
      <c r="D136" s="97" t="n">
        <v>21</v>
      </c>
      <c r="E136" s="97" t="n">
        <v>105</v>
      </c>
      <c r="F136" s="97" t="inlineStr">
        <is>
          <t>Risiko Lebih</t>
        </is>
      </c>
      <c r="G136" s="97" t="inlineStr">
        <is>
          <t>Normal</t>
        </is>
      </c>
      <c r="H136" s="97" t="inlineStr">
        <is>
          <t>Gizi Lebih</t>
        </is>
      </c>
      <c r="I136" s="97" t="inlineStr">
        <is>
          <t>Ya</t>
        </is>
      </c>
      <c r="J136" s="126" t="inlineStr">
        <is>
          <t>Tidak</t>
        </is>
      </c>
      <c r="K136" s="97">
        <f>($Q$4/$Q$3)*(IF(B136="L",$T$15,$T$16))*(IF(C136="1-34 Bulan",$T$21,$T$22))*(IF(F136="Risiko Lebih",$T$27,IF(F136="Normal",$T$28,IF(F136="Kurang",$T$29,$T$30))))*(IF(G136="Normal",$T$35,IF(G136="Pendek",$T$36,$T$37)))*(IF(H136="Gizi Buruk",$T$42,IF(H136="Gizi Lebih",$T$43,IF(H136="Risiko Gizi Lebih",$T$44,IF(H136="Gizi Baik",$T$45,$T$46)))))*(IF(I136="Ya",$T$51,$T$52))</f>
        <v/>
      </c>
      <c r="L136" s="97">
        <f>($Q$5/$Q$3)*(IF(B136="L",$U$15,$U$16))*(IF(C136="1-34 Bulan",$U$21,$U$22))*(IF(F136="Risiko Lebih",$U$27,IF(F136="Normal",$U$28,IF(F136="Kurang",$U$29,$U$30))))*(IF(G136="Normal",$U$35,IF(G136="Pendek",$U$36,$U$37)))*(IF(H136="Gizi Buruk",$U$42,IF(H136="Gizi Lebih",$U$43,IF(H136="Risiko Gizi Lebih",$U$44,IF(H136="Gizi Baik",$U$45,$U$46)))))*(IF(I136="Ya",$U$51,$U$52))</f>
        <v/>
      </c>
      <c r="M136" s="97">
        <f>($Q$6/$Q$3)*(IF(B136="L",$V$15,$V$16))*(IF(C136="1-34 Bulan",$V$21,$V$22))*(IF(F136="Risiko Lebih",$V$27,IF(F136="Normal",$V$28,IF(F136="Kurang",$V$29,$V$30))))*(IF(G136="Normal",$V$35,IF(G136="Pendek",$V$36,$V$37)))*(IF(H136="Gizi Buruk",$V$42,IF(H136="Gizi Lebih",$V$43,IF(H136="Risiko Gizi Lebih",$V$44,IF(H136="Gizi Baik",$V$45,$V$46)))))*(IF(I136="Ya",$V$51,$V$52))</f>
        <v/>
      </c>
      <c r="N136" s="97">
        <f>IF(K136=MAX(K136,L136,M136),"Stunting",IF(L136=MAX(K136,L136,M136),"Potensi Stunting","Tidak"))</f>
        <v/>
      </c>
    </row>
    <row r="137" ht="15.75" customHeight="1" s="95">
      <c r="A137" s="97" t="inlineStr">
        <is>
          <t>anonymus0881</t>
        </is>
      </c>
      <c r="B137" s="97" t="inlineStr">
        <is>
          <t>L</t>
        </is>
      </c>
      <c r="C137" s="97" t="inlineStr">
        <is>
          <t>1-34 Bulan</t>
        </is>
      </c>
      <c r="D137" s="97" t="inlineStr">
        <is>
          <t>12.1</t>
        </is>
      </c>
      <c r="E137" s="97" t="n">
        <v>86</v>
      </c>
      <c r="F137" s="97" t="inlineStr">
        <is>
          <t>Normal</t>
        </is>
      </c>
      <c r="G137" s="97" t="inlineStr">
        <is>
          <t>Normal</t>
        </is>
      </c>
      <c r="H137" s="97" t="inlineStr">
        <is>
          <t>Gizi Baik</t>
        </is>
      </c>
      <c r="I137" s="97" t="inlineStr">
        <is>
          <t>Ya</t>
        </is>
      </c>
      <c r="J137" s="126" t="inlineStr">
        <is>
          <t>Tidak</t>
        </is>
      </c>
      <c r="K137" s="97">
        <f>($Q$4/$Q$3)*(IF(B137="L",$T$15,$T$16))*(IF(C137="1-34 Bulan",$T$21,$T$22))*(IF(F137="Risiko Lebih",$T$27,IF(F137="Normal",$T$28,IF(F137="Kurang",$T$29,$T$30))))*(IF(G137="Normal",$T$35,IF(G137="Pendek",$T$36,$T$37)))*(IF(H137="Gizi Buruk",$T$42,IF(H137="Gizi Lebih",$T$43,IF(H137="Risiko Gizi Lebih",$T$44,IF(H137="Gizi Baik",$T$45,$T$46)))))*(IF(I137="Ya",$T$51,$T$52))</f>
        <v/>
      </c>
      <c r="L137" s="97">
        <f>($Q$5/$Q$3)*(IF(B137="L",$U$15,$U$16))*(IF(C137="1-34 Bulan",$U$21,$U$22))*(IF(F137="Risiko Lebih",$U$27,IF(F137="Normal",$U$28,IF(F137="Kurang",$U$29,$U$30))))*(IF(G137="Normal",$U$35,IF(G137="Pendek",$U$36,$U$37)))*(IF(H137="Gizi Buruk",$U$42,IF(H137="Gizi Lebih",$U$43,IF(H137="Risiko Gizi Lebih",$U$44,IF(H137="Gizi Baik",$U$45,$U$46)))))*(IF(I137="Ya",$U$51,$U$52))</f>
        <v/>
      </c>
      <c r="M137" s="97">
        <f>($Q$6/$Q$3)*(IF(B137="L",$V$15,$V$16))*(IF(C137="1-34 Bulan",$V$21,$V$22))*(IF(F137="Risiko Lebih",$V$27,IF(F137="Normal",$V$28,IF(F137="Kurang",$V$29,$V$30))))*(IF(G137="Normal",$V$35,IF(G137="Pendek",$V$36,$V$37)))*(IF(H137="Gizi Buruk",$V$42,IF(H137="Gizi Lebih",$V$43,IF(H137="Risiko Gizi Lebih",$V$44,IF(H137="Gizi Baik",$V$45,$V$46)))))*(IF(I137="Ya",$V$51,$V$52))</f>
        <v/>
      </c>
      <c r="N137" s="97">
        <f>IF(K137=MAX(K137,L137,M137),"Stunting",IF(L137=MAX(K137,L137,M137),"Potensi Stunting","Tidak"))</f>
        <v/>
      </c>
    </row>
    <row r="138" ht="15.75" customHeight="1" s="95">
      <c r="A138" s="97" t="inlineStr">
        <is>
          <t>anonymus0882</t>
        </is>
      </c>
      <c r="B138" s="97" t="inlineStr">
        <is>
          <t>L</t>
        </is>
      </c>
      <c r="C138" s="97" t="inlineStr">
        <is>
          <t>1-34 Bulan</t>
        </is>
      </c>
      <c r="D138" s="97" t="inlineStr">
        <is>
          <t>16.5</t>
        </is>
      </c>
      <c r="E138" s="97" t="n">
        <v>105</v>
      </c>
      <c r="F138" s="97" t="inlineStr">
        <is>
          <t>Normal</t>
        </is>
      </c>
      <c r="G138" s="97" t="inlineStr">
        <is>
          <t>Normal</t>
        </is>
      </c>
      <c r="H138" s="97" t="inlineStr">
        <is>
          <t>Gizi Baik</t>
        </is>
      </c>
      <c r="I138" s="97" t="inlineStr">
        <is>
          <t>Ya</t>
        </is>
      </c>
      <c r="J138" s="126" t="inlineStr">
        <is>
          <t>Tidak</t>
        </is>
      </c>
      <c r="K138" s="97">
        <f>($Q$4/$Q$3)*(IF(B138="L",$T$15,$T$16))*(IF(C138="1-34 Bulan",$T$21,$T$22))*(IF(F138="Risiko Lebih",$T$27,IF(F138="Normal",$T$28,IF(F138="Kurang",$T$29,$T$30))))*(IF(G138="Normal",$T$35,IF(G138="Pendek",$T$36,$T$37)))*(IF(H138="Gizi Buruk",$T$42,IF(H138="Gizi Lebih",$T$43,IF(H138="Risiko Gizi Lebih",$T$44,IF(H138="Gizi Baik",$T$45,$T$46)))))*(IF(I138="Ya",$T$51,$T$52))</f>
        <v/>
      </c>
      <c r="L138" s="97">
        <f>($Q$5/$Q$3)*(IF(B138="L",$U$15,$U$16))*(IF(C138="1-34 Bulan",$U$21,$U$22))*(IF(F138="Risiko Lebih",$U$27,IF(F138="Normal",$U$28,IF(F138="Kurang",$U$29,$U$30))))*(IF(G138="Normal",$U$35,IF(G138="Pendek",$U$36,$U$37)))*(IF(H138="Gizi Buruk",$U$42,IF(H138="Gizi Lebih",$U$43,IF(H138="Risiko Gizi Lebih",$U$44,IF(H138="Gizi Baik",$U$45,$U$46)))))*(IF(I138="Ya",$U$51,$U$52))</f>
        <v/>
      </c>
      <c r="M138" s="97">
        <f>($Q$6/$Q$3)*(IF(B138="L",$V$15,$V$16))*(IF(C138="1-34 Bulan",$V$21,$V$22))*(IF(F138="Risiko Lebih",$V$27,IF(F138="Normal",$V$28,IF(F138="Kurang",$V$29,$V$30))))*(IF(G138="Normal",$V$35,IF(G138="Pendek",$V$36,$V$37)))*(IF(H138="Gizi Buruk",$V$42,IF(H138="Gizi Lebih",$V$43,IF(H138="Risiko Gizi Lebih",$V$44,IF(H138="Gizi Baik",$V$45,$V$46)))))*(IF(I138="Ya",$V$51,$V$52))</f>
        <v/>
      </c>
      <c r="N138" s="97">
        <f>IF(K138=MAX(K138,L138,M138),"Stunting",IF(L138=MAX(K138,L138,M138),"Potensi Stunting","Tidak"))</f>
        <v/>
      </c>
    </row>
    <row r="139" ht="15.75" customHeight="1" s="95">
      <c r="A139" s="97" t="inlineStr">
        <is>
          <t>anonymus0883</t>
        </is>
      </c>
      <c r="B139" s="97" t="inlineStr">
        <is>
          <t>L</t>
        </is>
      </c>
      <c r="C139" s="97" t="inlineStr">
        <is>
          <t>35-69 Bulan</t>
        </is>
      </c>
      <c r="D139" s="97" t="inlineStr">
        <is>
          <t>18.2</t>
        </is>
      </c>
      <c r="E139" s="97" t="n">
        <v>104</v>
      </c>
      <c r="F139" s="97" t="inlineStr">
        <is>
          <t>Normal</t>
        </is>
      </c>
      <c r="G139" s="97" t="inlineStr">
        <is>
          <t>Normal</t>
        </is>
      </c>
      <c r="H139" s="97" t="inlineStr">
        <is>
          <t>Risiko Gizi Lebih</t>
        </is>
      </c>
      <c r="I139" s="97" t="inlineStr">
        <is>
          <t>Ya</t>
        </is>
      </c>
      <c r="J139" s="126" t="inlineStr">
        <is>
          <t>Tidak</t>
        </is>
      </c>
      <c r="K139" s="97">
        <f>($Q$4/$Q$3)*(IF(B139="L",$T$15,$T$16))*(IF(C139="1-34 Bulan",$T$21,$T$22))*(IF(F139="Risiko Lebih",$T$27,IF(F139="Normal",$T$28,IF(F139="Kurang",$T$29,$T$30))))*(IF(G139="Normal",$T$35,IF(G139="Pendek",$T$36,$T$37)))*(IF(H139="Gizi Buruk",$T$42,IF(H139="Gizi Lebih",$T$43,IF(H139="Risiko Gizi Lebih",$T$44,IF(H139="Gizi Baik",$T$45,$T$46)))))*(IF(I139="Ya",$T$51,$T$52))</f>
        <v/>
      </c>
      <c r="L139" s="97">
        <f>($Q$5/$Q$3)*(IF(B139="L",$U$15,$U$16))*(IF(C139="1-34 Bulan",$U$21,$U$22))*(IF(F139="Risiko Lebih",$U$27,IF(F139="Normal",$U$28,IF(F139="Kurang",$U$29,$U$30))))*(IF(G139="Normal",$U$35,IF(G139="Pendek",$U$36,$U$37)))*(IF(H139="Gizi Buruk",$U$42,IF(H139="Gizi Lebih",$U$43,IF(H139="Risiko Gizi Lebih",$U$44,IF(H139="Gizi Baik",$U$45,$U$46)))))*(IF(I139="Ya",$U$51,$U$52))</f>
        <v/>
      </c>
      <c r="M139" s="97">
        <f>($Q$6/$Q$3)*(IF(B139="L",$V$15,$V$16))*(IF(C139="1-34 Bulan",$V$21,$V$22))*(IF(F139="Risiko Lebih",$V$27,IF(F139="Normal",$V$28,IF(F139="Kurang",$V$29,$V$30))))*(IF(G139="Normal",$V$35,IF(G139="Pendek",$V$36,$V$37)))*(IF(H139="Gizi Buruk",$V$42,IF(H139="Gizi Lebih",$V$43,IF(H139="Risiko Gizi Lebih",$V$44,IF(H139="Gizi Baik",$V$45,$V$46)))))*(IF(I139="Ya",$V$51,$V$52))</f>
        <v/>
      </c>
      <c r="N139" s="97">
        <f>IF(K139=MAX(K139,L139,M139),"Stunting",IF(L139=MAX(K139,L139,M139),"Potensi Stunting","Tidak"))</f>
        <v/>
      </c>
    </row>
    <row r="140" ht="15.75" customHeight="1" s="95">
      <c r="A140" s="97" t="inlineStr">
        <is>
          <t>anonymus0884</t>
        </is>
      </c>
      <c r="B140" s="97" t="inlineStr">
        <is>
          <t>P</t>
        </is>
      </c>
      <c r="C140" s="97" t="inlineStr">
        <is>
          <t>35-69 Bulan</t>
        </is>
      </c>
      <c r="D140" s="97" t="n">
        <v>13.4</v>
      </c>
      <c r="E140" s="97" t="n">
        <v>102</v>
      </c>
      <c r="F140" s="97" t="inlineStr">
        <is>
          <t>Normal</t>
        </is>
      </c>
      <c r="G140" s="97" t="inlineStr">
        <is>
          <t>Normal</t>
        </is>
      </c>
      <c r="H140" s="97" t="inlineStr">
        <is>
          <t>Gizi Baik</t>
        </is>
      </c>
      <c r="I140" s="97" t="inlineStr">
        <is>
          <t>Ya</t>
        </is>
      </c>
      <c r="J140" s="126" t="inlineStr">
        <is>
          <t>Tidak</t>
        </is>
      </c>
      <c r="K140" s="97">
        <f>($Q$4/$Q$3)*(IF(B140="L",$T$15,$T$16))*(IF(C140="1-34 Bulan",$T$21,$T$22))*(IF(F140="Risiko Lebih",$T$27,IF(F140="Normal",$T$28,IF(F140="Kurang",$T$29,$T$30))))*(IF(G140="Normal",$T$35,IF(G140="Pendek",$T$36,$T$37)))*(IF(H140="Gizi Buruk",$T$42,IF(H140="Gizi Lebih",$T$43,IF(H140="Risiko Gizi Lebih",$T$44,IF(H140="Gizi Baik",$T$45,$T$46)))))*(IF(I140="Ya",$T$51,$T$52))</f>
        <v/>
      </c>
      <c r="L140" s="97">
        <f>($Q$5/$Q$3)*(IF(B140="L",$U$15,$U$16))*(IF(C140="1-34 Bulan",$U$21,$U$22))*(IF(F140="Risiko Lebih",$U$27,IF(F140="Normal",$U$28,IF(F140="Kurang",$U$29,$U$30))))*(IF(G140="Normal",$U$35,IF(G140="Pendek",$U$36,$U$37)))*(IF(H140="Gizi Buruk",$U$42,IF(H140="Gizi Lebih",$U$43,IF(H140="Risiko Gizi Lebih",$U$44,IF(H140="Gizi Baik",$U$45,$U$46)))))*(IF(I140="Ya",$U$51,$U$52))</f>
        <v/>
      </c>
      <c r="M140" s="97">
        <f>($Q$6/$Q$3)*(IF(B140="L",$V$15,$V$16))*(IF(C140="1-34 Bulan",$V$21,$V$22))*(IF(F140="Risiko Lebih",$V$27,IF(F140="Normal",$V$28,IF(F140="Kurang",$V$29,$V$30))))*(IF(G140="Normal",$V$35,IF(G140="Pendek",$V$36,$V$37)))*(IF(H140="Gizi Buruk",$V$42,IF(H140="Gizi Lebih",$V$43,IF(H140="Risiko Gizi Lebih",$V$44,IF(H140="Gizi Baik",$V$45,$V$46)))))*(IF(I140="Ya",$V$51,$V$52))</f>
        <v/>
      </c>
      <c r="N140" s="97">
        <f>IF(K140=MAX(K140,L140,M140),"Stunting",IF(L140=MAX(K140,L140,M140),"Potensi Stunting","Tidak"))</f>
        <v/>
      </c>
    </row>
    <row r="141" ht="15.75" customHeight="1" s="95">
      <c r="A141" s="97" t="inlineStr">
        <is>
          <t>anonymus0885</t>
        </is>
      </c>
      <c r="B141" s="97" t="inlineStr">
        <is>
          <t>L</t>
        </is>
      </c>
      <c r="C141" s="97" t="inlineStr">
        <is>
          <t>1-34 Bulan</t>
        </is>
      </c>
      <c r="D141" s="97" t="n">
        <v>6.3</v>
      </c>
      <c r="E141" s="97" t="n">
        <v>89</v>
      </c>
      <c r="F141" s="97" t="inlineStr">
        <is>
          <t>Kurang</t>
        </is>
      </c>
      <c r="G141" s="97" t="inlineStr">
        <is>
          <t>Normal</t>
        </is>
      </c>
      <c r="H141" s="97" t="inlineStr">
        <is>
          <t>Gizi Kurang</t>
        </is>
      </c>
      <c r="I141" s="97" t="inlineStr">
        <is>
          <t>Ya</t>
        </is>
      </c>
      <c r="J141" s="126" t="inlineStr">
        <is>
          <t>Tidak</t>
        </is>
      </c>
      <c r="K141" s="97">
        <f>($Q$4/$Q$3)*(IF(B141="L",$T$15,$T$16))*(IF(C141="1-34 Bulan",$T$21,$T$22))*(IF(F141="Risiko Lebih",$T$27,IF(F141="Normal",$T$28,IF(F141="Kurang",$T$29,$T$30))))*(IF(G141="Normal",$T$35,IF(G141="Pendek",$T$36,$T$37)))*(IF(H141="Gizi Buruk",$T$42,IF(H141="Gizi Lebih",$T$43,IF(H141="Risiko Gizi Lebih",$T$44,IF(H141="Gizi Baik",$T$45,$T$46)))))*(IF(I141="Ya",$T$51,$T$52))</f>
        <v/>
      </c>
      <c r="L141" s="97">
        <f>($Q$5/$Q$3)*(IF(B141="L",$U$15,$U$16))*(IF(C141="1-34 Bulan",$U$21,$U$22))*(IF(F141="Risiko Lebih",$U$27,IF(F141="Normal",$U$28,IF(F141="Kurang",$U$29,$U$30))))*(IF(G141="Normal",$U$35,IF(G141="Pendek",$U$36,$U$37)))*(IF(H141="Gizi Buruk",$U$42,IF(H141="Gizi Lebih",$U$43,IF(H141="Risiko Gizi Lebih",$U$44,IF(H141="Gizi Baik",$U$45,$U$46)))))*(IF(I141="Ya",$U$51,$U$52))</f>
        <v/>
      </c>
      <c r="M141" s="97">
        <f>($Q$6/$Q$3)*(IF(B141="L",$V$15,$V$16))*(IF(C141="1-34 Bulan",$V$21,$V$22))*(IF(F141="Risiko Lebih",$V$27,IF(F141="Normal",$V$28,IF(F141="Kurang",$V$29,$V$30))))*(IF(G141="Normal",$V$35,IF(G141="Pendek",$V$36,$V$37)))*(IF(H141="Gizi Buruk",$V$42,IF(H141="Gizi Lebih",$V$43,IF(H141="Risiko Gizi Lebih",$V$44,IF(H141="Gizi Baik",$V$45,$V$46)))))*(IF(I141="Ya",$V$51,$V$52))</f>
        <v/>
      </c>
      <c r="N141" s="97">
        <f>IF(K141=MAX(K141,L141,M141),"Stunting",IF(L141=MAX(K141,L141,M141),"Potensi Stunting","Tidak"))</f>
        <v/>
      </c>
    </row>
    <row r="142" ht="15.75" customHeight="1" s="95">
      <c r="A142" s="97" t="inlineStr">
        <is>
          <t>anonymus0886</t>
        </is>
      </c>
      <c r="B142" s="97" t="inlineStr">
        <is>
          <t>P</t>
        </is>
      </c>
      <c r="C142" s="97" t="inlineStr">
        <is>
          <t>35-69 Bulan</t>
        </is>
      </c>
      <c r="D142" s="97" t="n">
        <v>8.5</v>
      </c>
      <c r="E142" s="97" t="n">
        <v>73</v>
      </c>
      <c r="F142" s="97" t="inlineStr">
        <is>
          <t>Kurang</t>
        </is>
      </c>
      <c r="G142" s="97" t="inlineStr">
        <is>
          <t>Sangat Pendek</t>
        </is>
      </c>
      <c r="H142" s="97" t="inlineStr">
        <is>
          <t>Gizi Baik</t>
        </is>
      </c>
      <c r="I142" s="97" t="inlineStr">
        <is>
          <t>Ya</t>
        </is>
      </c>
      <c r="J142" s="126" t="inlineStr">
        <is>
          <t>Potensi Stunting</t>
        </is>
      </c>
      <c r="K142" s="97">
        <f>($Q$4/$Q$3)*(IF(B142="L",$T$15,$T$16))*(IF(C142="1-34 Bulan",$T$21,$T$22))*(IF(F142="Risiko Lebih",$T$27,IF(F142="Normal",$T$28,IF(F142="Kurang",$T$29,$T$30))))*(IF(G142="Normal",$T$35,IF(G142="Pendek",$T$36,$T$37)))*(IF(H142="Gizi Buruk",$T$42,IF(H142="Gizi Lebih",$T$43,IF(H142="Risiko Gizi Lebih",$T$44,IF(H142="Gizi Baik",$T$45,$T$46)))))*(IF(I142="Ya",$T$51,$T$52))</f>
        <v/>
      </c>
      <c r="L142" s="97">
        <f>($Q$5/$Q$3)*(IF(B142="L",$U$15,$U$16))*(IF(C142="1-34 Bulan",$U$21,$U$22))*(IF(F142="Risiko Lebih",$U$27,IF(F142="Normal",$U$28,IF(F142="Kurang",$U$29,$U$30))))*(IF(G142="Normal",$U$35,IF(G142="Pendek",$U$36,$U$37)))*(IF(H142="Gizi Buruk",$U$42,IF(H142="Gizi Lebih",$U$43,IF(H142="Risiko Gizi Lebih",$U$44,IF(H142="Gizi Baik",$U$45,$U$46)))))*(IF(I142="Ya",$U$51,$U$52))</f>
        <v/>
      </c>
      <c r="M142" s="97">
        <f>($Q$6/$Q$3)*(IF(B142="L",$V$15,$V$16))*(IF(C142="1-34 Bulan",$V$21,$V$22))*(IF(F142="Risiko Lebih",$V$27,IF(F142="Normal",$V$28,IF(F142="Kurang",$V$29,$V$30))))*(IF(G142="Normal",$V$35,IF(G142="Pendek",$V$36,$V$37)))*(IF(H142="Gizi Buruk",$V$42,IF(H142="Gizi Lebih",$V$43,IF(H142="Risiko Gizi Lebih",$V$44,IF(H142="Gizi Baik",$V$45,$V$46)))))*(IF(I142="Ya",$V$51,$V$52))</f>
        <v/>
      </c>
      <c r="N142" s="97">
        <f>IF(K142=MAX(K142,L142,M142),"Stunting",IF(L142=MAX(K142,L142,M142),"Potensi Stunting","Tidak"))</f>
        <v/>
      </c>
    </row>
    <row r="143" ht="15.75" customHeight="1" s="95">
      <c r="A143" s="97" t="inlineStr">
        <is>
          <t>anonymus0887</t>
        </is>
      </c>
      <c r="B143" s="97" t="inlineStr">
        <is>
          <t>L</t>
        </is>
      </c>
      <c r="C143" s="97" t="inlineStr">
        <is>
          <t>35-69 Bulan</t>
        </is>
      </c>
      <c r="D143" s="97" t="n">
        <v>8.9</v>
      </c>
      <c r="E143" s="97" t="n">
        <v>78.40000000000001</v>
      </c>
      <c r="F143" s="97" t="inlineStr">
        <is>
          <t>Sangat Kurang</t>
        </is>
      </c>
      <c r="G143" s="97" t="inlineStr">
        <is>
          <t>Sangat Pendek</t>
        </is>
      </c>
      <c r="H143" s="97" t="inlineStr">
        <is>
          <t>Gizi Baik</t>
        </is>
      </c>
      <c r="I143" s="97" t="inlineStr">
        <is>
          <t>Ya</t>
        </is>
      </c>
      <c r="J143" s="126" t="inlineStr">
        <is>
          <t>Tidak</t>
        </is>
      </c>
      <c r="K143" s="97">
        <f>($Q$4/$Q$3)*(IF(B143="L",$T$15,$T$16))*(IF(C143="1-34 Bulan",$T$21,$T$22))*(IF(F143="Risiko Lebih",$T$27,IF(F143="Normal",$T$28,IF(F143="Kurang",$T$29,$T$30))))*(IF(G143="Normal",$T$35,IF(G143="Pendek",$T$36,$T$37)))*(IF(H143="Gizi Buruk",$T$42,IF(H143="Gizi Lebih",$T$43,IF(H143="Risiko Gizi Lebih",$T$44,IF(H143="Gizi Baik",$T$45,$T$46)))))*(IF(I143="Ya",$T$51,$T$52))</f>
        <v/>
      </c>
      <c r="L143" s="97">
        <f>($Q$5/$Q$3)*(IF(B143="L",$U$15,$U$16))*(IF(C143="1-34 Bulan",$U$21,$U$22))*(IF(F143="Risiko Lebih",$U$27,IF(F143="Normal",$U$28,IF(F143="Kurang",$U$29,$U$30))))*(IF(G143="Normal",$U$35,IF(G143="Pendek",$U$36,$U$37)))*(IF(H143="Gizi Buruk",$U$42,IF(H143="Gizi Lebih",$U$43,IF(H143="Risiko Gizi Lebih",$U$44,IF(H143="Gizi Baik",$U$45,$U$46)))))*(IF(I143="Ya",$U$51,$U$52))</f>
        <v/>
      </c>
      <c r="M143" s="97">
        <f>($Q$6/$Q$3)*(IF(B143="L",$V$15,$V$16))*(IF(C143="1-34 Bulan",$V$21,$V$22))*(IF(F143="Risiko Lebih",$V$27,IF(F143="Normal",$V$28,IF(F143="Kurang",$V$29,$V$30))))*(IF(G143="Normal",$V$35,IF(G143="Pendek",$V$36,$V$37)))*(IF(H143="Gizi Buruk",$V$42,IF(H143="Gizi Lebih",$V$43,IF(H143="Risiko Gizi Lebih",$V$44,IF(H143="Gizi Baik",$V$45,$V$46)))))*(IF(I143="Ya",$V$51,$V$52))</f>
        <v/>
      </c>
      <c r="N143" s="97">
        <f>IF(K143=MAX(K143,L143,M143),"Stunting",IF(L143=MAX(K143,L143,M143),"Potensi Stunting","Tidak"))</f>
        <v/>
      </c>
    </row>
    <row r="144" ht="15.75" customHeight="1" s="95">
      <c r="A144" s="97" t="inlineStr">
        <is>
          <t>anonymus0888</t>
        </is>
      </c>
      <c r="B144" s="97" t="inlineStr">
        <is>
          <t>L</t>
        </is>
      </c>
      <c r="C144" s="97" t="inlineStr">
        <is>
          <t>1-34 Bulan</t>
        </is>
      </c>
      <c r="D144" s="97" t="n">
        <v>13.7</v>
      </c>
      <c r="E144" s="97" t="n">
        <v>85</v>
      </c>
      <c r="F144" s="97" t="inlineStr">
        <is>
          <t>Normal</t>
        </is>
      </c>
      <c r="G144" s="97" t="inlineStr">
        <is>
          <t>Normal</t>
        </is>
      </c>
      <c r="H144" s="97" t="inlineStr">
        <is>
          <t>Gizi Baik</t>
        </is>
      </c>
      <c r="I144" s="97" t="inlineStr">
        <is>
          <t>Ya</t>
        </is>
      </c>
      <c r="J144" s="126" t="inlineStr">
        <is>
          <t>Tidak</t>
        </is>
      </c>
      <c r="K144" s="97">
        <f>($Q$4/$Q$3)*(IF(B144="L",$T$15,$T$16))*(IF(C144="1-34 Bulan",$T$21,$T$22))*(IF(F144="Risiko Lebih",$T$27,IF(F144="Normal",$T$28,IF(F144="Kurang",$T$29,$T$30))))*(IF(G144="Normal",$T$35,IF(G144="Pendek",$T$36,$T$37)))*(IF(H144="Gizi Buruk",$T$42,IF(H144="Gizi Lebih",$T$43,IF(H144="Risiko Gizi Lebih",$T$44,IF(H144="Gizi Baik",$T$45,$T$46)))))*(IF(I144="Ya",$T$51,$T$52))</f>
        <v/>
      </c>
      <c r="L144" s="97">
        <f>($Q$5/$Q$3)*(IF(B144="L",$U$15,$U$16))*(IF(C144="1-34 Bulan",$U$21,$U$22))*(IF(F144="Risiko Lebih",$U$27,IF(F144="Normal",$U$28,IF(F144="Kurang",$U$29,$U$30))))*(IF(G144="Normal",$U$35,IF(G144="Pendek",$U$36,$U$37)))*(IF(H144="Gizi Buruk",$U$42,IF(H144="Gizi Lebih",$U$43,IF(H144="Risiko Gizi Lebih",$U$44,IF(H144="Gizi Baik",$U$45,$U$46)))))*(IF(I144="Ya",$U$51,$U$52))</f>
        <v/>
      </c>
      <c r="M144" s="97">
        <f>($Q$6/$Q$3)*(IF(B144="L",$V$15,$V$16))*(IF(C144="1-34 Bulan",$V$21,$V$22))*(IF(F144="Risiko Lebih",$V$27,IF(F144="Normal",$V$28,IF(F144="Kurang",$V$29,$V$30))))*(IF(G144="Normal",$V$35,IF(G144="Pendek",$V$36,$V$37)))*(IF(H144="Gizi Buruk",$V$42,IF(H144="Gizi Lebih",$V$43,IF(H144="Risiko Gizi Lebih",$V$44,IF(H144="Gizi Baik",$V$45,$V$46)))))*(IF(I144="Ya",$V$51,$V$52))</f>
        <v/>
      </c>
      <c r="N144" s="97">
        <f>IF(K144=MAX(K144,L144,M144),"Stunting",IF(L144=MAX(K144,L144,M144),"Potensi Stunting","Tidak"))</f>
        <v/>
      </c>
    </row>
    <row r="145" ht="15.75" customHeight="1" s="95">
      <c r="A145" s="97" t="inlineStr">
        <is>
          <t>anonymus0889</t>
        </is>
      </c>
      <c r="B145" s="97" t="inlineStr">
        <is>
          <t>P</t>
        </is>
      </c>
      <c r="C145" s="97" t="inlineStr">
        <is>
          <t>35-69 Bulan</t>
        </is>
      </c>
      <c r="D145" s="97" t="inlineStr">
        <is>
          <t>14.4</t>
        </is>
      </c>
      <c r="E145" s="97" t="n">
        <v>101</v>
      </c>
      <c r="F145" s="97" t="inlineStr">
        <is>
          <t>Normal</t>
        </is>
      </c>
      <c r="G145" s="97" t="inlineStr">
        <is>
          <t>Normal</t>
        </is>
      </c>
      <c r="H145" s="97" t="inlineStr">
        <is>
          <t>Gizi Baik</t>
        </is>
      </c>
      <c r="I145" s="97" t="inlineStr">
        <is>
          <t>Ya</t>
        </is>
      </c>
      <c r="J145" s="126" t="inlineStr">
        <is>
          <t>Tidak</t>
        </is>
      </c>
      <c r="K145" s="97">
        <f>($Q$4/$Q$3)*(IF(B145="L",$T$15,$T$16))*(IF(C145="1-34 Bulan",$T$21,$T$22))*(IF(F145="Risiko Lebih",$T$27,IF(F145="Normal",$T$28,IF(F145="Kurang",$T$29,$T$30))))*(IF(G145="Normal",$T$35,IF(G145="Pendek",$T$36,$T$37)))*(IF(H145="Gizi Buruk",$T$42,IF(H145="Gizi Lebih",$T$43,IF(H145="Risiko Gizi Lebih",$T$44,IF(H145="Gizi Baik",$T$45,$T$46)))))*(IF(I145="Ya",$T$51,$T$52))</f>
        <v/>
      </c>
      <c r="L145" s="97">
        <f>($Q$5/$Q$3)*(IF(B145="L",$U$15,$U$16))*(IF(C145="1-34 Bulan",$U$21,$U$22))*(IF(F145="Risiko Lebih",$U$27,IF(F145="Normal",$U$28,IF(F145="Kurang",$U$29,$U$30))))*(IF(G145="Normal",$U$35,IF(G145="Pendek",$U$36,$U$37)))*(IF(H145="Gizi Buruk",$U$42,IF(H145="Gizi Lebih",$U$43,IF(H145="Risiko Gizi Lebih",$U$44,IF(H145="Gizi Baik",$U$45,$U$46)))))*(IF(I145="Ya",$U$51,$U$52))</f>
        <v/>
      </c>
      <c r="M145" s="97">
        <f>($Q$6/$Q$3)*(IF(B145="L",$V$15,$V$16))*(IF(C145="1-34 Bulan",$V$21,$V$22))*(IF(F145="Risiko Lebih",$V$27,IF(F145="Normal",$V$28,IF(F145="Kurang",$V$29,$V$30))))*(IF(G145="Normal",$V$35,IF(G145="Pendek",$V$36,$V$37)))*(IF(H145="Gizi Buruk",$V$42,IF(H145="Gizi Lebih",$V$43,IF(H145="Risiko Gizi Lebih",$V$44,IF(H145="Gizi Baik",$V$45,$V$46)))))*(IF(I145="Ya",$V$51,$V$52))</f>
        <v/>
      </c>
      <c r="N145" s="97">
        <f>IF(K145=MAX(K145,L145,M145),"Stunting",IF(L145=MAX(K145,L145,M145),"Potensi Stunting","Tidak"))</f>
        <v/>
      </c>
    </row>
    <row r="146" ht="15.75" customHeight="1" s="95">
      <c r="A146" s="97" t="inlineStr">
        <is>
          <t>anonymus0890</t>
        </is>
      </c>
      <c r="B146" s="97" t="inlineStr">
        <is>
          <t>P</t>
        </is>
      </c>
      <c r="C146" s="97" t="inlineStr">
        <is>
          <t>35-69 Bulan</t>
        </is>
      </c>
      <c r="D146" s="97" t="n">
        <v>16.5</v>
      </c>
      <c r="E146" s="97" t="n">
        <v>105</v>
      </c>
      <c r="F146" s="97" t="inlineStr">
        <is>
          <t>Normal</t>
        </is>
      </c>
      <c r="G146" s="97" t="inlineStr">
        <is>
          <t>Normal</t>
        </is>
      </c>
      <c r="H146" s="97" t="inlineStr">
        <is>
          <t>Gizi Baik</t>
        </is>
      </c>
      <c r="I146" s="97" t="inlineStr">
        <is>
          <t>Ya</t>
        </is>
      </c>
      <c r="J146" s="126" t="inlineStr">
        <is>
          <t>Tidak</t>
        </is>
      </c>
      <c r="K146" s="97">
        <f>($Q$4/$Q$3)*(IF(B146="L",$T$15,$T$16))*(IF(C146="1-34 Bulan",$T$21,$T$22))*(IF(F146="Risiko Lebih",$T$27,IF(F146="Normal",$T$28,IF(F146="Kurang",$T$29,$T$30))))*(IF(G146="Normal",$T$35,IF(G146="Pendek",$T$36,$T$37)))*(IF(H146="Gizi Buruk",$T$42,IF(H146="Gizi Lebih",$T$43,IF(H146="Risiko Gizi Lebih",$T$44,IF(H146="Gizi Baik",$T$45,$T$46)))))*(IF(I146="Ya",$T$51,$T$52))</f>
        <v/>
      </c>
      <c r="L146" s="97">
        <f>($Q$5/$Q$3)*(IF(B146="L",$U$15,$U$16))*(IF(C146="1-34 Bulan",$U$21,$U$22))*(IF(F146="Risiko Lebih",$U$27,IF(F146="Normal",$U$28,IF(F146="Kurang",$U$29,$U$30))))*(IF(G146="Normal",$U$35,IF(G146="Pendek",$U$36,$U$37)))*(IF(H146="Gizi Buruk",$U$42,IF(H146="Gizi Lebih",$U$43,IF(H146="Risiko Gizi Lebih",$U$44,IF(H146="Gizi Baik",$U$45,$U$46)))))*(IF(I146="Ya",$U$51,$U$52))</f>
        <v/>
      </c>
      <c r="M146" s="97">
        <f>($Q$6/$Q$3)*(IF(B146="L",$V$15,$V$16))*(IF(C146="1-34 Bulan",$V$21,$V$22))*(IF(F146="Risiko Lebih",$V$27,IF(F146="Normal",$V$28,IF(F146="Kurang",$V$29,$V$30))))*(IF(G146="Normal",$V$35,IF(G146="Pendek",$V$36,$V$37)))*(IF(H146="Gizi Buruk",$V$42,IF(H146="Gizi Lebih",$V$43,IF(H146="Risiko Gizi Lebih",$V$44,IF(H146="Gizi Baik",$V$45,$V$46)))))*(IF(I146="Ya",$V$51,$V$52))</f>
        <v/>
      </c>
      <c r="N146" s="97">
        <f>IF(K146=MAX(K146,L146,M146),"Stunting",IF(L146=MAX(K146,L146,M146),"Potensi Stunting","Tidak"))</f>
        <v/>
      </c>
    </row>
    <row r="147" ht="15.75" customHeight="1" s="95">
      <c r="A147" s="97" t="inlineStr">
        <is>
          <t>anonymus0891</t>
        </is>
      </c>
      <c r="B147" s="97" t="inlineStr">
        <is>
          <t>L</t>
        </is>
      </c>
      <c r="C147" s="97" t="inlineStr">
        <is>
          <t>35-69 Bulan</t>
        </is>
      </c>
      <c r="D147" s="97" t="n">
        <v>12</v>
      </c>
      <c r="E147" s="97" t="n">
        <v>85</v>
      </c>
      <c r="F147" s="97" t="inlineStr">
        <is>
          <t>Normal</t>
        </is>
      </c>
      <c r="G147" s="97" t="inlineStr">
        <is>
          <t>Pendek</t>
        </is>
      </c>
      <c r="H147" s="97" t="inlineStr">
        <is>
          <t>Gizi Baik</t>
        </is>
      </c>
      <c r="I147" s="97" t="inlineStr">
        <is>
          <t>Ya</t>
        </is>
      </c>
      <c r="J147" s="126" t="inlineStr">
        <is>
          <t>Tidak</t>
        </is>
      </c>
      <c r="K147" s="97">
        <f>($Q$4/$Q$3)*(IF(B147="L",$T$15,$T$16))*(IF(C147="1-34 Bulan",$T$21,$T$22))*(IF(F147="Risiko Lebih",$T$27,IF(F147="Normal",$T$28,IF(F147="Kurang",$T$29,$T$30))))*(IF(G147="Normal",$T$35,IF(G147="Pendek",$T$36,$T$37)))*(IF(H147="Gizi Buruk",$T$42,IF(H147="Gizi Lebih",$T$43,IF(H147="Risiko Gizi Lebih",$T$44,IF(H147="Gizi Baik",$T$45,$T$46)))))*(IF(I147="Ya",$T$51,$T$52))</f>
        <v/>
      </c>
      <c r="L147" s="97">
        <f>($Q$5/$Q$3)*(IF(B147="L",$U$15,$U$16))*(IF(C147="1-34 Bulan",$U$21,$U$22))*(IF(F147="Risiko Lebih",$U$27,IF(F147="Normal",$U$28,IF(F147="Kurang",$U$29,$U$30))))*(IF(G147="Normal",$U$35,IF(G147="Pendek",$U$36,$U$37)))*(IF(H147="Gizi Buruk",$U$42,IF(H147="Gizi Lebih",$U$43,IF(H147="Risiko Gizi Lebih",$U$44,IF(H147="Gizi Baik",$U$45,$U$46)))))*(IF(I147="Ya",$U$51,$U$52))</f>
        <v/>
      </c>
      <c r="M147" s="97">
        <f>($Q$6/$Q$3)*(IF(B147="L",$V$15,$V$16))*(IF(C147="1-34 Bulan",$V$21,$V$22))*(IF(F147="Risiko Lebih",$V$27,IF(F147="Normal",$V$28,IF(F147="Kurang",$V$29,$V$30))))*(IF(G147="Normal",$V$35,IF(G147="Pendek",$V$36,$V$37)))*(IF(H147="Gizi Buruk",$V$42,IF(H147="Gizi Lebih",$V$43,IF(H147="Risiko Gizi Lebih",$V$44,IF(H147="Gizi Baik",$V$45,$V$46)))))*(IF(I147="Ya",$V$51,$V$52))</f>
        <v/>
      </c>
      <c r="N147" s="97">
        <f>IF(K147=MAX(K147,L147,M147),"Stunting",IF(L147=MAX(K147,L147,M147),"Potensi Stunting","Tidak"))</f>
        <v/>
      </c>
    </row>
    <row r="148" ht="15.75" customHeight="1" s="95">
      <c r="A148" s="97" t="inlineStr">
        <is>
          <t>anonymus0892</t>
        </is>
      </c>
      <c r="B148" s="97" t="inlineStr">
        <is>
          <t>L</t>
        </is>
      </c>
      <c r="C148" s="97" t="inlineStr">
        <is>
          <t>35-69 Bulan</t>
        </is>
      </c>
      <c r="D148" s="97" t="n">
        <v>11.3</v>
      </c>
      <c r="E148" s="97" t="n">
        <v>81</v>
      </c>
      <c r="F148" s="97" t="inlineStr">
        <is>
          <t>Normal</t>
        </is>
      </c>
      <c r="G148" s="97" t="inlineStr">
        <is>
          <t>Sangat Pendek</t>
        </is>
      </c>
      <c r="H148" s="97" t="inlineStr">
        <is>
          <t>Gizi Baik</t>
        </is>
      </c>
      <c r="I148" s="97" t="inlineStr">
        <is>
          <t>Tidak</t>
        </is>
      </c>
      <c r="J148" s="126" t="inlineStr">
        <is>
          <t>Stunting</t>
        </is>
      </c>
      <c r="K148" s="97">
        <f>($Q$4/$Q$3)*(IF(B148="L",$T$15,$T$16))*(IF(C148="1-34 Bulan",$T$21,$T$22))*(IF(F148="Risiko Lebih",$T$27,IF(F148="Normal",$T$28,IF(F148="Kurang",$T$29,$T$30))))*(IF(G148="Normal",$T$35,IF(G148="Pendek",$T$36,$T$37)))*(IF(H148="Gizi Buruk",$T$42,IF(H148="Gizi Lebih",$T$43,IF(H148="Risiko Gizi Lebih",$T$44,IF(H148="Gizi Baik",$T$45,$T$46)))))*(IF(I148="Ya",$T$51,$T$52))</f>
        <v/>
      </c>
      <c r="L148" s="97">
        <f>($Q$5/$Q$3)*(IF(B148="L",$U$15,$U$16))*(IF(C148="1-34 Bulan",$U$21,$U$22))*(IF(F148="Risiko Lebih",$U$27,IF(F148="Normal",$U$28,IF(F148="Kurang",$U$29,$U$30))))*(IF(G148="Normal",$U$35,IF(G148="Pendek",$U$36,$U$37)))*(IF(H148="Gizi Buruk",$U$42,IF(H148="Gizi Lebih",$U$43,IF(H148="Risiko Gizi Lebih",$U$44,IF(H148="Gizi Baik",$U$45,$U$46)))))*(IF(I148="Ya",$U$51,$U$52))</f>
        <v/>
      </c>
      <c r="M148" s="97">
        <f>($Q$6/$Q$3)*(IF(B148="L",$V$15,$V$16))*(IF(C148="1-34 Bulan",$V$21,$V$22))*(IF(F148="Risiko Lebih",$V$27,IF(F148="Normal",$V$28,IF(F148="Kurang",$V$29,$V$30))))*(IF(G148="Normal",$V$35,IF(G148="Pendek",$V$36,$V$37)))*(IF(H148="Gizi Buruk",$V$42,IF(H148="Gizi Lebih",$V$43,IF(H148="Risiko Gizi Lebih",$V$44,IF(H148="Gizi Baik",$V$45,$V$46)))))*(IF(I148="Ya",$V$51,$V$52))</f>
        <v/>
      </c>
      <c r="N148" s="97">
        <f>IF(K148=MAX(K148,L148,M148),"Stunting",IF(L148=MAX(K148,L148,M148),"Potensi Stunting","Tidak"))</f>
        <v/>
      </c>
    </row>
    <row r="149" ht="15.75" customHeight="1" s="95">
      <c r="A149" s="97" t="inlineStr">
        <is>
          <t>anonymus0893</t>
        </is>
      </c>
      <c r="B149" s="97" t="inlineStr">
        <is>
          <t>P</t>
        </is>
      </c>
      <c r="C149" s="97" t="inlineStr">
        <is>
          <t>1-34 Bulan</t>
        </is>
      </c>
      <c r="D149" s="97" t="inlineStr">
        <is>
          <t>9.3</t>
        </is>
      </c>
      <c r="E149" s="97" t="n">
        <v>76</v>
      </c>
      <c r="F149" s="97" t="inlineStr">
        <is>
          <t>Normal</t>
        </is>
      </c>
      <c r="G149" s="97" t="inlineStr">
        <is>
          <t>Pendek</t>
        </is>
      </c>
      <c r="H149" s="97" t="inlineStr">
        <is>
          <t>Gizi Baik</t>
        </is>
      </c>
      <c r="I149" s="97" t="inlineStr">
        <is>
          <t>Ya</t>
        </is>
      </c>
      <c r="J149" s="126" t="inlineStr">
        <is>
          <t>Tidak</t>
        </is>
      </c>
      <c r="K149" s="97">
        <f>($Q$4/$Q$3)*(IF(B149="L",$T$15,$T$16))*(IF(C149="1-34 Bulan",$T$21,$T$22))*(IF(F149="Risiko Lebih",$T$27,IF(F149="Normal",$T$28,IF(F149="Kurang",$T$29,$T$30))))*(IF(G149="Normal",$T$35,IF(G149="Pendek",$T$36,$T$37)))*(IF(H149="Gizi Buruk",$T$42,IF(H149="Gizi Lebih",$T$43,IF(H149="Risiko Gizi Lebih",$T$44,IF(H149="Gizi Baik",$T$45,$T$46)))))*(IF(I149="Ya",$T$51,$T$52))</f>
        <v/>
      </c>
      <c r="L149" s="97">
        <f>($Q$5/$Q$3)*(IF(B149="L",$U$15,$U$16))*(IF(C149="1-34 Bulan",$U$21,$U$22))*(IF(F149="Risiko Lebih",$U$27,IF(F149="Normal",$U$28,IF(F149="Kurang",$U$29,$U$30))))*(IF(G149="Normal",$U$35,IF(G149="Pendek",$U$36,$U$37)))*(IF(H149="Gizi Buruk",$U$42,IF(H149="Gizi Lebih",$U$43,IF(H149="Risiko Gizi Lebih",$U$44,IF(H149="Gizi Baik",$U$45,$U$46)))))*(IF(I149="Ya",$U$51,$U$52))</f>
        <v/>
      </c>
      <c r="M149" s="97">
        <f>($Q$6/$Q$3)*(IF(B149="L",$V$15,$V$16))*(IF(C149="1-34 Bulan",$V$21,$V$22))*(IF(F149="Risiko Lebih",$V$27,IF(F149="Normal",$V$28,IF(F149="Kurang",$V$29,$V$30))))*(IF(G149="Normal",$V$35,IF(G149="Pendek",$V$36,$V$37)))*(IF(H149="Gizi Buruk",$V$42,IF(H149="Gizi Lebih",$V$43,IF(H149="Risiko Gizi Lebih",$V$44,IF(H149="Gizi Baik",$V$45,$V$46)))))*(IF(I149="Ya",$V$51,$V$52))</f>
        <v/>
      </c>
      <c r="N149" s="97">
        <f>IF(K149=MAX(K149,L149,M149),"Stunting",IF(L149=MAX(K149,L149,M149),"Potensi Stunting","Tidak"))</f>
        <v/>
      </c>
    </row>
    <row r="150" ht="15.75" customHeight="1" s="95">
      <c r="A150" s="97" t="inlineStr">
        <is>
          <t>anonymus0894</t>
        </is>
      </c>
      <c r="B150" s="97" t="inlineStr">
        <is>
          <t>L</t>
        </is>
      </c>
      <c r="C150" s="97" t="inlineStr">
        <is>
          <t>35-69 Bulan</t>
        </is>
      </c>
      <c r="D150" s="97" t="inlineStr">
        <is>
          <t>15.7</t>
        </is>
      </c>
      <c r="E150" s="97" t="n">
        <v>101</v>
      </c>
      <c r="F150" s="97" t="inlineStr">
        <is>
          <t>Normal</t>
        </is>
      </c>
      <c r="G150" s="97" t="inlineStr">
        <is>
          <t>Normal</t>
        </is>
      </c>
      <c r="H150" s="97" t="inlineStr">
        <is>
          <t>Gizi Baik</t>
        </is>
      </c>
      <c r="I150" s="97" t="inlineStr">
        <is>
          <t>Ya</t>
        </is>
      </c>
      <c r="J150" s="126" t="inlineStr">
        <is>
          <t>Tidak</t>
        </is>
      </c>
      <c r="K150" s="97">
        <f>($Q$4/$Q$3)*(IF(B150="L",$T$15,$T$16))*(IF(C150="1-34 Bulan",$T$21,$T$22))*(IF(F150="Risiko Lebih",$T$27,IF(F150="Normal",$T$28,IF(F150="Kurang",$T$29,$T$30))))*(IF(G150="Normal",$T$35,IF(G150="Pendek",$T$36,$T$37)))*(IF(H150="Gizi Buruk",$T$42,IF(H150="Gizi Lebih",$T$43,IF(H150="Risiko Gizi Lebih",$T$44,IF(H150="Gizi Baik",$T$45,$T$46)))))*(IF(I150="Ya",$T$51,$T$52))</f>
        <v/>
      </c>
      <c r="L150" s="97">
        <f>($Q$5/$Q$3)*(IF(B150="L",$U$15,$U$16))*(IF(C150="1-34 Bulan",$U$21,$U$22))*(IF(F150="Risiko Lebih",$U$27,IF(F150="Normal",$U$28,IF(F150="Kurang",$U$29,$U$30))))*(IF(G150="Normal",$U$35,IF(G150="Pendek",$U$36,$U$37)))*(IF(H150="Gizi Buruk",$U$42,IF(H150="Gizi Lebih",$U$43,IF(H150="Risiko Gizi Lebih",$U$44,IF(H150="Gizi Baik",$U$45,$U$46)))))*(IF(I150="Ya",$U$51,$U$52))</f>
        <v/>
      </c>
      <c r="M150" s="97">
        <f>($Q$6/$Q$3)*(IF(B150="L",$V$15,$V$16))*(IF(C150="1-34 Bulan",$V$21,$V$22))*(IF(F150="Risiko Lebih",$V$27,IF(F150="Normal",$V$28,IF(F150="Kurang",$V$29,$V$30))))*(IF(G150="Normal",$V$35,IF(G150="Pendek",$V$36,$V$37)))*(IF(H150="Gizi Buruk",$V$42,IF(H150="Gizi Lebih",$V$43,IF(H150="Risiko Gizi Lebih",$V$44,IF(H150="Gizi Baik",$V$45,$V$46)))))*(IF(I150="Ya",$V$51,$V$52))</f>
        <v/>
      </c>
      <c r="N150" s="97">
        <f>IF(K150=MAX(K150,L150,M150),"Stunting",IF(L150=MAX(K150,L150,M150),"Potensi Stunting","Tidak"))</f>
        <v/>
      </c>
    </row>
    <row r="151" ht="15.75" customHeight="1" s="95">
      <c r="A151" s="97" t="inlineStr">
        <is>
          <t>anonymus0895</t>
        </is>
      </c>
      <c r="B151" s="97" t="inlineStr">
        <is>
          <t>L</t>
        </is>
      </c>
      <c r="C151" s="97" t="inlineStr">
        <is>
          <t>35-69 Bulan</t>
        </is>
      </c>
      <c r="D151" s="97" t="inlineStr">
        <is>
          <t>19.6</t>
        </is>
      </c>
      <c r="E151" s="97" t="n">
        <v>105</v>
      </c>
      <c r="F151" s="97" t="inlineStr">
        <is>
          <t>Risiko Lebih</t>
        </is>
      </c>
      <c r="G151" s="97" t="inlineStr">
        <is>
          <t>Normal</t>
        </is>
      </c>
      <c r="H151" s="97" t="inlineStr">
        <is>
          <t>Risiko Gizi Lebih</t>
        </is>
      </c>
      <c r="I151" s="97" t="inlineStr">
        <is>
          <t>Ya</t>
        </is>
      </c>
      <c r="J151" s="126" t="inlineStr">
        <is>
          <t>Tidak</t>
        </is>
      </c>
      <c r="K151" s="97">
        <f>($Q$4/$Q$3)*(IF(B151="L",$T$15,$T$16))*(IF(C151="1-34 Bulan",$T$21,$T$22))*(IF(F151="Risiko Lebih",$T$27,IF(F151="Normal",$T$28,IF(F151="Kurang",$T$29,$T$30))))*(IF(G151="Normal",$T$35,IF(G151="Pendek",$T$36,$T$37)))*(IF(H151="Gizi Buruk",$T$42,IF(H151="Gizi Lebih",$T$43,IF(H151="Risiko Gizi Lebih",$T$44,IF(H151="Gizi Baik",$T$45,$T$46)))))*(IF(I151="Ya",$T$51,$T$52))</f>
        <v/>
      </c>
      <c r="L151" s="97">
        <f>($Q$5/$Q$3)*(IF(B151="L",$U$15,$U$16))*(IF(C151="1-34 Bulan",$U$21,$U$22))*(IF(F151="Risiko Lebih",$U$27,IF(F151="Normal",$U$28,IF(F151="Kurang",$U$29,$U$30))))*(IF(G151="Normal",$U$35,IF(G151="Pendek",$U$36,$U$37)))*(IF(H151="Gizi Buruk",$U$42,IF(H151="Gizi Lebih",$U$43,IF(H151="Risiko Gizi Lebih",$U$44,IF(H151="Gizi Baik",$U$45,$U$46)))))*(IF(I151="Ya",$U$51,$U$52))</f>
        <v/>
      </c>
      <c r="M151" s="97">
        <f>($Q$6/$Q$3)*(IF(B151="L",$V$15,$V$16))*(IF(C151="1-34 Bulan",$V$21,$V$22))*(IF(F151="Risiko Lebih",$V$27,IF(F151="Normal",$V$28,IF(F151="Kurang",$V$29,$V$30))))*(IF(G151="Normal",$V$35,IF(G151="Pendek",$V$36,$V$37)))*(IF(H151="Gizi Buruk",$V$42,IF(H151="Gizi Lebih",$V$43,IF(H151="Risiko Gizi Lebih",$V$44,IF(H151="Gizi Baik",$V$45,$V$46)))))*(IF(I151="Ya",$V$51,$V$52))</f>
        <v/>
      </c>
      <c r="N151" s="97">
        <f>IF(K151=MAX(K151,L151,M151),"Stunting",IF(L151=MAX(K151,L151,M151),"Potensi Stunting","Tidak"))</f>
        <v/>
      </c>
    </row>
    <row r="152" ht="15.75" customHeight="1" s="95">
      <c r="A152" s="97" t="inlineStr">
        <is>
          <t>anonymus0896</t>
        </is>
      </c>
      <c r="B152" s="97" t="inlineStr">
        <is>
          <t>L</t>
        </is>
      </c>
      <c r="C152" s="97" t="inlineStr">
        <is>
          <t>35-69 Bulan</t>
        </is>
      </c>
      <c r="D152" s="97" t="inlineStr">
        <is>
          <t>14.9</t>
        </is>
      </c>
      <c r="E152" s="97" t="n">
        <v>98</v>
      </c>
      <c r="F152" s="97" t="inlineStr">
        <is>
          <t>Normal</t>
        </is>
      </c>
      <c r="G152" s="97" t="inlineStr">
        <is>
          <t>Normal</t>
        </is>
      </c>
      <c r="H152" s="97" t="inlineStr">
        <is>
          <t>Gizi Baik</t>
        </is>
      </c>
      <c r="I152" s="97" t="inlineStr">
        <is>
          <t>Ya</t>
        </is>
      </c>
      <c r="J152" s="126" t="inlineStr">
        <is>
          <t>Tidak</t>
        </is>
      </c>
      <c r="K152" s="97">
        <f>($Q$4/$Q$3)*(IF(B152="L",$T$15,$T$16))*(IF(C152="1-34 Bulan",$T$21,$T$22))*(IF(F152="Risiko Lebih",$T$27,IF(F152="Normal",$T$28,IF(F152="Kurang",$T$29,$T$30))))*(IF(G152="Normal",$T$35,IF(G152="Pendek",$T$36,$T$37)))*(IF(H152="Gizi Buruk",$T$42,IF(H152="Gizi Lebih",$T$43,IF(H152="Risiko Gizi Lebih",$T$44,IF(H152="Gizi Baik",$T$45,$T$46)))))*(IF(I152="Ya",$T$51,$T$52))</f>
        <v/>
      </c>
      <c r="L152" s="97">
        <f>($Q$5/$Q$3)*(IF(B152="L",$U$15,$U$16))*(IF(C152="1-34 Bulan",$U$21,$U$22))*(IF(F152="Risiko Lebih",$U$27,IF(F152="Normal",$U$28,IF(F152="Kurang",$U$29,$U$30))))*(IF(G152="Normal",$U$35,IF(G152="Pendek",$U$36,$U$37)))*(IF(H152="Gizi Buruk",$U$42,IF(H152="Gizi Lebih",$U$43,IF(H152="Risiko Gizi Lebih",$U$44,IF(H152="Gizi Baik",$U$45,$U$46)))))*(IF(I152="Ya",$U$51,$U$52))</f>
        <v/>
      </c>
      <c r="M152" s="97">
        <f>($Q$6/$Q$3)*(IF(B152="L",$V$15,$V$16))*(IF(C152="1-34 Bulan",$V$21,$V$22))*(IF(F152="Risiko Lebih",$V$27,IF(F152="Normal",$V$28,IF(F152="Kurang",$V$29,$V$30))))*(IF(G152="Normal",$V$35,IF(G152="Pendek",$V$36,$V$37)))*(IF(H152="Gizi Buruk",$V$42,IF(H152="Gizi Lebih",$V$43,IF(H152="Risiko Gizi Lebih",$V$44,IF(H152="Gizi Baik",$V$45,$V$46)))))*(IF(I152="Ya",$V$51,$V$52))</f>
        <v/>
      </c>
      <c r="N152" s="97">
        <f>IF(K152=MAX(K152,L152,M152),"Stunting",IF(L152=MAX(K152,L152,M152),"Potensi Stunting","Tidak"))</f>
        <v/>
      </c>
    </row>
    <row r="153" ht="15.75" customHeight="1" s="95">
      <c r="A153" s="97" t="inlineStr">
        <is>
          <t>anonymus0897</t>
        </is>
      </c>
      <c r="B153" s="97" t="inlineStr">
        <is>
          <t>L</t>
        </is>
      </c>
      <c r="C153" s="97" t="inlineStr">
        <is>
          <t>35-69 Bulan</t>
        </is>
      </c>
      <c r="D153" s="97" t="inlineStr">
        <is>
          <t>18.3</t>
        </is>
      </c>
      <c r="E153" s="97" t="n">
        <v>105</v>
      </c>
      <c r="F153" s="97" t="inlineStr">
        <is>
          <t>Normal</t>
        </is>
      </c>
      <c r="G153" s="97" t="inlineStr">
        <is>
          <t>Normal</t>
        </is>
      </c>
      <c r="H153" s="97" t="inlineStr">
        <is>
          <t>Gizi Baik</t>
        </is>
      </c>
      <c r="I153" s="97" t="inlineStr">
        <is>
          <t>Ya</t>
        </is>
      </c>
      <c r="J153" s="126" t="inlineStr">
        <is>
          <t>Tidak</t>
        </is>
      </c>
      <c r="K153" s="97">
        <f>($Q$4/$Q$3)*(IF(B153="L",$T$15,$T$16))*(IF(C153="1-34 Bulan",$T$21,$T$22))*(IF(F153="Risiko Lebih",$T$27,IF(F153="Normal",$T$28,IF(F153="Kurang",$T$29,$T$30))))*(IF(G153="Normal",$T$35,IF(G153="Pendek",$T$36,$T$37)))*(IF(H153="Gizi Buruk",$T$42,IF(H153="Gizi Lebih",$T$43,IF(H153="Risiko Gizi Lebih",$T$44,IF(H153="Gizi Baik",$T$45,$T$46)))))*(IF(I153="Ya",$T$51,$T$52))</f>
        <v/>
      </c>
      <c r="L153" s="97">
        <f>($Q$5/$Q$3)*(IF(B153="L",$U$15,$U$16))*(IF(C153="1-34 Bulan",$U$21,$U$22))*(IF(F153="Risiko Lebih",$U$27,IF(F153="Normal",$U$28,IF(F153="Kurang",$U$29,$U$30))))*(IF(G153="Normal",$U$35,IF(G153="Pendek",$U$36,$U$37)))*(IF(H153="Gizi Buruk",$U$42,IF(H153="Gizi Lebih",$U$43,IF(H153="Risiko Gizi Lebih",$U$44,IF(H153="Gizi Baik",$U$45,$U$46)))))*(IF(I153="Ya",$U$51,$U$52))</f>
        <v/>
      </c>
      <c r="M153" s="97">
        <f>($Q$6/$Q$3)*(IF(B153="L",$V$15,$V$16))*(IF(C153="1-34 Bulan",$V$21,$V$22))*(IF(F153="Risiko Lebih",$V$27,IF(F153="Normal",$V$28,IF(F153="Kurang",$V$29,$V$30))))*(IF(G153="Normal",$V$35,IF(G153="Pendek",$V$36,$V$37)))*(IF(H153="Gizi Buruk",$V$42,IF(H153="Gizi Lebih",$V$43,IF(H153="Risiko Gizi Lebih",$V$44,IF(H153="Gizi Baik",$V$45,$V$46)))))*(IF(I153="Ya",$V$51,$V$52))</f>
        <v/>
      </c>
      <c r="N153" s="97">
        <f>IF(K153=MAX(K153,L153,M153),"Stunting",IF(L153=MAX(K153,L153,M153),"Potensi Stunting","Tidak"))</f>
        <v/>
      </c>
    </row>
    <row r="154" ht="15.75" customHeight="1" s="95">
      <c r="A154" s="97" t="inlineStr">
        <is>
          <t>anonymus0898</t>
        </is>
      </c>
      <c r="B154" s="97" t="inlineStr">
        <is>
          <t>L</t>
        </is>
      </c>
      <c r="C154" s="97" t="inlineStr">
        <is>
          <t>35-69 Bulan</t>
        </is>
      </c>
      <c r="D154" s="97" t="n">
        <v>13.3</v>
      </c>
      <c r="E154" s="97" t="n">
        <v>104</v>
      </c>
      <c r="F154" s="97" t="inlineStr">
        <is>
          <t>Normal</t>
        </is>
      </c>
      <c r="G154" s="97" t="inlineStr">
        <is>
          <t>Normal</t>
        </is>
      </c>
      <c r="H154" s="97" t="inlineStr">
        <is>
          <t>Gizi Kurang</t>
        </is>
      </c>
      <c r="I154" s="97" t="inlineStr">
        <is>
          <t>Ya</t>
        </is>
      </c>
      <c r="J154" s="126" t="inlineStr">
        <is>
          <t>Tidak</t>
        </is>
      </c>
      <c r="K154" s="97">
        <f>($Q$4/$Q$3)*(IF(B154="L",$T$15,$T$16))*(IF(C154="1-34 Bulan",$T$21,$T$22))*(IF(F154="Risiko Lebih",$T$27,IF(F154="Normal",$T$28,IF(F154="Kurang",$T$29,$T$30))))*(IF(G154="Normal",$T$35,IF(G154="Pendek",$T$36,$T$37)))*(IF(H154="Gizi Buruk",$T$42,IF(H154="Gizi Lebih",$T$43,IF(H154="Risiko Gizi Lebih",$T$44,IF(H154="Gizi Baik",$T$45,$T$46)))))*(IF(I154="Ya",$T$51,$T$52))</f>
        <v/>
      </c>
      <c r="L154" s="97">
        <f>($Q$5/$Q$3)*(IF(B154="L",$U$15,$U$16))*(IF(C154="1-34 Bulan",$U$21,$U$22))*(IF(F154="Risiko Lebih",$U$27,IF(F154="Normal",$U$28,IF(F154="Kurang",$U$29,$U$30))))*(IF(G154="Normal",$U$35,IF(G154="Pendek",$U$36,$U$37)))*(IF(H154="Gizi Buruk",$U$42,IF(H154="Gizi Lebih",$U$43,IF(H154="Risiko Gizi Lebih",$U$44,IF(H154="Gizi Baik",$U$45,$U$46)))))*(IF(I154="Ya",$U$51,$U$52))</f>
        <v/>
      </c>
      <c r="M154" s="97">
        <f>($Q$6/$Q$3)*(IF(B154="L",$V$15,$V$16))*(IF(C154="1-34 Bulan",$V$21,$V$22))*(IF(F154="Risiko Lebih",$V$27,IF(F154="Normal",$V$28,IF(F154="Kurang",$V$29,$V$30))))*(IF(G154="Normal",$V$35,IF(G154="Pendek",$V$36,$V$37)))*(IF(H154="Gizi Buruk",$V$42,IF(H154="Gizi Lebih",$V$43,IF(H154="Risiko Gizi Lebih",$V$44,IF(H154="Gizi Baik",$V$45,$V$46)))))*(IF(I154="Ya",$V$51,$V$52))</f>
        <v/>
      </c>
      <c r="N154" s="97">
        <f>IF(K154=MAX(K154,L154,M154),"Stunting",IF(L154=MAX(K154,L154,M154),"Potensi Stunting","Tidak"))</f>
        <v/>
      </c>
    </row>
    <row r="155" ht="15.75" customHeight="1" s="95">
      <c r="A155" s="97" t="inlineStr">
        <is>
          <t>anonymus0899</t>
        </is>
      </c>
      <c r="B155" s="97" t="inlineStr">
        <is>
          <t>L</t>
        </is>
      </c>
      <c r="C155" s="97" t="inlineStr">
        <is>
          <t>1-34 Bulan</t>
        </is>
      </c>
      <c r="D155" s="97" t="inlineStr">
        <is>
          <t>9.5</t>
        </is>
      </c>
      <c r="E155" s="97" t="n">
        <v>77</v>
      </c>
      <c r="F155" s="97" t="inlineStr">
        <is>
          <t>Normal</t>
        </is>
      </c>
      <c r="G155" s="97" t="inlineStr">
        <is>
          <t>Normal</t>
        </is>
      </c>
      <c r="H155" s="97" t="inlineStr">
        <is>
          <t>Gizi Baik</t>
        </is>
      </c>
      <c r="I155" s="97" t="inlineStr">
        <is>
          <t>Ya</t>
        </is>
      </c>
      <c r="J155" s="126" t="inlineStr">
        <is>
          <t>Tidak</t>
        </is>
      </c>
      <c r="K155" s="97">
        <f>($Q$4/$Q$3)*(IF(B155="L",$T$15,$T$16))*(IF(C155="1-34 Bulan",$T$21,$T$22))*(IF(F155="Risiko Lebih",$T$27,IF(F155="Normal",$T$28,IF(F155="Kurang",$T$29,$T$30))))*(IF(G155="Normal",$T$35,IF(G155="Pendek",$T$36,$T$37)))*(IF(H155="Gizi Buruk",$T$42,IF(H155="Gizi Lebih",$T$43,IF(H155="Risiko Gizi Lebih",$T$44,IF(H155="Gizi Baik",$T$45,$T$46)))))*(IF(I155="Ya",$T$51,$T$52))</f>
        <v/>
      </c>
      <c r="L155" s="97">
        <f>($Q$5/$Q$3)*(IF(B155="L",$U$15,$U$16))*(IF(C155="1-34 Bulan",$U$21,$U$22))*(IF(F155="Risiko Lebih",$U$27,IF(F155="Normal",$U$28,IF(F155="Kurang",$U$29,$U$30))))*(IF(G155="Normal",$U$35,IF(G155="Pendek",$U$36,$U$37)))*(IF(H155="Gizi Buruk",$U$42,IF(H155="Gizi Lebih",$U$43,IF(H155="Risiko Gizi Lebih",$U$44,IF(H155="Gizi Baik",$U$45,$U$46)))))*(IF(I155="Ya",$U$51,$U$52))</f>
        <v/>
      </c>
      <c r="M155" s="97">
        <f>($Q$6/$Q$3)*(IF(B155="L",$V$15,$V$16))*(IF(C155="1-34 Bulan",$V$21,$V$22))*(IF(F155="Risiko Lebih",$V$27,IF(F155="Normal",$V$28,IF(F155="Kurang",$V$29,$V$30))))*(IF(G155="Normal",$V$35,IF(G155="Pendek",$V$36,$V$37)))*(IF(H155="Gizi Buruk",$V$42,IF(H155="Gizi Lebih",$V$43,IF(H155="Risiko Gizi Lebih",$V$44,IF(H155="Gizi Baik",$V$45,$V$46)))))*(IF(I155="Ya",$V$51,$V$52))</f>
        <v/>
      </c>
      <c r="N155" s="97">
        <f>IF(K155=MAX(K155,L155,M155),"Stunting",IF(L155=MAX(K155,L155,M155),"Potensi Stunting","Tidak"))</f>
        <v/>
      </c>
    </row>
    <row r="156" ht="15.75" customHeight="1" s="95">
      <c r="A156" s="97" t="inlineStr">
        <is>
          <t>anonymus0900</t>
        </is>
      </c>
      <c r="B156" s="97" t="inlineStr">
        <is>
          <t>P</t>
        </is>
      </c>
      <c r="C156" s="97" t="inlineStr">
        <is>
          <t>35-69 Bulan</t>
        </is>
      </c>
      <c r="D156" s="97" t="n">
        <v>8.4</v>
      </c>
      <c r="E156" s="97" t="n">
        <v>75</v>
      </c>
      <c r="F156" s="97" t="inlineStr">
        <is>
          <t>Sangat Kurang</t>
        </is>
      </c>
      <c r="G156" s="97" t="inlineStr">
        <is>
          <t>Sangat Pendek</t>
        </is>
      </c>
      <c r="H156" s="97" t="inlineStr">
        <is>
          <t>Gizi Baik</t>
        </is>
      </c>
      <c r="I156" s="97" t="inlineStr">
        <is>
          <t>Ya</t>
        </is>
      </c>
      <c r="J156" s="126" t="inlineStr">
        <is>
          <t>Stunting</t>
        </is>
      </c>
      <c r="K156" s="97">
        <f>($Q$4/$Q$3)*(IF(B156="L",$T$15,$T$16))*(IF(C156="1-34 Bulan",$T$21,$T$22))*(IF(F156="Risiko Lebih",$T$27,IF(F156="Normal",$T$28,IF(F156="Kurang",$T$29,$T$30))))*(IF(G156="Normal",$T$35,IF(G156="Pendek",$T$36,$T$37)))*(IF(H156="Gizi Buruk",$T$42,IF(H156="Gizi Lebih",$T$43,IF(H156="Risiko Gizi Lebih",$T$44,IF(H156="Gizi Baik",$T$45,$T$46)))))*(IF(I156="Ya",$T$51,$T$52))</f>
        <v/>
      </c>
      <c r="L156" s="97">
        <f>($Q$5/$Q$3)*(IF(B156="L",$U$15,$U$16))*(IF(C156="1-34 Bulan",$U$21,$U$22))*(IF(F156="Risiko Lebih",$U$27,IF(F156="Normal",$U$28,IF(F156="Kurang",$U$29,$U$30))))*(IF(G156="Normal",$U$35,IF(G156="Pendek",$U$36,$U$37)))*(IF(H156="Gizi Buruk",$U$42,IF(H156="Gizi Lebih",$U$43,IF(H156="Risiko Gizi Lebih",$U$44,IF(H156="Gizi Baik",$U$45,$U$46)))))*(IF(I156="Ya",$U$51,$U$52))</f>
        <v/>
      </c>
      <c r="M156" s="97">
        <f>($Q$6/$Q$3)*(IF(B156="L",$V$15,$V$16))*(IF(C156="1-34 Bulan",$V$21,$V$22))*(IF(F156="Risiko Lebih",$V$27,IF(F156="Normal",$V$28,IF(F156="Kurang",$V$29,$V$30))))*(IF(G156="Normal",$V$35,IF(G156="Pendek",$V$36,$V$37)))*(IF(H156="Gizi Buruk",$V$42,IF(H156="Gizi Lebih",$V$43,IF(H156="Risiko Gizi Lebih",$V$44,IF(H156="Gizi Baik",$V$45,$V$46)))))*(IF(I156="Ya",$V$51,$V$52))</f>
        <v/>
      </c>
      <c r="N156" s="97">
        <f>IF(K156=MAX(K156,L156,M156),"Stunting",IF(L156=MAX(K156,L156,M156),"Potensi Stunting","Tidak"))</f>
        <v/>
      </c>
    </row>
    <row r="157" ht="15.75" customHeight="1" s="95">
      <c r="A157" s="97" t="inlineStr">
        <is>
          <t>anonymus0901</t>
        </is>
      </c>
      <c r="B157" s="97" t="inlineStr">
        <is>
          <t>L</t>
        </is>
      </c>
      <c r="C157" s="97" t="inlineStr">
        <is>
          <t>35-69 Bulan</t>
        </is>
      </c>
      <c r="D157" s="97" t="n">
        <v>15.2</v>
      </c>
      <c r="E157" s="97" t="n">
        <v>114</v>
      </c>
      <c r="F157" s="97" t="inlineStr">
        <is>
          <t>Normal</t>
        </is>
      </c>
      <c r="G157" s="97" t="inlineStr">
        <is>
          <t>Normal</t>
        </is>
      </c>
      <c r="H157" s="97" t="inlineStr">
        <is>
          <t>Gizi Baik</t>
        </is>
      </c>
      <c r="I157" s="97" t="inlineStr">
        <is>
          <t>Ya</t>
        </is>
      </c>
      <c r="J157" s="126" t="inlineStr">
        <is>
          <t>Tidak</t>
        </is>
      </c>
      <c r="K157" s="97">
        <f>($Q$4/$Q$3)*(IF(B157="L",$T$15,$T$16))*(IF(C157="1-34 Bulan",$T$21,$T$22))*(IF(F157="Risiko Lebih",$T$27,IF(F157="Normal",$T$28,IF(F157="Kurang",$T$29,$T$30))))*(IF(G157="Normal",$T$35,IF(G157="Pendek",$T$36,$T$37)))*(IF(H157="Gizi Buruk",$T$42,IF(H157="Gizi Lebih",$T$43,IF(H157="Risiko Gizi Lebih",$T$44,IF(H157="Gizi Baik",$T$45,$T$46)))))*(IF(I157="Ya",$T$51,$T$52))</f>
        <v/>
      </c>
      <c r="L157" s="97">
        <f>($Q$5/$Q$3)*(IF(B157="L",$U$15,$U$16))*(IF(C157="1-34 Bulan",$U$21,$U$22))*(IF(F157="Risiko Lebih",$U$27,IF(F157="Normal",$U$28,IF(F157="Kurang",$U$29,$U$30))))*(IF(G157="Normal",$U$35,IF(G157="Pendek",$U$36,$U$37)))*(IF(H157="Gizi Buruk",$U$42,IF(H157="Gizi Lebih",$U$43,IF(H157="Risiko Gizi Lebih",$U$44,IF(H157="Gizi Baik",$U$45,$U$46)))))*(IF(I157="Ya",$U$51,$U$52))</f>
        <v/>
      </c>
      <c r="M157" s="97">
        <f>($Q$6/$Q$3)*(IF(B157="L",$V$15,$V$16))*(IF(C157="1-34 Bulan",$V$21,$V$22))*(IF(F157="Risiko Lebih",$V$27,IF(F157="Normal",$V$28,IF(F157="Kurang",$V$29,$V$30))))*(IF(G157="Normal",$V$35,IF(G157="Pendek",$V$36,$V$37)))*(IF(H157="Gizi Buruk",$V$42,IF(H157="Gizi Lebih",$V$43,IF(H157="Risiko Gizi Lebih",$V$44,IF(H157="Gizi Baik",$V$45,$V$46)))))*(IF(I157="Ya",$V$51,$V$52))</f>
        <v/>
      </c>
      <c r="N157" s="97">
        <f>IF(K157=MAX(K157,L157,M157),"Stunting",IF(L157=MAX(K157,L157,M157),"Potensi Stunting","Tidak"))</f>
        <v/>
      </c>
    </row>
    <row r="158" ht="15.75" customHeight="1" s="95">
      <c r="A158" s="97" t="inlineStr">
        <is>
          <t>anonymus0902</t>
        </is>
      </c>
      <c r="B158" s="97" t="inlineStr">
        <is>
          <t>L</t>
        </is>
      </c>
      <c r="C158" s="97" t="inlineStr">
        <is>
          <t>1-34 Bulan</t>
        </is>
      </c>
      <c r="D158" s="97" t="n">
        <v>13</v>
      </c>
      <c r="E158" s="97" t="n">
        <v>88</v>
      </c>
      <c r="F158" s="97" t="inlineStr">
        <is>
          <t>Normal</t>
        </is>
      </c>
      <c r="G158" s="97" t="inlineStr">
        <is>
          <t>Normal</t>
        </is>
      </c>
      <c r="H158" s="97" t="inlineStr">
        <is>
          <t>Gizi Baik</t>
        </is>
      </c>
      <c r="I158" s="97" t="inlineStr">
        <is>
          <t>Ya</t>
        </is>
      </c>
      <c r="J158" s="126" t="inlineStr">
        <is>
          <t>Tidak</t>
        </is>
      </c>
      <c r="K158" s="97">
        <f>($Q$4/$Q$3)*(IF(B158="L",$T$15,$T$16))*(IF(C158="1-34 Bulan",$T$21,$T$22))*(IF(F158="Risiko Lebih",$T$27,IF(F158="Normal",$T$28,IF(F158="Kurang",$T$29,$T$30))))*(IF(G158="Normal",$T$35,IF(G158="Pendek",$T$36,$T$37)))*(IF(H158="Gizi Buruk",$T$42,IF(H158="Gizi Lebih",$T$43,IF(H158="Risiko Gizi Lebih",$T$44,IF(H158="Gizi Baik",$T$45,$T$46)))))*(IF(I158="Ya",$T$51,$T$52))</f>
        <v/>
      </c>
      <c r="L158" s="97">
        <f>($Q$5/$Q$3)*(IF(B158="L",$U$15,$U$16))*(IF(C158="1-34 Bulan",$U$21,$U$22))*(IF(F158="Risiko Lebih",$U$27,IF(F158="Normal",$U$28,IF(F158="Kurang",$U$29,$U$30))))*(IF(G158="Normal",$U$35,IF(G158="Pendek",$U$36,$U$37)))*(IF(H158="Gizi Buruk",$U$42,IF(H158="Gizi Lebih",$U$43,IF(H158="Risiko Gizi Lebih",$U$44,IF(H158="Gizi Baik",$U$45,$U$46)))))*(IF(I158="Ya",$U$51,$U$52))</f>
        <v/>
      </c>
      <c r="M158" s="97">
        <f>($Q$6/$Q$3)*(IF(B158="L",$V$15,$V$16))*(IF(C158="1-34 Bulan",$V$21,$V$22))*(IF(F158="Risiko Lebih",$V$27,IF(F158="Normal",$V$28,IF(F158="Kurang",$V$29,$V$30))))*(IF(G158="Normal",$V$35,IF(G158="Pendek",$V$36,$V$37)))*(IF(H158="Gizi Buruk",$V$42,IF(H158="Gizi Lebih",$V$43,IF(H158="Risiko Gizi Lebih",$V$44,IF(H158="Gizi Baik",$V$45,$V$46)))))*(IF(I158="Ya",$V$51,$V$52))</f>
        <v/>
      </c>
      <c r="N158" s="97">
        <f>IF(K158=MAX(K158,L158,M158),"Stunting",IF(L158=MAX(K158,L158,M158),"Potensi Stunting","Tidak"))</f>
        <v/>
      </c>
    </row>
    <row r="159" ht="15.75" customHeight="1" s="95">
      <c r="A159" s="97" t="inlineStr">
        <is>
          <t>anonymus0903</t>
        </is>
      </c>
      <c r="B159" s="97" t="inlineStr">
        <is>
          <t>P</t>
        </is>
      </c>
      <c r="C159" s="97" t="inlineStr">
        <is>
          <t>35-69 Bulan</t>
        </is>
      </c>
      <c r="D159" s="97" t="n">
        <v>11</v>
      </c>
      <c r="E159" s="97" t="n">
        <v>94</v>
      </c>
      <c r="F159" s="97" t="inlineStr">
        <is>
          <t>Kurang</t>
        </is>
      </c>
      <c r="G159" s="97" t="inlineStr">
        <is>
          <t>Normal</t>
        </is>
      </c>
      <c r="H159" s="97" t="inlineStr">
        <is>
          <t>Gizi Kurang</t>
        </is>
      </c>
      <c r="I159" s="97" t="inlineStr">
        <is>
          <t>Ya</t>
        </is>
      </c>
      <c r="J159" s="126" t="inlineStr">
        <is>
          <t>Tidak</t>
        </is>
      </c>
      <c r="K159" s="97">
        <f>($Q$4/$Q$3)*(IF(B159="L",$T$15,$T$16))*(IF(C159="1-34 Bulan",$T$21,$T$22))*(IF(F159="Risiko Lebih",$T$27,IF(F159="Normal",$T$28,IF(F159="Kurang",$T$29,$T$30))))*(IF(G159="Normal",$T$35,IF(G159="Pendek",$T$36,$T$37)))*(IF(H159="Gizi Buruk",$T$42,IF(H159="Gizi Lebih",$T$43,IF(H159="Risiko Gizi Lebih",$T$44,IF(H159="Gizi Baik",$T$45,$T$46)))))*(IF(I159="Ya",$T$51,$T$52))</f>
        <v/>
      </c>
      <c r="L159" s="97">
        <f>($Q$5/$Q$3)*(IF(B159="L",$U$15,$U$16))*(IF(C159="1-34 Bulan",$U$21,$U$22))*(IF(F159="Risiko Lebih",$U$27,IF(F159="Normal",$U$28,IF(F159="Kurang",$U$29,$U$30))))*(IF(G159="Normal",$U$35,IF(G159="Pendek",$U$36,$U$37)))*(IF(H159="Gizi Buruk",$U$42,IF(H159="Gizi Lebih",$U$43,IF(H159="Risiko Gizi Lebih",$U$44,IF(H159="Gizi Baik",$U$45,$U$46)))))*(IF(I159="Ya",$U$51,$U$52))</f>
        <v/>
      </c>
      <c r="M159" s="97">
        <f>($Q$6/$Q$3)*(IF(B159="L",$V$15,$V$16))*(IF(C159="1-34 Bulan",$V$21,$V$22))*(IF(F159="Risiko Lebih",$V$27,IF(F159="Normal",$V$28,IF(F159="Kurang",$V$29,$V$30))))*(IF(G159="Normal",$V$35,IF(G159="Pendek",$V$36,$V$37)))*(IF(H159="Gizi Buruk",$V$42,IF(H159="Gizi Lebih",$V$43,IF(H159="Risiko Gizi Lebih",$V$44,IF(H159="Gizi Baik",$V$45,$V$46)))))*(IF(I159="Ya",$V$51,$V$52))</f>
        <v/>
      </c>
      <c r="N159" s="97">
        <f>IF(K159=MAX(K159,L159,M159),"Stunting",IF(L159=MAX(K159,L159,M159),"Potensi Stunting","Tidak"))</f>
        <v/>
      </c>
    </row>
    <row r="160" ht="15.75" customHeight="1" s="95">
      <c r="A160" s="97" t="inlineStr">
        <is>
          <t>anonymus0904</t>
        </is>
      </c>
      <c r="B160" s="97" t="inlineStr">
        <is>
          <t>L</t>
        </is>
      </c>
      <c r="C160" s="97" t="inlineStr">
        <is>
          <t>35-69 Bulan</t>
        </is>
      </c>
      <c r="D160" s="97" t="n">
        <v>12.2</v>
      </c>
      <c r="E160" s="97" t="n">
        <v>113</v>
      </c>
      <c r="F160" s="97" t="inlineStr">
        <is>
          <t>Normal</t>
        </is>
      </c>
      <c r="G160" s="97" t="inlineStr">
        <is>
          <t>Normal</t>
        </is>
      </c>
      <c r="H160" s="97" t="inlineStr">
        <is>
          <t>Gizi Baik</t>
        </is>
      </c>
      <c r="I160" s="97" t="inlineStr">
        <is>
          <t>Ya</t>
        </is>
      </c>
      <c r="J160" s="126" t="inlineStr">
        <is>
          <t>Tidak</t>
        </is>
      </c>
      <c r="K160" s="97">
        <f>($Q$4/$Q$3)*(IF(B160="L",$T$15,$T$16))*(IF(C160="1-34 Bulan",$T$21,$T$22))*(IF(F160="Risiko Lebih",$T$27,IF(F160="Normal",$T$28,IF(F160="Kurang",$T$29,$T$30))))*(IF(G160="Normal",$T$35,IF(G160="Pendek",$T$36,$T$37)))*(IF(H160="Gizi Buruk",$T$42,IF(H160="Gizi Lebih",$T$43,IF(H160="Risiko Gizi Lebih",$T$44,IF(H160="Gizi Baik",$T$45,$T$46)))))*(IF(I160="Ya",$T$51,$T$52))</f>
        <v/>
      </c>
      <c r="L160" s="97">
        <f>($Q$5/$Q$3)*(IF(B160="L",$U$15,$U$16))*(IF(C160="1-34 Bulan",$U$21,$U$22))*(IF(F160="Risiko Lebih",$U$27,IF(F160="Normal",$U$28,IF(F160="Kurang",$U$29,$U$30))))*(IF(G160="Normal",$U$35,IF(G160="Pendek",$U$36,$U$37)))*(IF(H160="Gizi Buruk",$U$42,IF(H160="Gizi Lebih",$U$43,IF(H160="Risiko Gizi Lebih",$U$44,IF(H160="Gizi Baik",$U$45,$U$46)))))*(IF(I160="Ya",$U$51,$U$52))</f>
        <v/>
      </c>
      <c r="M160" s="97">
        <f>($Q$6/$Q$3)*(IF(B160="L",$V$15,$V$16))*(IF(C160="1-34 Bulan",$V$21,$V$22))*(IF(F160="Risiko Lebih",$V$27,IF(F160="Normal",$V$28,IF(F160="Kurang",$V$29,$V$30))))*(IF(G160="Normal",$V$35,IF(G160="Pendek",$V$36,$V$37)))*(IF(H160="Gizi Buruk",$V$42,IF(H160="Gizi Lebih",$V$43,IF(H160="Risiko Gizi Lebih",$V$44,IF(H160="Gizi Baik",$V$45,$V$46)))))*(IF(I160="Ya",$V$51,$V$52))</f>
        <v/>
      </c>
      <c r="N160" s="97">
        <f>IF(K160=MAX(K160,L160,M160),"Stunting",IF(L160=MAX(K160,L160,M160),"Potensi Stunting","Tidak"))</f>
        <v/>
      </c>
    </row>
    <row r="161" ht="15.75" customHeight="1" s="95">
      <c r="A161" s="97" t="inlineStr">
        <is>
          <t>anonymus0905</t>
        </is>
      </c>
      <c r="B161" s="97" t="inlineStr">
        <is>
          <t>P</t>
        </is>
      </c>
      <c r="C161" s="97" t="inlineStr">
        <is>
          <t>1-34 Bulan</t>
        </is>
      </c>
      <c r="D161" s="97" t="n">
        <v>8.4</v>
      </c>
      <c r="E161" s="97" t="n">
        <v>87</v>
      </c>
      <c r="F161" s="97" t="inlineStr">
        <is>
          <t>Kurang</t>
        </is>
      </c>
      <c r="G161" s="97" t="inlineStr">
        <is>
          <t>Normal</t>
        </is>
      </c>
      <c r="H161" s="97" t="inlineStr">
        <is>
          <t>Gizi Kurang</t>
        </is>
      </c>
      <c r="I161" s="97" t="inlineStr">
        <is>
          <t>Ya</t>
        </is>
      </c>
      <c r="J161" s="126" t="inlineStr">
        <is>
          <t>Tidak</t>
        </is>
      </c>
      <c r="K161" s="97">
        <f>($Q$4/$Q$3)*(IF(B161="L",$T$15,$T$16))*(IF(C161="1-34 Bulan",$T$21,$T$22))*(IF(F161="Risiko Lebih",$T$27,IF(F161="Normal",$T$28,IF(F161="Kurang",$T$29,$T$30))))*(IF(G161="Normal",$T$35,IF(G161="Pendek",$T$36,$T$37)))*(IF(H161="Gizi Buruk",$T$42,IF(H161="Gizi Lebih",$T$43,IF(H161="Risiko Gizi Lebih",$T$44,IF(H161="Gizi Baik",$T$45,$T$46)))))*(IF(I161="Ya",$T$51,$T$52))</f>
        <v/>
      </c>
      <c r="L161" s="97">
        <f>($Q$5/$Q$3)*(IF(B161="L",$U$15,$U$16))*(IF(C161="1-34 Bulan",$U$21,$U$22))*(IF(F161="Risiko Lebih",$U$27,IF(F161="Normal",$U$28,IF(F161="Kurang",$U$29,$U$30))))*(IF(G161="Normal",$U$35,IF(G161="Pendek",$U$36,$U$37)))*(IF(H161="Gizi Buruk",$U$42,IF(H161="Gizi Lebih",$U$43,IF(H161="Risiko Gizi Lebih",$U$44,IF(H161="Gizi Baik",$U$45,$U$46)))))*(IF(I161="Ya",$U$51,$U$52))</f>
        <v/>
      </c>
      <c r="M161" s="97">
        <f>($Q$6/$Q$3)*(IF(B161="L",$V$15,$V$16))*(IF(C161="1-34 Bulan",$V$21,$V$22))*(IF(F161="Risiko Lebih",$V$27,IF(F161="Normal",$V$28,IF(F161="Kurang",$V$29,$V$30))))*(IF(G161="Normal",$V$35,IF(G161="Pendek",$V$36,$V$37)))*(IF(H161="Gizi Buruk",$V$42,IF(H161="Gizi Lebih",$V$43,IF(H161="Risiko Gizi Lebih",$V$44,IF(H161="Gizi Baik",$V$45,$V$46)))))*(IF(I161="Ya",$V$51,$V$52))</f>
        <v/>
      </c>
      <c r="N161" s="97">
        <f>IF(K161=MAX(K161,L161,M161),"Stunting",IF(L161=MAX(K161,L161,M161),"Potensi Stunting","Tidak"))</f>
        <v/>
      </c>
    </row>
    <row r="162" ht="15.75" customHeight="1" s="95">
      <c r="A162" s="97" t="inlineStr">
        <is>
          <t>anonymus0906</t>
        </is>
      </c>
      <c r="B162" s="97" t="inlineStr">
        <is>
          <t>L</t>
        </is>
      </c>
      <c r="C162" s="97" t="inlineStr">
        <is>
          <t>35-69 Bulan</t>
        </is>
      </c>
      <c r="D162" s="97" t="n">
        <v>11.1</v>
      </c>
      <c r="E162" s="97" t="n">
        <v>83</v>
      </c>
      <c r="F162" s="97" t="inlineStr">
        <is>
          <t>Normal</t>
        </is>
      </c>
      <c r="G162" s="97" t="inlineStr">
        <is>
          <t>Pendek</t>
        </is>
      </c>
      <c r="H162" s="97" t="inlineStr">
        <is>
          <t>Gizi Baik</t>
        </is>
      </c>
      <c r="I162" s="97" t="inlineStr">
        <is>
          <t>Ya</t>
        </is>
      </c>
      <c r="J162" s="126" t="inlineStr">
        <is>
          <t>Tidak</t>
        </is>
      </c>
      <c r="K162" s="97">
        <f>($Q$4/$Q$3)*(IF(B162="L",$T$15,$T$16))*(IF(C162="1-34 Bulan",$T$21,$T$22))*(IF(F162="Risiko Lebih",$T$27,IF(F162="Normal",$T$28,IF(F162="Kurang",$T$29,$T$30))))*(IF(G162="Normal",$T$35,IF(G162="Pendek",$T$36,$T$37)))*(IF(H162="Gizi Buruk",$T$42,IF(H162="Gizi Lebih",$T$43,IF(H162="Risiko Gizi Lebih",$T$44,IF(H162="Gizi Baik",$T$45,$T$46)))))*(IF(I162="Ya",$T$51,$T$52))</f>
        <v/>
      </c>
      <c r="L162" s="97">
        <f>($Q$5/$Q$3)*(IF(B162="L",$U$15,$U$16))*(IF(C162="1-34 Bulan",$U$21,$U$22))*(IF(F162="Risiko Lebih",$U$27,IF(F162="Normal",$U$28,IF(F162="Kurang",$U$29,$U$30))))*(IF(G162="Normal",$U$35,IF(G162="Pendek",$U$36,$U$37)))*(IF(H162="Gizi Buruk",$U$42,IF(H162="Gizi Lebih",$U$43,IF(H162="Risiko Gizi Lebih",$U$44,IF(H162="Gizi Baik",$U$45,$U$46)))))*(IF(I162="Ya",$U$51,$U$52))</f>
        <v/>
      </c>
      <c r="M162" s="97">
        <f>($Q$6/$Q$3)*(IF(B162="L",$V$15,$V$16))*(IF(C162="1-34 Bulan",$V$21,$V$22))*(IF(F162="Risiko Lebih",$V$27,IF(F162="Normal",$V$28,IF(F162="Kurang",$V$29,$V$30))))*(IF(G162="Normal",$V$35,IF(G162="Pendek",$V$36,$V$37)))*(IF(H162="Gizi Buruk",$V$42,IF(H162="Gizi Lebih",$V$43,IF(H162="Risiko Gizi Lebih",$V$44,IF(H162="Gizi Baik",$V$45,$V$46)))))*(IF(I162="Ya",$V$51,$V$52))</f>
        <v/>
      </c>
      <c r="N162" s="97">
        <f>IF(K162=MAX(K162,L162,M162),"Stunting",IF(L162=MAX(K162,L162,M162),"Potensi Stunting","Tidak"))</f>
        <v/>
      </c>
    </row>
    <row r="163" ht="15.75" customHeight="1" s="95">
      <c r="A163" s="97" t="inlineStr">
        <is>
          <t>anonymus0907</t>
        </is>
      </c>
      <c r="B163" s="97" t="inlineStr">
        <is>
          <t>L</t>
        </is>
      </c>
      <c r="C163" s="97" t="inlineStr">
        <is>
          <t>35-69 Bulan</t>
        </is>
      </c>
      <c r="D163" s="97" t="n">
        <v>16.9</v>
      </c>
      <c r="E163" s="97" t="n">
        <v>111</v>
      </c>
      <c r="F163" s="97" t="inlineStr">
        <is>
          <t>Normal</t>
        </is>
      </c>
      <c r="G163" s="97" t="inlineStr">
        <is>
          <t>Normal</t>
        </is>
      </c>
      <c r="H163" s="97" t="inlineStr">
        <is>
          <t>Gizi Baik</t>
        </is>
      </c>
      <c r="I163" s="97" t="inlineStr">
        <is>
          <t>Ya</t>
        </is>
      </c>
      <c r="J163" s="126" t="inlineStr">
        <is>
          <t>Tidak</t>
        </is>
      </c>
      <c r="K163" s="97">
        <f>($Q$4/$Q$3)*(IF(B163="L",$T$15,$T$16))*(IF(C163="1-34 Bulan",$T$21,$T$22))*(IF(F163="Risiko Lebih",$T$27,IF(F163="Normal",$T$28,IF(F163="Kurang",$T$29,$T$30))))*(IF(G163="Normal",$T$35,IF(G163="Pendek",$T$36,$T$37)))*(IF(H163="Gizi Buruk",$T$42,IF(H163="Gizi Lebih",$T$43,IF(H163="Risiko Gizi Lebih",$T$44,IF(H163="Gizi Baik",$T$45,$T$46)))))*(IF(I163="Ya",$T$51,$T$52))</f>
        <v/>
      </c>
      <c r="L163" s="97">
        <f>($Q$5/$Q$3)*(IF(B163="L",$U$15,$U$16))*(IF(C163="1-34 Bulan",$U$21,$U$22))*(IF(F163="Risiko Lebih",$U$27,IF(F163="Normal",$U$28,IF(F163="Kurang",$U$29,$U$30))))*(IF(G163="Normal",$U$35,IF(G163="Pendek",$U$36,$U$37)))*(IF(H163="Gizi Buruk",$U$42,IF(H163="Gizi Lebih",$U$43,IF(H163="Risiko Gizi Lebih",$U$44,IF(H163="Gizi Baik",$U$45,$U$46)))))*(IF(I163="Ya",$U$51,$U$52))</f>
        <v/>
      </c>
      <c r="M163" s="97">
        <f>($Q$6/$Q$3)*(IF(B163="L",$V$15,$V$16))*(IF(C163="1-34 Bulan",$V$21,$V$22))*(IF(F163="Risiko Lebih",$V$27,IF(F163="Normal",$V$28,IF(F163="Kurang",$V$29,$V$30))))*(IF(G163="Normal",$V$35,IF(G163="Pendek",$V$36,$V$37)))*(IF(H163="Gizi Buruk",$V$42,IF(H163="Gizi Lebih",$V$43,IF(H163="Risiko Gizi Lebih",$V$44,IF(H163="Gizi Baik",$V$45,$V$46)))))*(IF(I163="Ya",$V$51,$V$52))</f>
        <v/>
      </c>
      <c r="N163" s="97">
        <f>IF(K163=MAX(K163,L163,M163),"Stunting",IF(L163=MAX(K163,L163,M163),"Potensi Stunting","Tidak"))</f>
        <v/>
      </c>
    </row>
    <row r="164" ht="15.75" customHeight="1" s="95">
      <c r="A164" s="97" t="inlineStr">
        <is>
          <t>anonymus0908</t>
        </is>
      </c>
      <c r="B164" s="97" t="inlineStr">
        <is>
          <t>L</t>
        </is>
      </c>
      <c r="C164" s="97" t="inlineStr">
        <is>
          <t>35-69 Bulan</t>
        </is>
      </c>
      <c r="D164" s="97" t="n">
        <v>14.8</v>
      </c>
      <c r="E164" s="97" t="n">
        <v>101</v>
      </c>
      <c r="F164" s="97" t="inlineStr">
        <is>
          <t>Normal</t>
        </is>
      </c>
      <c r="G164" s="97" t="inlineStr">
        <is>
          <t>Normal</t>
        </is>
      </c>
      <c r="H164" s="97" t="inlineStr">
        <is>
          <t>Gizi Baik</t>
        </is>
      </c>
      <c r="I164" s="97" t="inlineStr">
        <is>
          <t>Ya</t>
        </is>
      </c>
      <c r="J164" s="126" t="inlineStr">
        <is>
          <t>Tidak</t>
        </is>
      </c>
      <c r="K164" s="97">
        <f>($Q$4/$Q$3)*(IF(B164="L",$T$15,$T$16))*(IF(C164="1-34 Bulan",$T$21,$T$22))*(IF(F164="Risiko Lebih",$T$27,IF(F164="Normal",$T$28,IF(F164="Kurang",$T$29,$T$30))))*(IF(G164="Normal",$T$35,IF(G164="Pendek",$T$36,$T$37)))*(IF(H164="Gizi Buruk",$T$42,IF(H164="Gizi Lebih",$T$43,IF(H164="Risiko Gizi Lebih",$T$44,IF(H164="Gizi Baik",$T$45,$T$46)))))*(IF(I164="Ya",$T$51,$T$52))</f>
        <v/>
      </c>
      <c r="L164" s="97">
        <f>($Q$5/$Q$3)*(IF(B164="L",$U$15,$U$16))*(IF(C164="1-34 Bulan",$U$21,$U$22))*(IF(F164="Risiko Lebih",$U$27,IF(F164="Normal",$U$28,IF(F164="Kurang",$U$29,$U$30))))*(IF(G164="Normal",$U$35,IF(G164="Pendek",$U$36,$U$37)))*(IF(H164="Gizi Buruk",$U$42,IF(H164="Gizi Lebih",$U$43,IF(H164="Risiko Gizi Lebih",$U$44,IF(H164="Gizi Baik",$U$45,$U$46)))))*(IF(I164="Ya",$U$51,$U$52))</f>
        <v/>
      </c>
      <c r="M164" s="97">
        <f>($Q$6/$Q$3)*(IF(B164="L",$V$15,$V$16))*(IF(C164="1-34 Bulan",$V$21,$V$22))*(IF(F164="Risiko Lebih",$V$27,IF(F164="Normal",$V$28,IF(F164="Kurang",$V$29,$V$30))))*(IF(G164="Normal",$V$35,IF(G164="Pendek",$V$36,$V$37)))*(IF(H164="Gizi Buruk",$V$42,IF(H164="Gizi Lebih",$V$43,IF(H164="Risiko Gizi Lebih",$V$44,IF(H164="Gizi Baik",$V$45,$V$46)))))*(IF(I164="Ya",$V$51,$V$52))</f>
        <v/>
      </c>
      <c r="N164" s="97">
        <f>IF(K164=MAX(K164,L164,M164),"Stunting",IF(L164=MAX(K164,L164,M164),"Potensi Stunting","Tidak"))</f>
        <v/>
      </c>
    </row>
    <row r="165" ht="15.75" customHeight="1" s="95">
      <c r="A165" s="97" t="inlineStr">
        <is>
          <t>anonymus0909</t>
        </is>
      </c>
      <c r="B165" s="97" t="inlineStr">
        <is>
          <t>L</t>
        </is>
      </c>
      <c r="C165" s="97" t="inlineStr">
        <is>
          <t>35-69 Bulan</t>
        </is>
      </c>
      <c r="D165" s="97" t="n">
        <v>13.1</v>
      </c>
      <c r="E165" s="97" t="n">
        <v>103</v>
      </c>
      <c r="F165" s="97" t="inlineStr">
        <is>
          <t>Kurang</t>
        </is>
      </c>
      <c r="G165" s="97" t="inlineStr">
        <is>
          <t>Normal</t>
        </is>
      </c>
      <c r="H165" s="97" t="inlineStr">
        <is>
          <t>Gizi Kurang</t>
        </is>
      </c>
      <c r="I165" s="97" t="inlineStr">
        <is>
          <t>Ya</t>
        </is>
      </c>
      <c r="J165" s="126" t="inlineStr">
        <is>
          <t>Tidak</t>
        </is>
      </c>
      <c r="K165" s="97">
        <f>($Q$4/$Q$3)*(IF(B165="L",$T$15,$T$16))*(IF(C165="1-34 Bulan",$T$21,$T$22))*(IF(F165="Risiko Lebih",$T$27,IF(F165="Normal",$T$28,IF(F165="Kurang",$T$29,$T$30))))*(IF(G165="Normal",$T$35,IF(G165="Pendek",$T$36,$T$37)))*(IF(H165="Gizi Buruk",$T$42,IF(H165="Gizi Lebih",$T$43,IF(H165="Risiko Gizi Lebih",$T$44,IF(H165="Gizi Baik",$T$45,$T$46)))))*(IF(I165="Ya",$T$51,$T$52))</f>
        <v/>
      </c>
      <c r="L165" s="97">
        <f>($Q$5/$Q$3)*(IF(B165="L",$U$15,$U$16))*(IF(C165="1-34 Bulan",$U$21,$U$22))*(IF(F165="Risiko Lebih",$U$27,IF(F165="Normal",$U$28,IF(F165="Kurang",$U$29,$U$30))))*(IF(G165="Normal",$U$35,IF(G165="Pendek",$U$36,$U$37)))*(IF(H165="Gizi Buruk",$U$42,IF(H165="Gizi Lebih",$U$43,IF(H165="Risiko Gizi Lebih",$U$44,IF(H165="Gizi Baik",$U$45,$U$46)))))*(IF(I165="Ya",$U$51,$U$52))</f>
        <v/>
      </c>
      <c r="M165" s="97">
        <f>($Q$6/$Q$3)*(IF(B165="L",$V$15,$V$16))*(IF(C165="1-34 Bulan",$V$21,$V$22))*(IF(F165="Risiko Lebih",$V$27,IF(F165="Normal",$V$28,IF(F165="Kurang",$V$29,$V$30))))*(IF(G165="Normal",$V$35,IF(G165="Pendek",$V$36,$V$37)))*(IF(H165="Gizi Buruk",$V$42,IF(H165="Gizi Lebih",$V$43,IF(H165="Risiko Gizi Lebih",$V$44,IF(H165="Gizi Baik",$V$45,$V$46)))))*(IF(I165="Ya",$V$51,$V$52))</f>
        <v/>
      </c>
      <c r="N165" s="97">
        <f>IF(K165=MAX(K165,L165,M165),"Stunting",IF(L165=MAX(K165,L165,M165),"Potensi Stunting","Tidak"))</f>
        <v/>
      </c>
    </row>
    <row r="166" ht="15.75" customHeight="1" s="95">
      <c r="A166" s="97" t="inlineStr">
        <is>
          <t>anonymus0910</t>
        </is>
      </c>
      <c r="B166" s="97" t="inlineStr">
        <is>
          <t>L</t>
        </is>
      </c>
      <c r="C166" s="97" t="inlineStr">
        <is>
          <t>35-69 Bulan</t>
        </is>
      </c>
      <c r="D166" s="97" t="n">
        <v>17.5</v>
      </c>
      <c r="E166" s="97" t="n">
        <v>105</v>
      </c>
      <c r="F166" s="97" t="inlineStr">
        <is>
          <t>Risiko Lebih</t>
        </is>
      </c>
      <c r="G166" s="97" t="inlineStr">
        <is>
          <t>Normal</t>
        </is>
      </c>
      <c r="H166" s="97" t="inlineStr">
        <is>
          <t>Gizi Lebih</t>
        </is>
      </c>
      <c r="I166" s="97" t="inlineStr">
        <is>
          <t>Ya</t>
        </is>
      </c>
      <c r="J166" s="126" t="inlineStr">
        <is>
          <t>Tidak</t>
        </is>
      </c>
      <c r="K166" s="97">
        <f>($Q$4/$Q$3)*(IF(B166="L",$T$15,$T$16))*(IF(C166="1-34 Bulan",$T$21,$T$22))*(IF(F166="Risiko Lebih",$T$27,IF(F166="Normal",$T$28,IF(F166="Kurang",$T$29,$T$30))))*(IF(G166="Normal",$T$35,IF(G166="Pendek",$T$36,$T$37)))*(IF(H166="Gizi Buruk",$T$42,IF(H166="Gizi Lebih",$T$43,IF(H166="Risiko Gizi Lebih",$T$44,IF(H166="Gizi Baik",$T$45,$T$46)))))*(IF(I166="Ya",$T$51,$T$52))</f>
        <v/>
      </c>
      <c r="L166" s="97">
        <f>($Q$5/$Q$3)*(IF(B166="L",$U$15,$U$16))*(IF(C166="1-34 Bulan",$U$21,$U$22))*(IF(F166="Risiko Lebih",$U$27,IF(F166="Normal",$U$28,IF(F166="Kurang",$U$29,$U$30))))*(IF(G166="Normal",$U$35,IF(G166="Pendek",$U$36,$U$37)))*(IF(H166="Gizi Buruk",$U$42,IF(H166="Gizi Lebih",$U$43,IF(H166="Risiko Gizi Lebih",$U$44,IF(H166="Gizi Baik",$U$45,$U$46)))))*(IF(I166="Ya",$U$51,$U$52))</f>
        <v/>
      </c>
      <c r="M166" s="97">
        <f>($Q$6/$Q$3)*(IF(B166="L",$V$15,$V$16))*(IF(C166="1-34 Bulan",$V$21,$V$22))*(IF(F166="Risiko Lebih",$V$27,IF(F166="Normal",$V$28,IF(F166="Kurang",$V$29,$V$30))))*(IF(G166="Normal",$V$35,IF(G166="Pendek",$V$36,$V$37)))*(IF(H166="Gizi Buruk",$V$42,IF(H166="Gizi Lebih",$V$43,IF(H166="Risiko Gizi Lebih",$V$44,IF(H166="Gizi Baik",$V$45,$V$46)))))*(IF(I166="Ya",$V$51,$V$52))</f>
        <v/>
      </c>
      <c r="N166" s="97">
        <f>IF(K166=MAX(K166,L166,M166),"Stunting",IF(L166=MAX(K166,L166,M166),"Potensi Stunting","Tidak"))</f>
        <v/>
      </c>
    </row>
    <row r="167" ht="15.75" customHeight="1" s="95">
      <c r="A167" s="97" t="inlineStr">
        <is>
          <t>anonymus0911</t>
        </is>
      </c>
      <c r="B167" s="97" t="inlineStr">
        <is>
          <t>P</t>
        </is>
      </c>
      <c r="C167" s="97" t="inlineStr">
        <is>
          <t>1-34 Bulan</t>
        </is>
      </c>
      <c r="D167" s="97" t="n">
        <v>8.6</v>
      </c>
      <c r="E167" s="97" t="n">
        <v>82.5</v>
      </c>
      <c r="F167" s="97" t="inlineStr">
        <is>
          <t>Kurang</t>
        </is>
      </c>
      <c r="G167" s="97" t="inlineStr">
        <is>
          <t>Normal</t>
        </is>
      </c>
      <c r="H167" s="97" t="inlineStr">
        <is>
          <t>Gizi Kurang</t>
        </is>
      </c>
      <c r="I167" s="97" t="inlineStr">
        <is>
          <t>Ya</t>
        </is>
      </c>
      <c r="J167" s="126" t="inlineStr">
        <is>
          <t>Tidak</t>
        </is>
      </c>
      <c r="K167" s="97">
        <f>($Q$4/$Q$3)*(IF(B167="L",$T$15,$T$16))*(IF(C167="1-34 Bulan",$T$21,$T$22))*(IF(F167="Risiko Lebih",$T$27,IF(F167="Normal",$T$28,IF(F167="Kurang",$T$29,$T$30))))*(IF(G167="Normal",$T$35,IF(G167="Pendek",$T$36,$T$37)))*(IF(H167="Gizi Buruk",$T$42,IF(H167="Gizi Lebih",$T$43,IF(H167="Risiko Gizi Lebih",$T$44,IF(H167="Gizi Baik",$T$45,$T$46)))))*(IF(I167="Ya",$T$51,$T$52))</f>
        <v/>
      </c>
      <c r="L167" s="97">
        <f>($Q$5/$Q$3)*(IF(B167="L",$U$15,$U$16))*(IF(C167="1-34 Bulan",$U$21,$U$22))*(IF(F167="Risiko Lebih",$U$27,IF(F167="Normal",$U$28,IF(F167="Kurang",$U$29,$U$30))))*(IF(G167="Normal",$U$35,IF(G167="Pendek",$U$36,$U$37)))*(IF(H167="Gizi Buruk",$U$42,IF(H167="Gizi Lebih",$U$43,IF(H167="Risiko Gizi Lebih",$U$44,IF(H167="Gizi Baik",$U$45,$U$46)))))*(IF(I167="Ya",$U$51,$U$52))</f>
        <v/>
      </c>
      <c r="M167" s="97">
        <f>($Q$6/$Q$3)*(IF(B167="L",$V$15,$V$16))*(IF(C167="1-34 Bulan",$V$21,$V$22))*(IF(F167="Risiko Lebih",$V$27,IF(F167="Normal",$V$28,IF(F167="Kurang",$V$29,$V$30))))*(IF(G167="Normal",$V$35,IF(G167="Pendek",$V$36,$V$37)))*(IF(H167="Gizi Buruk",$V$42,IF(H167="Gizi Lebih",$V$43,IF(H167="Risiko Gizi Lebih",$V$44,IF(H167="Gizi Baik",$V$45,$V$46)))))*(IF(I167="Ya",$V$51,$V$52))</f>
        <v/>
      </c>
      <c r="N167" s="97">
        <f>IF(K167=MAX(K167,L167,M167),"Stunting",IF(L167=MAX(K167,L167,M167),"Potensi Stunting","Tidak"))</f>
        <v/>
      </c>
    </row>
    <row r="168" ht="15.75" customHeight="1" s="95">
      <c r="A168" s="97" t="inlineStr">
        <is>
          <t>anonymus0912</t>
        </is>
      </c>
      <c r="B168" s="97" t="inlineStr">
        <is>
          <t>P</t>
        </is>
      </c>
      <c r="C168" s="97" t="inlineStr">
        <is>
          <t>35-69 Bulan</t>
        </is>
      </c>
      <c r="D168" s="97" t="n">
        <v>12.8</v>
      </c>
      <c r="E168" s="97" t="n">
        <v>93</v>
      </c>
      <c r="F168" s="97" t="inlineStr">
        <is>
          <t>Normal</t>
        </is>
      </c>
      <c r="G168" s="97" t="inlineStr">
        <is>
          <t>Normal</t>
        </is>
      </c>
      <c r="H168" s="97" t="inlineStr">
        <is>
          <t>Gizi Baik</t>
        </is>
      </c>
      <c r="I168" s="97" t="inlineStr">
        <is>
          <t>Ya</t>
        </is>
      </c>
      <c r="J168" s="126" t="inlineStr">
        <is>
          <t>Tidak</t>
        </is>
      </c>
      <c r="K168" s="97">
        <f>($Q$4/$Q$3)*(IF(B168="L",$T$15,$T$16))*(IF(C168="1-34 Bulan",$T$21,$T$22))*(IF(F168="Risiko Lebih",$T$27,IF(F168="Normal",$T$28,IF(F168="Kurang",$T$29,$T$30))))*(IF(G168="Normal",$T$35,IF(G168="Pendek",$T$36,$T$37)))*(IF(H168="Gizi Buruk",$T$42,IF(H168="Gizi Lebih",$T$43,IF(H168="Risiko Gizi Lebih",$T$44,IF(H168="Gizi Baik",$T$45,$T$46)))))*(IF(I168="Ya",$T$51,$T$52))</f>
        <v/>
      </c>
      <c r="L168" s="97">
        <f>($Q$5/$Q$3)*(IF(B168="L",$U$15,$U$16))*(IF(C168="1-34 Bulan",$U$21,$U$22))*(IF(F168="Risiko Lebih",$U$27,IF(F168="Normal",$U$28,IF(F168="Kurang",$U$29,$U$30))))*(IF(G168="Normal",$U$35,IF(G168="Pendek",$U$36,$U$37)))*(IF(H168="Gizi Buruk",$U$42,IF(H168="Gizi Lebih",$U$43,IF(H168="Risiko Gizi Lebih",$U$44,IF(H168="Gizi Baik",$U$45,$U$46)))))*(IF(I168="Ya",$U$51,$U$52))</f>
        <v/>
      </c>
      <c r="M168" s="97">
        <f>($Q$6/$Q$3)*(IF(B168="L",$V$15,$V$16))*(IF(C168="1-34 Bulan",$V$21,$V$22))*(IF(F168="Risiko Lebih",$V$27,IF(F168="Normal",$V$28,IF(F168="Kurang",$V$29,$V$30))))*(IF(G168="Normal",$V$35,IF(G168="Pendek",$V$36,$V$37)))*(IF(H168="Gizi Buruk",$V$42,IF(H168="Gizi Lebih",$V$43,IF(H168="Risiko Gizi Lebih",$V$44,IF(H168="Gizi Baik",$V$45,$V$46)))))*(IF(I168="Ya",$V$51,$V$52))</f>
        <v/>
      </c>
      <c r="N168" s="97">
        <f>IF(K168=MAX(K168,L168,M168),"Stunting",IF(L168=MAX(K168,L168,M168),"Potensi Stunting","Tidak"))</f>
        <v/>
      </c>
    </row>
    <row r="169" ht="15.75" customHeight="1" s="95">
      <c r="A169" s="97" t="inlineStr">
        <is>
          <t>anonymus0913</t>
        </is>
      </c>
      <c r="B169" s="97" t="inlineStr">
        <is>
          <t>L</t>
        </is>
      </c>
      <c r="C169" s="97" t="inlineStr">
        <is>
          <t>35-69 Bulan</t>
        </is>
      </c>
      <c r="D169" s="97" t="n">
        <v>11.3</v>
      </c>
      <c r="E169" s="97" t="n">
        <v>79</v>
      </c>
      <c r="F169" s="97" t="inlineStr">
        <is>
          <t>Normal</t>
        </is>
      </c>
      <c r="G169" s="97" t="inlineStr">
        <is>
          <t>Pendek</t>
        </is>
      </c>
      <c r="H169" s="97" t="inlineStr">
        <is>
          <t>Gizi Baik</t>
        </is>
      </c>
      <c r="I169" s="97" t="inlineStr">
        <is>
          <t>Ya</t>
        </is>
      </c>
      <c r="J169" s="126" t="inlineStr">
        <is>
          <t>Tidak</t>
        </is>
      </c>
      <c r="K169" s="97">
        <f>($Q$4/$Q$3)*(IF(B169="L",$T$15,$T$16))*(IF(C169="1-34 Bulan",$T$21,$T$22))*(IF(F169="Risiko Lebih",$T$27,IF(F169="Normal",$T$28,IF(F169="Kurang",$T$29,$T$30))))*(IF(G169="Normal",$T$35,IF(G169="Pendek",$T$36,$T$37)))*(IF(H169="Gizi Buruk",$T$42,IF(H169="Gizi Lebih",$T$43,IF(H169="Risiko Gizi Lebih",$T$44,IF(H169="Gizi Baik",$T$45,$T$46)))))*(IF(I169="Ya",$T$51,$T$52))</f>
        <v/>
      </c>
      <c r="L169" s="97">
        <f>($Q$5/$Q$3)*(IF(B169="L",$U$15,$U$16))*(IF(C169="1-34 Bulan",$U$21,$U$22))*(IF(F169="Risiko Lebih",$U$27,IF(F169="Normal",$U$28,IF(F169="Kurang",$U$29,$U$30))))*(IF(G169="Normal",$U$35,IF(G169="Pendek",$U$36,$U$37)))*(IF(H169="Gizi Buruk",$U$42,IF(H169="Gizi Lebih",$U$43,IF(H169="Risiko Gizi Lebih",$U$44,IF(H169="Gizi Baik",$U$45,$U$46)))))*(IF(I169="Ya",$U$51,$U$52))</f>
        <v/>
      </c>
      <c r="M169" s="97">
        <f>($Q$6/$Q$3)*(IF(B169="L",$V$15,$V$16))*(IF(C169="1-34 Bulan",$V$21,$V$22))*(IF(F169="Risiko Lebih",$V$27,IF(F169="Normal",$V$28,IF(F169="Kurang",$V$29,$V$30))))*(IF(G169="Normal",$V$35,IF(G169="Pendek",$V$36,$V$37)))*(IF(H169="Gizi Buruk",$V$42,IF(H169="Gizi Lebih",$V$43,IF(H169="Risiko Gizi Lebih",$V$44,IF(H169="Gizi Baik",$V$45,$V$46)))))*(IF(I169="Ya",$V$51,$V$52))</f>
        <v/>
      </c>
      <c r="N169" s="97">
        <f>IF(K169=MAX(K169,L169,M169),"Stunting",IF(L169=MAX(K169,L169,M169),"Potensi Stunting","Tidak"))</f>
        <v/>
      </c>
    </row>
    <row r="170" ht="15.75" customHeight="1" s="95">
      <c r="A170" s="97" t="inlineStr">
        <is>
          <t>anonymus0914</t>
        </is>
      </c>
      <c r="B170" s="97" t="inlineStr">
        <is>
          <t>L</t>
        </is>
      </c>
      <c r="C170" s="97" t="inlineStr">
        <is>
          <t>35-69 Bulan</t>
        </is>
      </c>
      <c r="D170" s="97" t="n">
        <v>10.6</v>
      </c>
      <c r="E170" s="97" t="n">
        <v>115</v>
      </c>
      <c r="F170" s="97" t="inlineStr">
        <is>
          <t>Normal</t>
        </is>
      </c>
      <c r="G170" s="97" t="inlineStr">
        <is>
          <t>Normal</t>
        </is>
      </c>
      <c r="H170" s="97" t="inlineStr">
        <is>
          <t>Gizi Baik</t>
        </is>
      </c>
      <c r="I170" s="97" t="inlineStr">
        <is>
          <t>Ya</t>
        </is>
      </c>
      <c r="J170" s="126" t="inlineStr">
        <is>
          <t>Tidak</t>
        </is>
      </c>
      <c r="K170" s="97">
        <f>($Q$4/$Q$3)*(IF(B170="L",$T$15,$T$16))*(IF(C170="1-34 Bulan",$T$21,$T$22))*(IF(F170="Risiko Lebih",$T$27,IF(F170="Normal",$T$28,IF(F170="Kurang",$T$29,$T$30))))*(IF(G170="Normal",$T$35,IF(G170="Pendek",$T$36,$T$37)))*(IF(H170="Gizi Buruk",$T$42,IF(H170="Gizi Lebih",$T$43,IF(H170="Risiko Gizi Lebih",$T$44,IF(H170="Gizi Baik",$T$45,$T$46)))))*(IF(I170="Ya",$T$51,$T$52))</f>
        <v/>
      </c>
      <c r="L170" s="97">
        <f>($Q$5/$Q$3)*(IF(B170="L",$U$15,$U$16))*(IF(C170="1-34 Bulan",$U$21,$U$22))*(IF(F170="Risiko Lebih",$U$27,IF(F170="Normal",$U$28,IF(F170="Kurang",$U$29,$U$30))))*(IF(G170="Normal",$U$35,IF(G170="Pendek",$U$36,$U$37)))*(IF(H170="Gizi Buruk",$U$42,IF(H170="Gizi Lebih",$U$43,IF(H170="Risiko Gizi Lebih",$U$44,IF(H170="Gizi Baik",$U$45,$U$46)))))*(IF(I170="Ya",$U$51,$U$52))</f>
        <v/>
      </c>
      <c r="M170" s="97">
        <f>($Q$6/$Q$3)*(IF(B170="L",$V$15,$V$16))*(IF(C170="1-34 Bulan",$V$21,$V$22))*(IF(F170="Risiko Lebih",$V$27,IF(F170="Normal",$V$28,IF(F170="Kurang",$V$29,$V$30))))*(IF(G170="Normal",$V$35,IF(G170="Pendek",$V$36,$V$37)))*(IF(H170="Gizi Buruk",$V$42,IF(H170="Gizi Lebih",$V$43,IF(H170="Risiko Gizi Lebih",$V$44,IF(H170="Gizi Baik",$V$45,$V$46)))))*(IF(I170="Ya",$V$51,$V$52))</f>
        <v/>
      </c>
      <c r="N170" s="97">
        <f>IF(K170=MAX(K170,L170,M170),"Stunting",IF(L170=MAX(K170,L170,M170),"Potensi Stunting","Tidak"))</f>
        <v/>
      </c>
    </row>
    <row r="171" ht="15.75" customHeight="1" s="95">
      <c r="A171" s="97" t="inlineStr">
        <is>
          <t>anonymus0915</t>
        </is>
      </c>
      <c r="B171" s="97" t="inlineStr">
        <is>
          <t>L</t>
        </is>
      </c>
      <c r="C171" s="97" t="inlineStr">
        <is>
          <t>35-69 Bulan</t>
        </is>
      </c>
      <c r="D171" s="97" t="n">
        <v>8.800000000000001</v>
      </c>
      <c r="E171" s="97" t="n">
        <v>74</v>
      </c>
      <c r="F171" s="97" t="inlineStr">
        <is>
          <t>Kurang</t>
        </is>
      </c>
      <c r="G171" s="97" t="inlineStr">
        <is>
          <t>Sangat Pendek</t>
        </is>
      </c>
      <c r="H171" s="97" t="inlineStr">
        <is>
          <t>Gizi Baik</t>
        </is>
      </c>
      <c r="I171" s="97" t="inlineStr">
        <is>
          <t>Ya</t>
        </is>
      </c>
      <c r="J171" s="126" t="inlineStr">
        <is>
          <t>Potensi Stunting</t>
        </is>
      </c>
      <c r="K171" s="97">
        <f>($Q$4/$Q$3)*(IF(B171="L",$T$15,$T$16))*(IF(C171="1-34 Bulan",$T$21,$T$22))*(IF(F171="Risiko Lebih",$T$27,IF(F171="Normal",$T$28,IF(F171="Kurang",$T$29,$T$30))))*(IF(G171="Normal",$T$35,IF(G171="Pendek",$T$36,$T$37)))*(IF(H171="Gizi Buruk",$T$42,IF(H171="Gizi Lebih",$T$43,IF(H171="Risiko Gizi Lebih",$T$44,IF(H171="Gizi Baik",$T$45,$T$46)))))*(IF(I171="Ya",$T$51,$T$52))</f>
        <v/>
      </c>
      <c r="L171" s="97">
        <f>($Q$5/$Q$3)*(IF(B171="L",$U$15,$U$16))*(IF(C171="1-34 Bulan",$U$21,$U$22))*(IF(F171="Risiko Lebih",$U$27,IF(F171="Normal",$U$28,IF(F171="Kurang",$U$29,$U$30))))*(IF(G171="Normal",$U$35,IF(G171="Pendek",$U$36,$U$37)))*(IF(H171="Gizi Buruk",$U$42,IF(H171="Gizi Lebih",$U$43,IF(H171="Risiko Gizi Lebih",$U$44,IF(H171="Gizi Baik",$U$45,$U$46)))))*(IF(I171="Ya",$U$51,$U$52))</f>
        <v/>
      </c>
      <c r="M171" s="97">
        <f>($Q$6/$Q$3)*(IF(B171="L",$V$15,$V$16))*(IF(C171="1-34 Bulan",$V$21,$V$22))*(IF(F171="Risiko Lebih",$V$27,IF(F171="Normal",$V$28,IF(F171="Kurang",$V$29,$V$30))))*(IF(G171="Normal",$V$35,IF(G171="Pendek",$V$36,$V$37)))*(IF(H171="Gizi Buruk",$V$42,IF(H171="Gizi Lebih",$V$43,IF(H171="Risiko Gizi Lebih",$V$44,IF(H171="Gizi Baik",$V$45,$V$46)))))*(IF(I171="Ya",$V$51,$V$52))</f>
        <v/>
      </c>
      <c r="N171" s="97">
        <f>IF(K171=MAX(K171,L171,M171),"Stunting",IF(L171=MAX(K171,L171,M171),"Potensi Stunting","Tidak"))</f>
        <v/>
      </c>
    </row>
    <row r="172" ht="15.75" customHeight="1" s="95">
      <c r="A172" s="97" t="inlineStr">
        <is>
          <t>anonymus0916</t>
        </is>
      </c>
      <c r="B172" s="97" t="inlineStr">
        <is>
          <t>L</t>
        </is>
      </c>
      <c r="C172" s="97" t="inlineStr">
        <is>
          <t>35-69 Bulan</t>
        </is>
      </c>
      <c r="D172" s="97" t="n">
        <v>11</v>
      </c>
      <c r="E172" s="97" t="n">
        <v>88</v>
      </c>
      <c r="F172" s="97" t="inlineStr">
        <is>
          <t>Kurang</t>
        </is>
      </c>
      <c r="G172" s="97" t="inlineStr">
        <is>
          <t>Pendek</t>
        </is>
      </c>
      <c r="H172" s="97" t="inlineStr">
        <is>
          <t>Gizi Baik</t>
        </is>
      </c>
      <c r="I172" s="97" t="inlineStr">
        <is>
          <t>Ya</t>
        </is>
      </c>
      <c r="J172" s="126" t="inlineStr">
        <is>
          <t>Tidak</t>
        </is>
      </c>
      <c r="K172" s="97">
        <f>($Q$4/$Q$3)*(IF(B172="L",$T$15,$T$16))*(IF(C172="1-34 Bulan",$T$21,$T$22))*(IF(F172="Risiko Lebih",$T$27,IF(F172="Normal",$T$28,IF(F172="Kurang",$T$29,$T$30))))*(IF(G172="Normal",$T$35,IF(G172="Pendek",$T$36,$T$37)))*(IF(H172="Gizi Buruk",$T$42,IF(H172="Gizi Lebih",$T$43,IF(H172="Risiko Gizi Lebih",$T$44,IF(H172="Gizi Baik",$T$45,$T$46)))))*(IF(I172="Ya",$T$51,$T$52))</f>
        <v/>
      </c>
      <c r="L172" s="97">
        <f>($Q$5/$Q$3)*(IF(B172="L",$U$15,$U$16))*(IF(C172="1-34 Bulan",$U$21,$U$22))*(IF(F172="Risiko Lebih",$U$27,IF(F172="Normal",$U$28,IF(F172="Kurang",$U$29,$U$30))))*(IF(G172="Normal",$U$35,IF(G172="Pendek",$U$36,$U$37)))*(IF(H172="Gizi Buruk",$U$42,IF(H172="Gizi Lebih",$U$43,IF(H172="Risiko Gizi Lebih",$U$44,IF(H172="Gizi Baik",$U$45,$U$46)))))*(IF(I172="Ya",$U$51,$U$52))</f>
        <v/>
      </c>
      <c r="M172" s="97">
        <f>($Q$6/$Q$3)*(IF(B172="L",$V$15,$V$16))*(IF(C172="1-34 Bulan",$V$21,$V$22))*(IF(F172="Risiko Lebih",$V$27,IF(F172="Normal",$V$28,IF(F172="Kurang",$V$29,$V$30))))*(IF(G172="Normal",$V$35,IF(G172="Pendek",$V$36,$V$37)))*(IF(H172="Gizi Buruk",$V$42,IF(H172="Gizi Lebih",$V$43,IF(H172="Risiko Gizi Lebih",$V$44,IF(H172="Gizi Baik",$V$45,$V$46)))))*(IF(I172="Ya",$V$51,$V$52))</f>
        <v/>
      </c>
      <c r="N172" s="97">
        <f>IF(K172=MAX(K172,L172,M172),"Stunting",IF(L172=MAX(K172,L172,M172),"Potensi Stunting","Tidak"))</f>
        <v/>
      </c>
    </row>
    <row r="173" ht="15.75" customHeight="1" s="95">
      <c r="A173" s="97" t="inlineStr">
        <is>
          <t>anonymus0917</t>
        </is>
      </c>
      <c r="B173" s="97" t="inlineStr">
        <is>
          <t>L</t>
        </is>
      </c>
      <c r="C173" s="97" t="inlineStr">
        <is>
          <t>35-69 Bulan</t>
        </is>
      </c>
      <c r="D173" s="97" t="n">
        <v>10.8</v>
      </c>
      <c r="E173" s="97" t="n">
        <v>117</v>
      </c>
      <c r="F173" s="97" t="inlineStr">
        <is>
          <t>Normal</t>
        </is>
      </c>
      <c r="G173" s="97" t="inlineStr">
        <is>
          <t>Normal</t>
        </is>
      </c>
      <c r="H173" s="97" t="inlineStr">
        <is>
          <t>Gizi Baik</t>
        </is>
      </c>
      <c r="I173" s="97" t="inlineStr">
        <is>
          <t>Ya</t>
        </is>
      </c>
      <c r="J173" s="126" t="inlineStr">
        <is>
          <t>Tidak</t>
        </is>
      </c>
      <c r="K173" s="97">
        <f>($Q$4/$Q$3)*(IF(B173="L",$T$15,$T$16))*(IF(C173="1-34 Bulan",$T$21,$T$22))*(IF(F173="Risiko Lebih",$T$27,IF(F173="Normal",$T$28,IF(F173="Kurang",$T$29,$T$30))))*(IF(G173="Normal",$T$35,IF(G173="Pendek",$T$36,$T$37)))*(IF(H173="Gizi Buruk",$T$42,IF(H173="Gizi Lebih",$T$43,IF(H173="Risiko Gizi Lebih",$T$44,IF(H173="Gizi Baik",$T$45,$T$46)))))*(IF(I173="Ya",$T$51,$T$52))</f>
        <v/>
      </c>
      <c r="L173" s="97">
        <f>($Q$5/$Q$3)*(IF(B173="L",$U$15,$U$16))*(IF(C173="1-34 Bulan",$U$21,$U$22))*(IF(F173="Risiko Lebih",$U$27,IF(F173="Normal",$U$28,IF(F173="Kurang",$U$29,$U$30))))*(IF(G173="Normal",$U$35,IF(G173="Pendek",$U$36,$U$37)))*(IF(H173="Gizi Buruk",$U$42,IF(H173="Gizi Lebih",$U$43,IF(H173="Risiko Gizi Lebih",$U$44,IF(H173="Gizi Baik",$U$45,$U$46)))))*(IF(I173="Ya",$U$51,$U$52))</f>
        <v/>
      </c>
      <c r="M173" s="97">
        <f>($Q$6/$Q$3)*(IF(B173="L",$V$15,$V$16))*(IF(C173="1-34 Bulan",$V$21,$V$22))*(IF(F173="Risiko Lebih",$V$27,IF(F173="Normal",$V$28,IF(F173="Kurang",$V$29,$V$30))))*(IF(G173="Normal",$V$35,IF(G173="Pendek",$V$36,$V$37)))*(IF(H173="Gizi Buruk",$V$42,IF(H173="Gizi Lebih",$V$43,IF(H173="Risiko Gizi Lebih",$V$44,IF(H173="Gizi Baik",$V$45,$V$46)))))*(IF(I173="Ya",$V$51,$V$52))</f>
        <v/>
      </c>
      <c r="N173" s="97">
        <f>IF(K173=MAX(K173,L173,M173),"Stunting",IF(L173=MAX(K173,L173,M173),"Potensi Stunting","Tidak"))</f>
        <v/>
      </c>
    </row>
    <row r="174" ht="15.75" customHeight="1" s="95">
      <c r="A174" s="97" t="inlineStr">
        <is>
          <t>anonymus0918</t>
        </is>
      </c>
      <c r="B174" s="97" t="inlineStr">
        <is>
          <t>P</t>
        </is>
      </c>
      <c r="C174" s="97" t="inlineStr">
        <is>
          <t>1-34 Bulan</t>
        </is>
      </c>
      <c r="D174" s="97" t="n">
        <v>8.1</v>
      </c>
      <c r="E174" s="97" t="n">
        <v>75</v>
      </c>
      <c r="F174" s="97" t="inlineStr">
        <is>
          <t>Kurang</t>
        </is>
      </c>
      <c r="G174" s="97" t="inlineStr">
        <is>
          <t>Pendek</t>
        </is>
      </c>
      <c r="H174" s="97" t="inlineStr">
        <is>
          <t>Gizi Baik</t>
        </is>
      </c>
      <c r="I174" s="97" t="inlineStr">
        <is>
          <t>Ya</t>
        </is>
      </c>
      <c r="J174" s="126" t="inlineStr">
        <is>
          <t>Potensi Stunting</t>
        </is>
      </c>
      <c r="K174" s="97">
        <f>($Q$4/$Q$3)*(IF(B174="L",$T$15,$T$16))*(IF(C174="1-34 Bulan",$T$21,$T$22))*(IF(F174="Risiko Lebih",$T$27,IF(F174="Normal",$T$28,IF(F174="Kurang",$T$29,$T$30))))*(IF(G174="Normal",$T$35,IF(G174="Pendek",$T$36,$T$37)))*(IF(H174="Gizi Buruk",$T$42,IF(H174="Gizi Lebih",$T$43,IF(H174="Risiko Gizi Lebih",$T$44,IF(H174="Gizi Baik",$T$45,$T$46)))))*(IF(I174="Ya",$T$51,$T$52))</f>
        <v/>
      </c>
      <c r="L174" s="97">
        <f>($Q$5/$Q$3)*(IF(B174="L",$U$15,$U$16))*(IF(C174="1-34 Bulan",$U$21,$U$22))*(IF(F174="Risiko Lebih",$U$27,IF(F174="Normal",$U$28,IF(F174="Kurang",$U$29,$U$30))))*(IF(G174="Normal",$U$35,IF(G174="Pendek",$U$36,$U$37)))*(IF(H174="Gizi Buruk",$U$42,IF(H174="Gizi Lebih",$U$43,IF(H174="Risiko Gizi Lebih",$U$44,IF(H174="Gizi Baik",$U$45,$U$46)))))*(IF(I174="Ya",$U$51,$U$52))</f>
        <v/>
      </c>
      <c r="M174" s="97">
        <f>($Q$6/$Q$3)*(IF(B174="L",$V$15,$V$16))*(IF(C174="1-34 Bulan",$V$21,$V$22))*(IF(F174="Risiko Lebih",$V$27,IF(F174="Normal",$V$28,IF(F174="Kurang",$V$29,$V$30))))*(IF(G174="Normal",$V$35,IF(G174="Pendek",$V$36,$V$37)))*(IF(H174="Gizi Buruk",$V$42,IF(H174="Gizi Lebih",$V$43,IF(H174="Risiko Gizi Lebih",$V$44,IF(H174="Gizi Baik",$V$45,$V$46)))))*(IF(I174="Ya",$V$51,$V$52))</f>
        <v/>
      </c>
      <c r="N174" s="97">
        <f>IF(K174=MAX(K174,L174,M174),"Stunting",IF(L174=MAX(K174,L174,M174),"Potensi Stunting","Tidak"))</f>
        <v/>
      </c>
    </row>
    <row r="175" ht="15.75" customHeight="1" s="95">
      <c r="A175" s="97" t="inlineStr">
        <is>
          <t>anonymus0919</t>
        </is>
      </c>
      <c r="B175" s="97" t="inlineStr">
        <is>
          <t>P</t>
        </is>
      </c>
      <c r="C175" s="97" t="inlineStr">
        <is>
          <t>35-69 Bulan</t>
        </is>
      </c>
      <c r="D175" s="97" t="n">
        <v>10.3</v>
      </c>
      <c r="E175" s="97" t="n">
        <v>95</v>
      </c>
      <c r="F175" s="97" t="inlineStr">
        <is>
          <t>Normal</t>
        </is>
      </c>
      <c r="G175" s="97" t="inlineStr">
        <is>
          <t>Normal</t>
        </is>
      </c>
      <c r="H175" s="97" t="inlineStr">
        <is>
          <t>Gizi Baik</t>
        </is>
      </c>
      <c r="I175" s="97" t="inlineStr">
        <is>
          <t>Ya</t>
        </is>
      </c>
      <c r="J175" s="126" t="inlineStr">
        <is>
          <t>Tidak</t>
        </is>
      </c>
      <c r="K175" s="97">
        <f>($Q$4/$Q$3)*(IF(B175="L",$T$15,$T$16))*(IF(C175="1-34 Bulan",$T$21,$T$22))*(IF(F175="Risiko Lebih",$T$27,IF(F175="Normal",$T$28,IF(F175="Kurang",$T$29,$T$30))))*(IF(G175="Normal",$T$35,IF(G175="Pendek",$T$36,$T$37)))*(IF(H175="Gizi Buruk",$T$42,IF(H175="Gizi Lebih",$T$43,IF(H175="Risiko Gizi Lebih",$T$44,IF(H175="Gizi Baik",$T$45,$T$46)))))*(IF(I175="Ya",$T$51,$T$52))</f>
        <v/>
      </c>
      <c r="L175" s="97">
        <f>($Q$5/$Q$3)*(IF(B175="L",$U$15,$U$16))*(IF(C175="1-34 Bulan",$U$21,$U$22))*(IF(F175="Risiko Lebih",$U$27,IF(F175="Normal",$U$28,IF(F175="Kurang",$U$29,$U$30))))*(IF(G175="Normal",$U$35,IF(G175="Pendek",$U$36,$U$37)))*(IF(H175="Gizi Buruk",$U$42,IF(H175="Gizi Lebih",$U$43,IF(H175="Risiko Gizi Lebih",$U$44,IF(H175="Gizi Baik",$U$45,$U$46)))))*(IF(I175="Ya",$U$51,$U$52))</f>
        <v/>
      </c>
      <c r="M175" s="97">
        <f>($Q$6/$Q$3)*(IF(B175="L",$V$15,$V$16))*(IF(C175="1-34 Bulan",$V$21,$V$22))*(IF(F175="Risiko Lebih",$V$27,IF(F175="Normal",$V$28,IF(F175="Kurang",$V$29,$V$30))))*(IF(G175="Normal",$V$35,IF(G175="Pendek",$V$36,$V$37)))*(IF(H175="Gizi Buruk",$V$42,IF(H175="Gizi Lebih",$V$43,IF(H175="Risiko Gizi Lebih",$V$44,IF(H175="Gizi Baik",$V$45,$V$46)))))*(IF(I175="Ya",$V$51,$V$52))</f>
        <v/>
      </c>
      <c r="N175" s="97">
        <f>IF(K175=MAX(K175,L175,M175),"Stunting",IF(L175=MAX(K175,L175,M175),"Potensi Stunting","Tidak"))</f>
        <v/>
      </c>
    </row>
    <row r="176" ht="15.75" customHeight="1" s="95">
      <c r="A176" s="97" t="inlineStr">
        <is>
          <t>anonymus0920</t>
        </is>
      </c>
      <c r="B176" s="97" t="inlineStr">
        <is>
          <t>L</t>
        </is>
      </c>
      <c r="C176" s="97" t="inlineStr">
        <is>
          <t>1-34 Bulan</t>
        </is>
      </c>
      <c r="D176" s="97" t="inlineStr">
        <is>
          <t>13.3</t>
        </is>
      </c>
      <c r="E176" s="97" t="n">
        <v>83</v>
      </c>
      <c r="F176" s="97" t="inlineStr">
        <is>
          <t>Risiko Lebih</t>
        </is>
      </c>
      <c r="G176" s="97" t="inlineStr">
        <is>
          <t>Normal</t>
        </is>
      </c>
      <c r="H176" s="97" t="inlineStr">
        <is>
          <t>Gizi Lebih</t>
        </is>
      </c>
      <c r="I176" s="97" t="inlineStr">
        <is>
          <t>Tidak</t>
        </is>
      </c>
      <c r="J176" s="126" t="inlineStr">
        <is>
          <t>Stunting</t>
        </is>
      </c>
      <c r="K176" s="97">
        <f>($Q$4/$Q$3)*(IF(B176="L",$T$15,$T$16))*(IF(C176="1-34 Bulan",$T$21,$T$22))*(IF(F176="Risiko Lebih",$T$27,IF(F176="Normal",$T$28,IF(F176="Kurang",$T$29,$T$30))))*(IF(G176="Normal",$T$35,IF(G176="Pendek",$T$36,$T$37)))*(IF(H176="Gizi Buruk",$T$42,IF(H176="Gizi Lebih",$T$43,IF(H176="Risiko Gizi Lebih",$T$44,IF(H176="Gizi Baik",$T$45,$T$46)))))*(IF(I176="Ya",$T$51,$T$52))</f>
        <v/>
      </c>
      <c r="L176" s="97">
        <f>($Q$5/$Q$3)*(IF(B176="L",$U$15,$U$16))*(IF(C176="1-34 Bulan",$U$21,$U$22))*(IF(F176="Risiko Lebih",$U$27,IF(F176="Normal",$U$28,IF(F176="Kurang",$U$29,$U$30))))*(IF(G176="Normal",$U$35,IF(G176="Pendek",$U$36,$U$37)))*(IF(H176="Gizi Buruk",$U$42,IF(H176="Gizi Lebih",$U$43,IF(H176="Risiko Gizi Lebih",$U$44,IF(H176="Gizi Baik",$U$45,$U$46)))))*(IF(I176="Ya",$U$51,$U$52))</f>
        <v/>
      </c>
      <c r="M176" s="97">
        <f>($Q$6/$Q$3)*(IF(B176="L",$V$15,$V$16))*(IF(C176="1-34 Bulan",$V$21,$V$22))*(IF(F176="Risiko Lebih",$V$27,IF(F176="Normal",$V$28,IF(F176="Kurang",$V$29,$V$30))))*(IF(G176="Normal",$V$35,IF(G176="Pendek",$V$36,$V$37)))*(IF(H176="Gizi Buruk",$V$42,IF(H176="Gizi Lebih",$V$43,IF(H176="Risiko Gizi Lebih",$V$44,IF(H176="Gizi Baik",$V$45,$V$46)))))*(IF(I176="Ya",$V$51,$V$52))</f>
        <v/>
      </c>
      <c r="N176" s="97">
        <f>IF(K176=MAX(K176,L176,M176),"Stunting",IF(L176=MAX(K176,L176,M176),"Potensi Stunting","Tidak"))</f>
        <v/>
      </c>
    </row>
    <row r="177" ht="15.75" customHeight="1" s="95">
      <c r="A177" s="97" t="inlineStr">
        <is>
          <t>anonymus0921</t>
        </is>
      </c>
      <c r="B177" s="97" t="inlineStr">
        <is>
          <t>P</t>
        </is>
      </c>
      <c r="C177" s="97" t="inlineStr">
        <is>
          <t>35-69 Bulan</t>
        </is>
      </c>
      <c r="D177" s="97" t="n">
        <v>16.4</v>
      </c>
      <c r="E177" s="97" t="n">
        <v>115</v>
      </c>
      <c r="F177" s="97" t="inlineStr">
        <is>
          <t>Normal</t>
        </is>
      </c>
      <c r="G177" s="97" t="inlineStr">
        <is>
          <t>Normal</t>
        </is>
      </c>
      <c r="H177" s="97" t="inlineStr">
        <is>
          <t>Gizi Baik</t>
        </is>
      </c>
      <c r="I177" s="97" t="inlineStr">
        <is>
          <t>Ya</t>
        </is>
      </c>
      <c r="J177" s="126" t="inlineStr">
        <is>
          <t>Tidak</t>
        </is>
      </c>
      <c r="K177" s="97">
        <f>($Q$4/$Q$3)*(IF(B177="L",$T$15,$T$16))*(IF(C177="1-34 Bulan",$T$21,$T$22))*(IF(F177="Risiko Lebih",$T$27,IF(F177="Normal",$T$28,IF(F177="Kurang",$T$29,$T$30))))*(IF(G177="Normal",$T$35,IF(G177="Pendek",$T$36,$T$37)))*(IF(H177="Gizi Buruk",$T$42,IF(H177="Gizi Lebih",$T$43,IF(H177="Risiko Gizi Lebih",$T$44,IF(H177="Gizi Baik",$T$45,$T$46)))))*(IF(I177="Ya",$T$51,$T$52))</f>
        <v/>
      </c>
      <c r="L177" s="97">
        <f>($Q$5/$Q$3)*(IF(B177="L",$U$15,$U$16))*(IF(C177="1-34 Bulan",$U$21,$U$22))*(IF(F177="Risiko Lebih",$U$27,IF(F177="Normal",$U$28,IF(F177="Kurang",$U$29,$U$30))))*(IF(G177="Normal",$U$35,IF(G177="Pendek",$U$36,$U$37)))*(IF(H177="Gizi Buruk",$U$42,IF(H177="Gizi Lebih",$U$43,IF(H177="Risiko Gizi Lebih",$U$44,IF(H177="Gizi Baik",$U$45,$U$46)))))*(IF(I177="Ya",$U$51,$U$52))</f>
        <v/>
      </c>
      <c r="M177" s="97">
        <f>($Q$6/$Q$3)*(IF(B177="L",$V$15,$V$16))*(IF(C177="1-34 Bulan",$V$21,$V$22))*(IF(F177="Risiko Lebih",$V$27,IF(F177="Normal",$V$28,IF(F177="Kurang",$V$29,$V$30))))*(IF(G177="Normal",$V$35,IF(G177="Pendek",$V$36,$V$37)))*(IF(H177="Gizi Buruk",$V$42,IF(H177="Gizi Lebih",$V$43,IF(H177="Risiko Gizi Lebih",$V$44,IF(H177="Gizi Baik",$V$45,$V$46)))))*(IF(I177="Ya",$V$51,$V$52))</f>
        <v/>
      </c>
      <c r="N177" s="97">
        <f>IF(K177=MAX(K177,L177,M177),"Stunting",IF(L177=MAX(K177,L177,M177),"Potensi Stunting","Tidak"))</f>
        <v/>
      </c>
    </row>
    <row r="178" ht="15.75" customHeight="1" s="95">
      <c r="A178" s="97" t="inlineStr">
        <is>
          <t>anonymus0922</t>
        </is>
      </c>
      <c r="B178" s="97" t="inlineStr">
        <is>
          <t>P</t>
        </is>
      </c>
      <c r="C178" s="97" t="inlineStr">
        <is>
          <t>1-34 Bulan</t>
        </is>
      </c>
      <c r="D178" s="97" t="n">
        <v>10.3</v>
      </c>
      <c r="E178" s="97" t="n">
        <v>88.59999999999999</v>
      </c>
      <c r="F178" s="97" t="inlineStr">
        <is>
          <t>Normal</t>
        </is>
      </c>
      <c r="G178" s="97" t="inlineStr">
        <is>
          <t>Normal</t>
        </is>
      </c>
      <c r="H178" s="97" t="inlineStr">
        <is>
          <t>Gizi Kurang</t>
        </is>
      </c>
      <c r="I178" s="97" t="inlineStr">
        <is>
          <t>Ya</t>
        </is>
      </c>
      <c r="J178" s="126" t="inlineStr">
        <is>
          <t>Tidak</t>
        </is>
      </c>
      <c r="K178" s="97">
        <f>($Q$4/$Q$3)*(IF(B178="L",$T$15,$T$16))*(IF(C178="1-34 Bulan",$T$21,$T$22))*(IF(F178="Risiko Lebih",$T$27,IF(F178="Normal",$T$28,IF(F178="Kurang",$T$29,$T$30))))*(IF(G178="Normal",$T$35,IF(G178="Pendek",$T$36,$T$37)))*(IF(H178="Gizi Buruk",$T$42,IF(H178="Gizi Lebih",$T$43,IF(H178="Risiko Gizi Lebih",$T$44,IF(H178="Gizi Baik",$T$45,$T$46)))))*(IF(I178="Ya",$T$51,$T$52))</f>
        <v/>
      </c>
      <c r="L178" s="97">
        <f>($Q$5/$Q$3)*(IF(B178="L",$U$15,$U$16))*(IF(C178="1-34 Bulan",$U$21,$U$22))*(IF(F178="Risiko Lebih",$U$27,IF(F178="Normal",$U$28,IF(F178="Kurang",$U$29,$U$30))))*(IF(G178="Normal",$U$35,IF(G178="Pendek",$U$36,$U$37)))*(IF(H178="Gizi Buruk",$U$42,IF(H178="Gizi Lebih",$U$43,IF(H178="Risiko Gizi Lebih",$U$44,IF(H178="Gizi Baik",$U$45,$U$46)))))*(IF(I178="Ya",$U$51,$U$52))</f>
        <v/>
      </c>
      <c r="M178" s="97">
        <f>($Q$6/$Q$3)*(IF(B178="L",$V$15,$V$16))*(IF(C178="1-34 Bulan",$V$21,$V$22))*(IF(F178="Risiko Lebih",$V$27,IF(F178="Normal",$V$28,IF(F178="Kurang",$V$29,$V$30))))*(IF(G178="Normal",$V$35,IF(G178="Pendek",$V$36,$V$37)))*(IF(H178="Gizi Buruk",$V$42,IF(H178="Gizi Lebih",$V$43,IF(H178="Risiko Gizi Lebih",$V$44,IF(H178="Gizi Baik",$V$45,$V$46)))))*(IF(I178="Ya",$V$51,$V$52))</f>
        <v/>
      </c>
      <c r="N178" s="97">
        <f>IF(K178=MAX(K178,L178,M178),"Stunting",IF(L178=MAX(K178,L178,M178),"Potensi Stunting","Tidak"))</f>
        <v/>
      </c>
    </row>
    <row r="179" ht="15.75" customHeight="1" s="95">
      <c r="A179" s="97" t="inlineStr">
        <is>
          <t>anonymus0923</t>
        </is>
      </c>
      <c r="B179" s="97" t="inlineStr">
        <is>
          <t>L</t>
        </is>
      </c>
      <c r="C179" s="97" t="inlineStr">
        <is>
          <t>1-34 Bulan</t>
        </is>
      </c>
      <c r="D179" s="97" t="n">
        <v>6.4</v>
      </c>
      <c r="E179" s="97" t="n">
        <v>93</v>
      </c>
      <c r="F179" s="97" t="inlineStr">
        <is>
          <t>Kurang</t>
        </is>
      </c>
      <c r="G179" s="97" t="inlineStr">
        <is>
          <t>Normal</t>
        </is>
      </c>
      <c r="H179" s="97" t="inlineStr">
        <is>
          <t>Gizi Kurang</t>
        </is>
      </c>
      <c r="I179" s="97" t="inlineStr">
        <is>
          <t>Ya</t>
        </is>
      </c>
      <c r="J179" s="126" t="inlineStr">
        <is>
          <t>Tidak</t>
        </is>
      </c>
      <c r="K179" s="97">
        <f>($Q$4/$Q$3)*(IF(B179="L",$T$15,$T$16))*(IF(C179="1-34 Bulan",$T$21,$T$22))*(IF(F179="Risiko Lebih",$T$27,IF(F179="Normal",$T$28,IF(F179="Kurang",$T$29,$T$30))))*(IF(G179="Normal",$T$35,IF(G179="Pendek",$T$36,$T$37)))*(IF(H179="Gizi Buruk",$T$42,IF(H179="Gizi Lebih",$T$43,IF(H179="Risiko Gizi Lebih",$T$44,IF(H179="Gizi Baik",$T$45,$T$46)))))*(IF(I179="Ya",$T$51,$T$52))</f>
        <v/>
      </c>
      <c r="L179" s="97">
        <f>($Q$5/$Q$3)*(IF(B179="L",$U$15,$U$16))*(IF(C179="1-34 Bulan",$U$21,$U$22))*(IF(F179="Risiko Lebih",$U$27,IF(F179="Normal",$U$28,IF(F179="Kurang",$U$29,$U$30))))*(IF(G179="Normal",$U$35,IF(G179="Pendek",$U$36,$U$37)))*(IF(H179="Gizi Buruk",$U$42,IF(H179="Gizi Lebih",$U$43,IF(H179="Risiko Gizi Lebih",$U$44,IF(H179="Gizi Baik",$U$45,$U$46)))))*(IF(I179="Ya",$U$51,$U$52))</f>
        <v/>
      </c>
      <c r="M179" s="97">
        <f>($Q$6/$Q$3)*(IF(B179="L",$V$15,$V$16))*(IF(C179="1-34 Bulan",$V$21,$V$22))*(IF(F179="Risiko Lebih",$V$27,IF(F179="Normal",$V$28,IF(F179="Kurang",$V$29,$V$30))))*(IF(G179="Normal",$V$35,IF(G179="Pendek",$V$36,$V$37)))*(IF(H179="Gizi Buruk",$V$42,IF(H179="Gizi Lebih",$V$43,IF(H179="Risiko Gizi Lebih",$V$44,IF(H179="Gizi Baik",$V$45,$V$46)))))*(IF(I179="Ya",$V$51,$V$52))</f>
        <v/>
      </c>
      <c r="N179" s="97">
        <f>IF(K179=MAX(K179,L179,M179),"Stunting",IF(L179=MAX(K179,L179,M179),"Potensi Stunting","Tidak"))</f>
        <v/>
      </c>
    </row>
    <row r="180" ht="15.75" customHeight="1" s="95">
      <c r="A180" s="97" t="inlineStr">
        <is>
          <t>anonymus0924</t>
        </is>
      </c>
      <c r="B180" s="97" t="inlineStr">
        <is>
          <t>P</t>
        </is>
      </c>
      <c r="C180" s="97" t="inlineStr">
        <is>
          <t>35-69 Bulan</t>
        </is>
      </c>
      <c r="D180" s="97" t="inlineStr">
        <is>
          <t>18.6</t>
        </is>
      </c>
      <c r="E180" s="97" t="n">
        <v>108</v>
      </c>
      <c r="F180" s="97" t="inlineStr">
        <is>
          <t>Normal</t>
        </is>
      </c>
      <c r="G180" s="97" t="inlineStr">
        <is>
          <t>Normal</t>
        </is>
      </c>
      <c r="H180" s="97" t="inlineStr">
        <is>
          <t>Gizi Baik</t>
        </is>
      </c>
      <c r="I180" s="97" t="inlineStr">
        <is>
          <t>Ya</t>
        </is>
      </c>
      <c r="J180" s="126" t="inlineStr">
        <is>
          <t>Tidak</t>
        </is>
      </c>
      <c r="K180" s="97">
        <f>($Q$4/$Q$3)*(IF(B180="L",$T$15,$T$16))*(IF(C180="1-34 Bulan",$T$21,$T$22))*(IF(F180="Risiko Lebih",$T$27,IF(F180="Normal",$T$28,IF(F180="Kurang",$T$29,$T$30))))*(IF(G180="Normal",$T$35,IF(G180="Pendek",$T$36,$T$37)))*(IF(H180="Gizi Buruk",$T$42,IF(H180="Gizi Lebih",$T$43,IF(H180="Risiko Gizi Lebih",$T$44,IF(H180="Gizi Baik",$T$45,$T$46)))))*(IF(I180="Ya",$T$51,$T$52))</f>
        <v/>
      </c>
      <c r="L180" s="97">
        <f>($Q$5/$Q$3)*(IF(B180="L",$U$15,$U$16))*(IF(C180="1-34 Bulan",$U$21,$U$22))*(IF(F180="Risiko Lebih",$U$27,IF(F180="Normal",$U$28,IF(F180="Kurang",$U$29,$U$30))))*(IF(G180="Normal",$U$35,IF(G180="Pendek",$U$36,$U$37)))*(IF(H180="Gizi Buruk",$U$42,IF(H180="Gizi Lebih",$U$43,IF(H180="Risiko Gizi Lebih",$U$44,IF(H180="Gizi Baik",$U$45,$U$46)))))*(IF(I180="Ya",$U$51,$U$52))</f>
        <v/>
      </c>
      <c r="M180" s="97">
        <f>($Q$6/$Q$3)*(IF(B180="L",$V$15,$V$16))*(IF(C180="1-34 Bulan",$V$21,$V$22))*(IF(F180="Risiko Lebih",$V$27,IF(F180="Normal",$V$28,IF(F180="Kurang",$V$29,$V$30))))*(IF(G180="Normal",$V$35,IF(G180="Pendek",$V$36,$V$37)))*(IF(H180="Gizi Buruk",$V$42,IF(H180="Gizi Lebih",$V$43,IF(H180="Risiko Gizi Lebih",$V$44,IF(H180="Gizi Baik",$V$45,$V$46)))))*(IF(I180="Ya",$V$51,$V$52))</f>
        <v/>
      </c>
      <c r="N180" s="97">
        <f>IF(K180=MAX(K180,L180,M180),"Stunting",IF(L180=MAX(K180,L180,M180),"Potensi Stunting","Tidak"))</f>
        <v/>
      </c>
    </row>
    <row r="181" ht="15.75" customHeight="1" s="95">
      <c r="A181" s="97" t="inlineStr">
        <is>
          <t>anonymus0925</t>
        </is>
      </c>
      <c r="B181" s="97" t="inlineStr">
        <is>
          <t>L</t>
        </is>
      </c>
      <c r="C181" s="97" t="inlineStr">
        <is>
          <t>1-34 Bulan</t>
        </is>
      </c>
      <c r="D181" s="97" t="inlineStr">
        <is>
          <t>10.1</t>
        </is>
      </c>
      <c r="E181" s="97" t="n">
        <v>82</v>
      </c>
      <c r="F181" s="97" t="inlineStr">
        <is>
          <t>Normal</t>
        </is>
      </c>
      <c r="G181" s="97" t="inlineStr">
        <is>
          <t>Normal</t>
        </is>
      </c>
      <c r="H181" s="97" t="inlineStr">
        <is>
          <t>Gizi Baik</t>
        </is>
      </c>
      <c r="I181" s="97" t="inlineStr">
        <is>
          <t>Ya</t>
        </is>
      </c>
      <c r="J181" s="126" t="inlineStr">
        <is>
          <t>Tidak</t>
        </is>
      </c>
      <c r="K181" s="97">
        <f>($Q$4/$Q$3)*(IF(B181="L",$T$15,$T$16))*(IF(C181="1-34 Bulan",$T$21,$T$22))*(IF(F181="Risiko Lebih",$T$27,IF(F181="Normal",$T$28,IF(F181="Kurang",$T$29,$T$30))))*(IF(G181="Normal",$T$35,IF(G181="Pendek",$T$36,$T$37)))*(IF(H181="Gizi Buruk",$T$42,IF(H181="Gizi Lebih",$T$43,IF(H181="Risiko Gizi Lebih",$T$44,IF(H181="Gizi Baik",$T$45,$T$46)))))*(IF(I181="Ya",$T$51,$T$52))</f>
        <v/>
      </c>
      <c r="L181" s="97">
        <f>($Q$5/$Q$3)*(IF(B181="L",$U$15,$U$16))*(IF(C181="1-34 Bulan",$U$21,$U$22))*(IF(F181="Risiko Lebih",$U$27,IF(F181="Normal",$U$28,IF(F181="Kurang",$U$29,$U$30))))*(IF(G181="Normal",$U$35,IF(G181="Pendek",$U$36,$U$37)))*(IF(H181="Gizi Buruk",$U$42,IF(H181="Gizi Lebih",$U$43,IF(H181="Risiko Gizi Lebih",$U$44,IF(H181="Gizi Baik",$U$45,$U$46)))))*(IF(I181="Ya",$U$51,$U$52))</f>
        <v/>
      </c>
      <c r="M181" s="97">
        <f>($Q$6/$Q$3)*(IF(B181="L",$V$15,$V$16))*(IF(C181="1-34 Bulan",$V$21,$V$22))*(IF(F181="Risiko Lebih",$V$27,IF(F181="Normal",$V$28,IF(F181="Kurang",$V$29,$V$30))))*(IF(G181="Normal",$V$35,IF(G181="Pendek",$V$36,$V$37)))*(IF(H181="Gizi Buruk",$V$42,IF(H181="Gizi Lebih",$V$43,IF(H181="Risiko Gizi Lebih",$V$44,IF(H181="Gizi Baik",$V$45,$V$46)))))*(IF(I181="Ya",$V$51,$V$52))</f>
        <v/>
      </c>
      <c r="N181" s="97">
        <f>IF(K181=MAX(K181,L181,M181),"Stunting",IF(L181=MAX(K181,L181,M181),"Potensi Stunting","Tidak"))</f>
        <v/>
      </c>
    </row>
    <row r="182" ht="15.75" customHeight="1" s="95">
      <c r="A182" s="97" t="inlineStr">
        <is>
          <t>anonymus0926</t>
        </is>
      </c>
      <c r="B182" s="97" t="inlineStr">
        <is>
          <t>P</t>
        </is>
      </c>
      <c r="C182" s="97" t="inlineStr">
        <is>
          <t>35-69 Bulan</t>
        </is>
      </c>
      <c r="D182" s="97" t="n">
        <v>14</v>
      </c>
      <c r="E182" s="97" t="n">
        <v>105</v>
      </c>
      <c r="F182" s="97" t="inlineStr">
        <is>
          <t>Normal</t>
        </is>
      </c>
      <c r="G182" s="97" t="inlineStr">
        <is>
          <t>Normal</t>
        </is>
      </c>
      <c r="H182" s="97" t="inlineStr">
        <is>
          <t>Gizi Kurang</t>
        </is>
      </c>
      <c r="I182" s="97" t="inlineStr">
        <is>
          <t>Ya</t>
        </is>
      </c>
      <c r="J182" s="126" t="inlineStr">
        <is>
          <t>Tidak</t>
        </is>
      </c>
      <c r="K182" s="97">
        <f>($Q$4/$Q$3)*(IF(B182="L",$T$15,$T$16))*(IF(C182="1-34 Bulan",$T$21,$T$22))*(IF(F182="Risiko Lebih",$T$27,IF(F182="Normal",$T$28,IF(F182="Kurang",$T$29,$T$30))))*(IF(G182="Normal",$T$35,IF(G182="Pendek",$T$36,$T$37)))*(IF(H182="Gizi Buruk",$T$42,IF(H182="Gizi Lebih",$T$43,IF(H182="Risiko Gizi Lebih",$T$44,IF(H182="Gizi Baik",$T$45,$T$46)))))*(IF(I182="Ya",$T$51,$T$52))</f>
        <v/>
      </c>
      <c r="L182" s="97">
        <f>($Q$5/$Q$3)*(IF(B182="L",$U$15,$U$16))*(IF(C182="1-34 Bulan",$U$21,$U$22))*(IF(F182="Risiko Lebih",$U$27,IF(F182="Normal",$U$28,IF(F182="Kurang",$U$29,$U$30))))*(IF(G182="Normal",$U$35,IF(G182="Pendek",$U$36,$U$37)))*(IF(H182="Gizi Buruk",$U$42,IF(H182="Gizi Lebih",$U$43,IF(H182="Risiko Gizi Lebih",$U$44,IF(H182="Gizi Baik",$U$45,$U$46)))))*(IF(I182="Ya",$U$51,$U$52))</f>
        <v/>
      </c>
      <c r="M182" s="97">
        <f>($Q$6/$Q$3)*(IF(B182="L",$V$15,$V$16))*(IF(C182="1-34 Bulan",$V$21,$V$22))*(IF(F182="Risiko Lebih",$V$27,IF(F182="Normal",$V$28,IF(F182="Kurang",$V$29,$V$30))))*(IF(G182="Normal",$V$35,IF(G182="Pendek",$V$36,$V$37)))*(IF(H182="Gizi Buruk",$V$42,IF(H182="Gizi Lebih",$V$43,IF(H182="Risiko Gizi Lebih",$V$44,IF(H182="Gizi Baik",$V$45,$V$46)))))*(IF(I182="Ya",$V$51,$V$52))</f>
        <v/>
      </c>
      <c r="N182" s="97">
        <f>IF(K182=MAX(K182,L182,M182),"Stunting",IF(L182=MAX(K182,L182,M182),"Potensi Stunting","Tidak"))</f>
        <v/>
      </c>
    </row>
    <row r="183" ht="15.75" customHeight="1" s="95">
      <c r="A183" s="97" t="inlineStr">
        <is>
          <t>anonymus0927</t>
        </is>
      </c>
      <c r="B183" s="97" t="inlineStr">
        <is>
          <t>P</t>
        </is>
      </c>
      <c r="C183" s="97" t="inlineStr">
        <is>
          <t>1-34 Bulan</t>
        </is>
      </c>
      <c r="D183" s="97" t="n">
        <v>6.4</v>
      </c>
      <c r="E183" s="97" t="n">
        <v>92</v>
      </c>
      <c r="F183" s="97" t="inlineStr">
        <is>
          <t>Kurang</t>
        </is>
      </c>
      <c r="G183" s="97" t="inlineStr">
        <is>
          <t>Normal</t>
        </is>
      </c>
      <c r="H183" s="97" t="inlineStr">
        <is>
          <t>Gizi Kurang</t>
        </is>
      </c>
      <c r="I183" s="97" t="inlineStr">
        <is>
          <t>Ya</t>
        </is>
      </c>
      <c r="J183" s="126" t="inlineStr">
        <is>
          <t>Tidak</t>
        </is>
      </c>
      <c r="K183" s="97">
        <f>($Q$4/$Q$3)*(IF(B183="L",$T$15,$T$16))*(IF(C183="1-34 Bulan",$T$21,$T$22))*(IF(F183="Risiko Lebih",$T$27,IF(F183="Normal",$T$28,IF(F183="Kurang",$T$29,$T$30))))*(IF(G183="Normal",$T$35,IF(G183="Pendek",$T$36,$T$37)))*(IF(H183="Gizi Buruk",$T$42,IF(H183="Gizi Lebih",$T$43,IF(H183="Risiko Gizi Lebih",$T$44,IF(H183="Gizi Baik",$T$45,$T$46)))))*(IF(I183="Ya",$T$51,$T$52))</f>
        <v/>
      </c>
      <c r="L183" s="97">
        <f>($Q$5/$Q$3)*(IF(B183="L",$U$15,$U$16))*(IF(C183="1-34 Bulan",$U$21,$U$22))*(IF(F183="Risiko Lebih",$U$27,IF(F183="Normal",$U$28,IF(F183="Kurang",$U$29,$U$30))))*(IF(G183="Normal",$U$35,IF(G183="Pendek",$U$36,$U$37)))*(IF(H183="Gizi Buruk",$U$42,IF(H183="Gizi Lebih",$U$43,IF(H183="Risiko Gizi Lebih",$U$44,IF(H183="Gizi Baik",$U$45,$U$46)))))*(IF(I183="Ya",$U$51,$U$52))</f>
        <v/>
      </c>
      <c r="M183" s="97">
        <f>($Q$6/$Q$3)*(IF(B183="L",$V$15,$V$16))*(IF(C183="1-34 Bulan",$V$21,$V$22))*(IF(F183="Risiko Lebih",$V$27,IF(F183="Normal",$V$28,IF(F183="Kurang",$V$29,$V$30))))*(IF(G183="Normal",$V$35,IF(G183="Pendek",$V$36,$V$37)))*(IF(H183="Gizi Buruk",$V$42,IF(H183="Gizi Lebih",$V$43,IF(H183="Risiko Gizi Lebih",$V$44,IF(H183="Gizi Baik",$V$45,$V$46)))))*(IF(I183="Ya",$V$51,$V$52))</f>
        <v/>
      </c>
      <c r="N183" s="97">
        <f>IF(K183=MAX(K183,L183,M183),"Stunting",IF(L183=MAX(K183,L183,M183),"Potensi Stunting","Tidak"))</f>
        <v/>
      </c>
    </row>
    <row r="184" ht="15.75" customHeight="1" s="95">
      <c r="A184" s="97" t="inlineStr">
        <is>
          <t>anonymus0928</t>
        </is>
      </c>
      <c r="B184" s="97" t="inlineStr">
        <is>
          <t>L</t>
        </is>
      </c>
      <c r="C184" s="97" t="inlineStr">
        <is>
          <t>35-69 Bulan</t>
        </is>
      </c>
      <c r="D184" s="97" t="inlineStr">
        <is>
          <t>16.4</t>
        </is>
      </c>
      <c r="E184" s="97" t="n">
        <v>100</v>
      </c>
      <c r="F184" s="97" t="inlineStr">
        <is>
          <t>Normal</t>
        </is>
      </c>
      <c r="G184" s="97" t="inlineStr">
        <is>
          <t>Normal</t>
        </is>
      </c>
      <c r="H184" s="97" t="inlineStr">
        <is>
          <t>Gizi Baik</t>
        </is>
      </c>
      <c r="I184" s="97" t="inlineStr">
        <is>
          <t>Ya</t>
        </is>
      </c>
      <c r="J184" s="126" t="inlineStr">
        <is>
          <t>Tidak</t>
        </is>
      </c>
      <c r="K184" s="97">
        <f>($Q$4/$Q$3)*(IF(B184="L",$T$15,$T$16))*(IF(C184="1-34 Bulan",$T$21,$T$22))*(IF(F184="Risiko Lebih",$T$27,IF(F184="Normal",$T$28,IF(F184="Kurang",$T$29,$T$30))))*(IF(G184="Normal",$T$35,IF(G184="Pendek",$T$36,$T$37)))*(IF(H184="Gizi Buruk",$T$42,IF(H184="Gizi Lebih",$T$43,IF(H184="Risiko Gizi Lebih",$T$44,IF(H184="Gizi Baik",$T$45,$T$46)))))*(IF(I184="Ya",$T$51,$T$52))</f>
        <v/>
      </c>
      <c r="L184" s="97">
        <f>($Q$5/$Q$3)*(IF(B184="L",$U$15,$U$16))*(IF(C184="1-34 Bulan",$U$21,$U$22))*(IF(F184="Risiko Lebih",$U$27,IF(F184="Normal",$U$28,IF(F184="Kurang",$U$29,$U$30))))*(IF(G184="Normal",$U$35,IF(G184="Pendek",$U$36,$U$37)))*(IF(H184="Gizi Buruk",$U$42,IF(H184="Gizi Lebih",$U$43,IF(H184="Risiko Gizi Lebih",$U$44,IF(H184="Gizi Baik",$U$45,$U$46)))))*(IF(I184="Ya",$U$51,$U$52))</f>
        <v/>
      </c>
      <c r="M184" s="97">
        <f>($Q$6/$Q$3)*(IF(B184="L",$V$15,$V$16))*(IF(C184="1-34 Bulan",$V$21,$V$22))*(IF(F184="Risiko Lebih",$V$27,IF(F184="Normal",$V$28,IF(F184="Kurang",$V$29,$V$30))))*(IF(G184="Normal",$V$35,IF(G184="Pendek",$V$36,$V$37)))*(IF(H184="Gizi Buruk",$V$42,IF(H184="Gizi Lebih",$V$43,IF(H184="Risiko Gizi Lebih",$V$44,IF(H184="Gizi Baik",$V$45,$V$46)))))*(IF(I184="Ya",$V$51,$V$52))</f>
        <v/>
      </c>
      <c r="N184" s="97">
        <f>IF(K184=MAX(K184,L184,M184),"Stunting",IF(L184=MAX(K184,L184,M184),"Potensi Stunting","Tidak"))</f>
        <v/>
      </c>
    </row>
    <row r="185" ht="15.75" customHeight="1" s="95">
      <c r="A185" s="97" t="inlineStr">
        <is>
          <t>anonymus0929</t>
        </is>
      </c>
      <c r="B185" s="97" t="inlineStr">
        <is>
          <t>P</t>
        </is>
      </c>
      <c r="C185" s="97" t="inlineStr">
        <is>
          <t>35-69 Bulan</t>
        </is>
      </c>
      <c r="D185" s="97" t="n">
        <v>10.4</v>
      </c>
      <c r="E185" s="97" t="n">
        <v>113</v>
      </c>
      <c r="F185" s="97" t="inlineStr">
        <is>
          <t>Normal</t>
        </is>
      </c>
      <c r="G185" s="97" t="inlineStr">
        <is>
          <t>Normal</t>
        </is>
      </c>
      <c r="H185" s="97" t="inlineStr">
        <is>
          <t>Gizi Baik</t>
        </is>
      </c>
      <c r="I185" s="97" t="inlineStr">
        <is>
          <t>Ya</t>
        </is>
      </c>
      <c r="J185" s="126" t="inlineStr">
        <is>
          <t>Tidak</t>
        </is>
      </c>
      <c r="K185" s="97">
        <f>($Q$4/$Q$3)*(IF(B185="L",$T$15,$T$16))*(IF(C185="1-34 Bulan",$T$21,$T$22))*(IF(F185="Risiko Lebih",$T$27,IF(F185="Normal",$T$28,IF(F185="Kurang",$T$29,$T$30))))*(IF(G185="Normal",$T$35,IF(G185="Pendek",$T$36,$T$37)))*(IF(H185="Gizi Buruk",$T$42,IF(H185="Gizi Lebih",$T$43,IF(H185="Risiko Gizi Lebih",$T$44,IF(H185="Gizi Baik",$T$45,$T$46)))))*(IF(I185="Ya",$T$51,$T$52))</f>
        <v/>
      </c>
      <c r="L185" s="97">
        <f>($Q$5/$Q$3)*(IF(B185="L",$U$15,$U$16))*(IF(C185="1-34 Bulan",$U$21,$U$22))*(IF(F185="Risiko Lebih",$U$27,IF(F185="Normal",$U$28,IF(F185="Kurang",$U$29,$U$30))))*(IF(G185="Normal",$U$35,IF(G185="Pendek",$U$36,$U$37)))*(IF(H185="Gizi Buruk",$U$42,IF(H185="Gizi Lebih",$U$43,IF(H185="Risiko Gizi Lebih",$U$44,IF(H185="Gizi Baik",$U$45,$U$46)))))*(IF(I185="Ya",$U$51,$U$52))</f>
        <v/>
      </c>
      <c r="M185" s="97">
        <f>($Q$6/$Q$3)*(IF(B185="L",$V$15,$V$16))*(IF(C185="1-34 Bulan",$V$21,$V$22))*(IF(F185="Risiko Lebih",$V$27,IF(F185="Normal",$V$28,IF(F185="Kurang",$V$29,$V$30))))*(IF(G185="Normal",$V$35,IF(G185="Pendek",$V$36,$V$37)))*(IF(H185="Gizi Buruk",$V$42,IF(H185="Gizi Lebih",$V$43,IF(H185="Risiko Gizi Lebih",$V$44,IF(H185="Gizi Baik",$V$45,$V$46)))))*(IF(I185="Ya",$V$51,$V$52))</f>
        <v/>
      </c>
      <c r="N185" s="97">
        <f>IF(K185=MAX(K185,L185,M185),"Stunting",IF(L185=MAX(K185,L185,M185),"Potensi Stunting","Tidak"))</f>
        <v/>
      </c>
    </row>
    <row r="186" ht="15.75" customHeight="1" s="95">
      <c r="A186" s="97" t="inlineStr">
        <is>
          <t>anonymus0930</t>
        </is>
      </c>
      <c r="B186" s="97" t="inlineStr">
        <is>
          <t>L</t>
        </is>
      </c>
      <c r="C186" s="97" t="inlineStr">
        <is>
          <t>1-34 Bulan</t>
        </is>
      </c>
      <c r="D186" s="97" t="inlineStr">
        <is>
          <t>7.4</t>
        </is>
      </c>
      <c r="E186" s="97" t="n">
        <v>61</v>
      </c>
      <c r="F186" s="97" t="inlineStr">
        <is>
          <t>Risiko Lebih</t>
        </is>
      </c>
      <c r="G186" s="97" t="inlineStr">
        <is>
          <t>Pendek</t>
        </is>
      </c>
      <c r="H186" s="97" t="inlineStr">
        <is>
          <t>Risiko Gizi Lebih</t>
        </is>
      </c>
      <c r="I186" s="97" t="inlineStr">
        <is>
          <t>Tidak</t>
        </is>
      </c>
      <c r="J186" s="126" t="inlineStr">
        <is>
          <t>Stunting</t>
        </is>
      </c>
      <c r="K186" s="97">
        <f>($Q$4/$Q$3)*(IF(B186="L",$T$15,$T$16))*(IF(C186="1-34 Bulan",$T$21,$T$22))*(IF(F186="Risiko Lebih",$T$27,IF(F186="Normal",$T$28,IF(F186="Kurang",$T$29,$T$30))))*(IF(G186="Normal",$T$35,IF(G186="Pendek",$T$36,$T$37)))*(IF(H186="Gizi Buruk",$T$42,IF(H186="Gizi Lebih",$T$43,IF(H186="Risiko Gizi Lebih",$T$44,IF(H186="Gizi Baik",$T$45,$T$46)))))*(IF(I186="Ya",$T$51,$T$52))</f>
        <v/>
      </c>
      <c r="L186" s="97">
        <f>($Q$5/$Q$3)*(IF(B186="L",$U$15,$U$16))*(IF(C186="1-34 Bulan",$U$21,$U$22))*(IF(F186="Risiko Lebih",$U$27,IF(F186="Normal",$U$28,IF(F186="Kurang",$U$29,$U$30))))*(IF(G186="Normal",$U$35,IF(G186="Pendek",$U$36,$U$37)))*(IF(H186="Gizi Buruk",$U$42,IF(H186="Gizi Lebih",$U$43,IF(H186="Risiko Gizi Lebih",$U$44,IF(H186="Gizi Baik",$U$45,$U$46)))))*(IF(I186="Ya",$U$51,$U$52))</f>
        <v/>
      </c>
      <c r="M186" s="97">
        <f>($Q$6/$Q$3)*(IF(B186="L",$V$15,$V$16))*(IF(C186="1-34 Bulan",$V$21,$V$22))*(IF(F186="Risiko Lebih",$V$27,IF(F186="Normal",$V$28,IF(F186="Kurang",$V$29,$V$30))))*(IF(G186="Normal",$V$35,IF(G186="Pendek",$V$36,$V$37)))*(IF(H186="Gizi Buruk",$V$42,IF(H186="Gizi Lebih",$V$43,IF(H186="Risiko Gizi Lebih",$V$44,IF(H186="Gizi Baik",$V$45,$V$46)))))*(IF(I186="Ya",$V$51,$V$52))</f>
        <v/>
      </c>
      <c r="N186" s="97">
        <f>IF(K186=MAX(K186,L186,M186),"Stunting",IF(L186=MAX(K186,L186,M186),"Potensi Stunting","Tidak"))</f>
        <v/>
      </c>
    </row>
    <row r="187" ht="15.75" customHeight="1" s="95">
      <c r="A187" s="97" t="inlineStr">
        <is>
          <t>anonymus0931</t>
        </is>
      </c>
      <c r="B187" s="97" t="inlineStr">
        <is>
          <t>L</t>
        </is>
      </c>
      <c r="C187" s="97" t="inlineStr">
        <is>
          <t>1-34 Bulan</t>
        </is>
      </c>
      <c r="D187" s="97" t="n">
        <v>13.9</v>
      </c>
      <c r="E187" s="97" t="n">
        <v>89</v>
      </c>
      <c r="F187" s="97" t="inlineStr">
        <is>
          <t>Normal</t>
        </is>
      </c>
      <c r="G187" s="97" t="inlineStr">
        <is>
          <t>Normal</t>
        </is>
      </c>
      <c r="H187" s="97" t="inlineStr">
        <is>
          <t>Gizi Baik</t>
        </is>
      </c>
      <c r="I187" s="97" t="inlineStr">
        <is>
          <t>Ya</t>
        </is>
      </c>
      <c r="J187" s="126" t="inlineStr">
        <is>
          <t>Tidak</t>
        </is>
      </c>
      <c r="K187" s="97">
        <f>($Q$4/$Q$3)*(IF(B187="L",$T$15,$T$16))*(IF(C187="1-34 Bulan",$T$21,$T$22))*(IF(F187="Risiko Lebih",$T$27,IF(F187="Normal",$T$28,IF(F187="Kurang",$T$29,$T$30))))*(IF(G187="Normal",$T$35,IF(G187="Pendek",$T$36,$T$37)))*(IF(H187="Gizi Buruk",$T$42,IF(H187="Gizi Lebih",$T$43,IF(H187="Risiko Gizi Lebih",$T$44,IF(H187="Gizi Baik",$T$45,$T$46)))))*(IF(I187="Ya",$T$51,$T$52))</f>
        <v/>
      </c>
      <c r="L187" s="97">
        <f>($Q$5/$Q$3)*(IF(B187="L",$U$15,$U$16))*(IF(C187="1-34 Bulan",$U$21,$U$22))*(IF(F187="Risiko Lebih",$U$27,IF(F187="Normal",$U$28,IF(F187="Kurang",$U$29,$U$30))))*(IF(G187="Normal",$U$35,IF(G187="Pendek",$U$36,$U$37)))*(IF(H187="Gizi Buruk",$U$42,IF(H187="Gizi Lebih",$U$43,IF(H187="Risiko Gizi Lebih",$U$44,IF(H187="Gizi Baik",$U$45,$U$46)))))*(IF(I187="Ya",$U$51,$U$52))</f>
        <v/>
      </c>
      <c r="M187" s="97">
        <f>($Q$6/$Q$3)*(IF(B187="L",$V$15,$V$16))*(IF(C187="1-34 Bulan",$V$21,$V$22))*(IF(F187="Risiko Lebih",$V$27,IF(F187="Normal",$V$28,IF(F187="Kurang",$V$29,$V$30))))*(IF(G187="Normal",$V$35,IF(G187="Pendek",$V$36,$V$37)))*(IF(H187="Gizi Buruk",$V$42,IF(H187="Gizi Lebih",$V$43,IF(H187="Risiko Gizi Lebih",$V$44,IF(H187="Gizi Baik",$V$45,$V$46)))))*(IF(I187="Ya",$V$51,$V$52))</f>
        <v/>
      </c>
      <c r="N187" s="97">
        <f>IF(K187=MAX(K187,L187,M187),"Stunting",IF(L187=MAX(K187,L187,M187),"Potensi Stunting","Tidak"))</f>
        <v/>
      </c>
    </row>
    <row r="188" ht="15.75" customHeight="1" s="95">
      <c r="A188" s="97" t="inlineStr">
        <is>
          <t>anonymus0932</t>
        </is>
      </c>
      <c r="B188" s="97" t="inlineStr">
        <is>
          <t>L</t>
        </is>
      </c>
      <c r="C188" s="97" t="inlineStr">
        <is>
          <t>1-34 Bulan</t>
        </is>
      </c>
      <c r="D188" s="97" t="inlineStr">
        <is>
          <t>9.2</t>
        </is>
      </c>
      <c r="E188" s="97" t="n">
        <v>82</v>
      </c>
      <c r="F188" s="97" t="inlineStr">
        <is>
          <t>Kurang</t>
        </is>
      </c>
      <c r="G188" s="97" t="inlineStr">
        <is>
          <t>Pendek</t>
        </is>
      </c>
      <c r="H188" s="97" t="inlineStr">
        <is>
          <t>Gizi Kurang</t>
        </is>
      </c>
      <c r="I188" s="97" t="inlineStr">
        <is>
          <t>Ya</t>
        </is>
      </c>
      <c r="J188" s="126" t="inlineStr">
        <is>
          <t>Potensi Stunting</t>
        </is>
      </c>
      <c r="K188" s="97">
        <f>($Q$4/$Q$3)*(IF(B188="L",$T$15,$T$16))*(IF(C188="1-34 Bulan",$T$21,$T$22))*(IF(F188="Risiko Lebih",$T$27,IF(F188="Normal",$T$28,IF(F188="Kurang",$T$29,$T$30))))*(IF(G188="Normal",$T$35,IF(G188="Pendek",$T$36,$T$37)))*(IF(H188="Gizi Buruk",$T$42,IF(H188="Gizi Lebih",$T$43,IF(H188="Risiko Gizi Lebih",$T$44,IF(H188="Gizi Baik",$T$45,$T$46)))))*(IF(I188="Ya",$T$51,$T$52))</f>
        <v/>
      </c>
      <c r="L188" s="97">
        <f>($Q$5/$Q$3)*(IF(B188="L",$U$15,$U$16))*(IF(C188="1-34 Bulan",$U$21,$U$22))*(IF(F188="Risiko Lebih",$U$27,IF(F188="Normal",$U$28,IF(F188="Kurang",$U$29,$U$30))))*(IF(G188="Normal",$U$35,IF(G188="Pendek",$U$36,$U$37)))*(IF(H188="Gizi Buruk",$U$42,IF(H188="Gizi Lebih",$U$43,IF(H188="Risiko Gizi Lebih",$U$44,IF(H188="Gizi Baik",$U$45,$U$46)))))*(IF(I188="Ya",$U$51,$U$52))</f>
        <v/>
      </c>
      <c r="M188" s="97">
        <f>($Q$6/$Q$3)*(IF(B188="L",$V$15,$V$16))*(IF(C188="1-34 Bulan",$V$21,$V$22))*(IF(F188="Risiko Lebih",$V$27,IF(F188="Normal",$V$28,IF(F188="Kurang",$V$29,$V$30))))*(IF(G188="Normal",$V$35,IF(G188="Pendek",$V$36,$V$37)))*(IF(H188="Gizi Buruk",$V$42,IF(H188="Gizi Lebih",$V$43,IF(H188="Risiko Gizi Lebih",$V$44,IF(H188="Gizi Baik",$V$45,$V$46)))))*(IF(I188="Ya",$V$51,$V$52))</f>
        <v/>
      </c>
      <c r="N188" s="97">
        <f>IF(K188=MAX(K188,L188,M188),"Stunting",IF(L188=MAX(K188,L188,M188),"Potensi Stunting","Tidak"))</f>
        <v/>
      </c>
    </row>
    <row r="189" ht="15.75" customHeight="1" s="95">
      <c r="A189" s="97" t="inlineStr">
        <is>
          <t>anonymus0933</t>
        </is>
      </c>
      <c r="B189" s="97" t="inlineStr">
        <is>
          <t>L</t>
        </is>
      </c>
      <c r="C189" s="97" t="inlineStr">
        <is>
          <t>1-34 Bulan</t>
        </is>
      </c>
      <c r="D189" s="97" t="n">
        <v>12</v>
      </c>
      <c r="E189" s="97" t="n">
        <v>100</v>
      </c>
      <c r="F189" s="97" t="inlineStr">
        <is>
          <t>Normal</t>
        </is>
      </c>
      <c r="G189" s="97" t="inlineStr">
        <is>
          <t>Normal</t>
        </is>
      </c>
      <c r="H189" s="97" t="inlineStr">
        <is>
          <t>Gizi Baik</t>
        </is>
      </c>
      <c r="I189" s="97" t="inlineStr">
        <is>
          <t>Ya</t>
        </is>
      </c>
      <c r="J189" s="126" t="inlineStr">
        <is>
          <t>Tidak</t>
        </is>
      </c>
      <c r="K189" s="97">
        <f>($Q$4/$Q$3)*(IF(B189="L",$T$15,$T$16))*(IF(C189="1-34 Bulan",$T$21,$T$22))*(IF(F189="Risiko Lebih",$T$27,IF(F189="Normal",$T$28,IF(F189="Kurang",$T$29,$T$30))))*(IF(G189="Normal",$T$35,IF(G189="Pendek",$T$36,$T$37)))*(IF(H189="Gizi Buruk",$T$42,IF(H189="Gizi Lebih",$T$43,IF(H189="Risiko Gizi Lebih",$T$44,IF(H189="Gizi Baik",$T$45,$T$46)))))*(IF(I189="Ya",$T$51,$T$52))</f>
        <v/>
      </c>
      <c r="L189" s="97">
        <f>($Q$5/$Q$3)*(IF(B189="L",$U$15,$U$16))*(IF(C189="1-34 Bulan",$U$21,$U$22))*(IF(F189="Risiko Lebih",$U$27,IF(F189="Normal",$U$28,IF(F189="Kurang",$U$29,$U$30))))*(IF(G189="Normal",$U$35,IF(G189="Pendek",$U$36,$U$37)))*(IF(H189="Gizi Buruk",$U$42,IF(H189="Gizi Lebih",$U$43,IF(H189="Risiko Gizi Lebih",$U$44,IF(H189="Gizi Baik",$U$45,$U$46)))))*(IF(I189="Ya",$U$51,$U$52))</f>
        <v/>
      </c>
      <c r="M189" s="97">
        <f>($Q$6/$Q$3)*(IF(B189="L",$V$15,$V$16))*(IF(C189="1-34 Bulan",$V$21,$V$22))*(IF(F189="Risiko Lebih",$V$27,IF(F189="Normal",$V$28,IF(F189="Kurang",$V$29,$V$30))))*(IF(G189="Normal",$V$35,IF(G189="Pendek",$V$36,$V$37)))*(IF(H189="Gizi Buruk",$V$42,IF(H189="Gizi Lebih",$V$43,IF(H189="Risiko Gizi Lebih",$V$44,IF(H189="Gizi Baik",$V$45,$V$46)))))*(IF(I189="Ya",$V$51,$V$52))</f>
        <v/>
      </c>
      <c r="N189" s="97">
        <f>IF(K189=MAX(K189,L189,M189),"Stunting",IF(L189=MAX(K189,L189,M189),"Potensi Stunting","Tidak"))</f>
        <v/>
      </c>
    </row>
    <row r="190" ht="15" customFormat="1" customHeight="1" s="131">
      <c r="K190" s="132" t="n"/>
      <c r="L190" s="132" t="n"/>
      <c r="M190" s="132" t="n"/>
      <c r="N190" s="132" t="n"/>
    </row>
  </sheetData>
  <autoFilter ref="B2:J189"/>
  <mergeCells count="15">
    <mergeCell ref="T40:V40"/>
    <mergeCell ref="T49:V49"/>
    <mergeCell ref="AC55:AD56"/>
    <mergeCell ref="P33:R33"/>
    <mergeCell ref="P25:R25"/>
    <mergeCell ref="T19:V19"/>
    <mergeCell ref="P49:R49"/>
    <mergeCell ref="P19:R19"/>
    <mergeCell ref="P13:R13"/>
    <mergeCell ref="P40:R40"/>
    <mergeCell ref="T13:V13"/>
    <mergeCell ref="T33:V33"/>
    <mergeCell ref="T25:V25"/>
    <mergeCell ref="Z55:AB55"/>
    <mergeCell ref="K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2" activeCellId="0" sqref="I22"/>
    </sheetView>
  </sheetViews>
  <sheetFormatPr baseColWidth="8" defaultColWidth="8.6796875" defaultRowHeight="15" zeroHeight="0" outlineLevelRow="0"/>
  <sheetData>
    <row r="1" ht="15" customHeight="1" s="95">
      <c r="A1" s="119" t="n"/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2" t="inlineStr">
        <is>
          <t>Prediksi</t>
        </is>
      </c>
      <c r="L1" s="116" t="n"/>
      <c r="M1" s="117" t="n"/>
      <c r="N1" s="112" t="n"/>
    </row>
    <row r="2" ht="15.75" customHeight="1" s="95">
      <c r="A2" s="100" t="inlineStr">
        <is>
          <t>Nama/Kode balita</t>
        </is>
      </c>
      <c r="B2" s="100" t="inlineStr">
        <is>
          <t>JK</t>
        </is>
      </c>
      <c r="C2" s="100" t="inlineStr">
        <is>
          <t xml:space="preserve">Umur </t>
        </is>
      </c>
      <c r="D2" s="100" t="inlineStr">
        <is>
          <t xml:space="preserve">Berat </t>
        </is>
      </c>
      <c r="E2" s="100" t="inlineStr">
        <is>
          <t>Tinggi</t>
        </is>
      </c>
      <c r="F2" s="100" t="inlineStr">
        <is>
          <t>BB/U</t>
        </is>
      </c>
      <c r="G2" s="100" t="inlineStr">
        <is>
          <t>TB/U</t>
        </is>
      </c>
      <c r="H2" s="100" t="inlineStr">
        <is>
          <t>Status Gizi</t>
        </is>
      </c>
      <c r="I2" s="100" t="inlineStr">
        <is>
          <t>Status ASI Ekslusif</t>
        </is>
      </c>
      <c r="J2" s="125" t="inlineStr">
        <is>
          <t>Status Stunting</t>
        </is>
      </c>
      <c r="K2" s="100" t="inlineStr">
        <is>
          <t>Stunting</t>
        </is>
      </c>
      <c r="L2" s="100" t="inlineStr">
        <is>
          <t>Potensi Stunting</t>
        </is>
      </c>
      <c r="M2" s="100" t="inlineStr">
        <is>
          <t>Tidak</t>
        </is>
      </c>
      <c r="N2" s="100" t="inlineStr">
        <is>
          <t>Hasil</t>
        </is>
      </c>
    </row>
    <row r="3" ht="15.75" customHeight="1" s="95">
      <c r="A3" s="97" t="inlineStr">
        <is>
          <t>anonymus0747</t>
        </is>
      </c>
      <c r="B3" s="97" t="inlineStr">
        <is>
          <t>L</t>
        </is>
      </c>
      <c r="C3" s="97" t="inlineStr">
        <is>
          <t>35-69 Bulan</t>
        </is>
      </c>
      <c r="D3" s="97" t="n">
        <v>7.9</v>
      </c>
      <c r="E3" s="97" t="n">
        <v>80</v>
      </c>
      <c r="F3" s="97" t="inlineStr">
        <is>
          <t>Sangat Kurang</t>
        </is>
      </c>
      <c r="G3" s="97" t="inlineStr">
        <is>
          <t>Sangat Pendek</t>
        </is>
      </c>
      <c r="H3" s="97" t="inlineStr">
        <is>
          <t>Gizi Buruk</t>
        </is>
      </c>
      <c r="I3" s="97" t="inlineStr">
        <is>
          <t>Ya</t>
        </is>
      </c>
      <c r="J3" s="126" t="inlineStr">
        <is>
          <t>Stunting</t>
        </is>
      </c>
      <c r="K3" s="97" t="n"/>
      <c r="L3" s="97">
        <f>U15*U22*U30*U37*U42*U51</f>
        <v/>
      </c>
      <c r="M3" s="97">
        <f>V15*V22*V30*V37*V42*V51</f>
        <v/>
      </c>
      <c r="N3" s="97">
        <f>IF(K3=MAX(K3,L3,M3),"Stunting",
IF(L3=MAX(K3,L3,M3),"Potensi Stunting",
"Tidak"))</f>
        <v/>
      </c>
    </row>
    <row r="4" ht="15.75" customHeight="1" s="95">
      <c r="A4" s="97" t="inlineStr">
        <is>
          <t>anonymus0748</t>
        </is>
      </c>
      <c r="B4" s="97" t="inlineStr">
        <is>
          <t>P</t>
        </is>
      </c>
      <c r="C4" s="97" t="inlineStr">
        <is>
          <t>35-69 Bulan</t>
        </is>
      </c>
      <c r="D4" s="97" t="n">
        <v>11.3</v>
      </c>
      <c r="E4" s="97" t="n">
        <v>115</v>
      </c>
      <c r="F4" s="97" t="inlineStr">
        <is>
          <t>Normal</t>
        </is>
      </c>
      <c r="G4" s="97" t="inlineStr">
        <is>
          <t>Normal</t>
        </is>
      </c>
      <c r="H4" s="97" t="inlineStr">
        <is>
          <t>Gizi Baik</t>
        </is>
      </c>
      <c r="I4" s="97" t="inlineStr">
        <is>
          <t>Ya</t>
        </is>
      </c>
      <c r="J4" s="126" t="inlineStr">
        <is>
          <t>Tidak</t>
        </is>
      </c>
      <c r="K4" s="97">
        <f>IFERROR(
IF(B3="L",$U$14,$U$15)*
IF(C3="1-34 Bulan",$U$21,$U$22)*
IF(F3="Risiko Lebih",$U$28,IF(F3="Normal",$U$29,IF(F3="Kurang",$U$30,$U$31)))*
IF(G3="Normal",$U$35,IF(G3="Pendek",$U$36,$U$37))*
IF(H3="Gizi Buruk",$U$41,IF(H3="Gizi Lebih",$U$42,IF(H3="Risiko Gizi Lebih",$U$43,IF(H3="Gizi Baik",$U$44,$U$45))))*
IF(I3="Ya",$U$51,$U$52),0)</f>
        <v/>
      </c>
      <c r="L4" s="97">
        <f>IFERROR(
IF(B3="L",$V$14,$V$15)*
IF(C3="1-34 Bulan",$V$21,$V$22)*
IF(F3="Risiko Lebih",$V$28,IF(F3="Normal",$V$29,IF(F3="Kurang",$V$30,$V$31)))*
IF(G3="Normal",$V$35,IF(G3="Pendek",$V$36,$V$37))*
IF(H3="Gizi Buruk",$V$41,IF(H3="Gizi Lebih",$V$42,IF(H3="Risiko Gizi Lebih",$V$43,IF(H3="Gizi Baik",$V$44,$V$45))))*
IF(I3="Ya",$V$51,$V$52),0)</f>
        <v/>
      </c>
      <c r="M4" s="113">
        <f>IFERROR(
IF(B3="L",$W$14,$W$15)*
IF(C3="1-34 Bulan",$W$21,$W$22)*
IF(F3="Risiko Lebih",$W$28,IF(F3="Normal",$W$29,IF(F3="Kurang",$W$30,$W$31)))*
IF(G3="Normal",$W$35,IF(G3="Pendek",$W$36,$W$37))*
IF(H3="Gizi Buruk",$W$41,IF(H3="Gizi Lebih",$W$42,IF(H3="Risiko Gizi Lebih",$W$43,IF(H3="Gizi Baik",$W$44,$W$45))))*
IF(I3="Ya",$W$51,$W$52),0)</f>
        <v/>
      </c>
      <c r="N4" s="97" t="n"/>
    </row>
  </sheetData>
  <mergeCells count="1">
    <mergeCell ref="K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94" min="1" max="2"/>
    <col width="7" customWidth="1" style="94" min="3" max="4"/>
    <col width="8" customWidth="1" style="94" min="5" max="6"/>
    <col width="14" customWidth="1" style="94" min="7" max="8"/>
    <col width="16" customWidth="1" style="94" min="9" max="9"/>
    <col width="14" customWidth="1" style="94" min="10" max="11"/>
    <col width="14" customWidth="1" style="94" min="12" max="12"/>
  </cols>
  <sheetData>
    <row r="1" ht="30" customHeight="1" s="95">
      <c r="A1" s="133" t="inlineStr">
        <is>
          <t>CONFUSION MATRIX — NAIVE BAYES KLASIFIKASI STUNTING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</row>
    <row r="2" ht="18" customHeight="1" s="95">
      <c r="A2" s="134" t="inlineStr">
        <is>
          <t>Data Test: 187 sampel  |  Kelas: Stunting, Potensi Stunting, Tidak</t>
        </is>
      </c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</row>
    <row r="3" ht="19.5" customHeight="1" s="95">
      <c r="C3" s="135" t="inlineStr">
        <is>
          <t>PREDIKSI (Hasil Model)</t>
        </is>
      </c>
      <c r="D3" s="116" t="n"/>
      <c r="E3" s="116" t="n"/>
      <c r="F3" s="116" t="n"/>
    </row>
    <row r="4" ht="45" customHeight="1" s="95">
      <c r="A4" s="136" t="inlineStr">
        <is>
          <t>AKTUAL
(Status
Stunting)</t>
        </is>
      </c>
      <c r="B4" s="137" t="inlineStr">
        <is>
          <t>Aktual \ Prediksi</t>
        </is>
      </c>
      <c r="C4" s="137" t="inlineStr">
        <is>
          <t>Pred.
Stunting</t>
        </is>
      </c>
      <c r="D4" s="137" t="inlineStr">
        <is>
          <t>Pred.
Potensi Stunting</t>
        </is>
      </c>
      <c r="E4" s="137" t="inlineStr">
        <is>
          <t>Pred.
Tidak</t>
        </is>
      </c>
      <c r="F4" s="137" t="inlineStr">
        <is>
          <t>Total
Aktual</t>
        </is>
      </c>
    </row>
    <row r="5" ht="21.75" customHeight="1" s="95">
      <c r="A5" s="138" t="n"/>
      <c r="B5" s="139" t="inlineStr">
        <is>
          <t>Stunting</t>
        </is>
      </c>
      <c r="C5" s="140" t="n">
        <v>15</v>
      </c>
      <c r="D5" s="141" t="n">
        <v>0</v>
      </c>
      <c r="E5" s="141" t="n">
        <v>0</v>
      </c>
      <c r="F5" s="142" t="n">
        <v>15</v>
      </c>
    </row>
    <row r="6" ht="21.75" customHeight="1" s="95">
      <c r="A6" s="138" t="n"/>
      <c r="B6" s="139" t="inlineStr">
        <is>
          <t>Potensi Stunting</t>
        </is>
      </c>
      <c r="C6" s="141" t="n">
        <v>2</v>
      </c>
      <c r="D6" s="140" t="n">
        <v>15</v>
      </c>
      <c r="E6" s="141" t="n">
        <v>6</v>
      </c>
      <c r="F6" s="142" t="n">
        <v>23</v>
      </c>
    </row>
    <row r="7" ht="21.75" customHeight="1" s="95">
      <c r="A7" s="138" t="n"/>
      <c r="B7" s="139" t="inlineStr">
        <is>
          <t>Tidak</t>
        </is>
      </c>
      <c r="C7" s="141" t="n">
        <v>3</v>
      </c>
      <c r="D7" s="141" t="n">
        <v>3</v>
      </c>
      <c r="E7" s="140" t="n">
        <v>143</v>
      </c>
      <c r="F7" s="142" t="n">
        <v>149</v>
      </c>
    </row>
    <row r="8" ht="21.75" customHeight="1" s="95">
      <c r="B8" s="143" t="inlineStr">
        <is>
          <t>Total Prediksi</t>
        </is>
      </c>
      <c r="C8" s="142" t="n">
        <v>20</v>
      </c>
      <c r="D8" s="142" t="n">
        <v>18</v>
      </c>
      <c r="E8" s="142" t="n">
        <v>149</v>
      </c>
      <c r="F8" s="144" t="n">
        <v>187</v>
      </c>
    </row>
    <row r="10" ht="24.75" customHeight="1" s="95">
      <c r="A10" s="145" t="inlineStr">
        <is>
          <t>METRIK EVALUASI PER KELAS</t>
        </is>
      </c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16" t="n"/>
      <c r="K10" s="116" t="n"/>
      <c r="L10" s="116" t="n"/>
    </row>
    <row r="11" ht="42" customHeight="1" s="95">
      <c r="A11" s="137" t="inlineStr">
        <is>
          <t>Kelas</t>
        </is>
      </c>
      <c r="B11" s="137" t="inlineStr">
        <is>
          <t>TP</t>
        </is>
      </c>
      <c r="C11" s="137" t="inlineStr">
        <is>
          <t>FP</t>
        </is>
      </c>
      <c r="D11" s="137" t="inlineStr">
        <is>
          <t>FN</t>
        </is>
      </c>
      <c r="E11" s="137" t="inlineStr">
        <is>
          <t>TN</t>
        </is>
      </c>
      <c r="F11" s="137" t="inlineStr">
        <is>
          <t>Precision</t>
        </is>
      </c>
      <c r="G11" s="137" t="inlineStr">
        <is>
          <t>Recall</t>
        </is>
      </c>
      <c r="H11" s="137" t="inlineStr">
        <is>
          <t>Specificity</t>
        </is>
      </c>
      <c r="I11" s="137" t="inlineStr">
        <is>
          <t>F1-Score</t>
        </is>
      </c>
      <c r="J11" s="137" t="inlineStr">
        <is>
          <t>Accuracy</t>
        </is>
      </c>
    </row>
    <row r="12" ht="15" customHeight="1" s="95">
      <c r="A12" s="146" t="inlineStr">
        <is>
          <t>Stunting</t>
        </is>
      </c>
      <c r="B12" s="147" t="n">
        <v>15</v>
      </c>
      <c r="C12" s="148" t="n">
        <v>5</v>
      </c>
      <c r="D12" s="148" t="n">
        <v>0</v>
      </c>
      <c r="E12" s="147" t="n">
        <v>167</v>
      </c>
      <c r="F12" s="149" t="n">
        <v>0.75</v>
      </c>
      <c r="G12" s="149" t="n">
        <v>1</v>
      </c>
      <c r="H12" s="149" t="n">
        <v>0.9709</v>
      </c>
      <c r="I12" s="149" t="n">
        <v>0.8571</v>
      </c>
      <c r="J12" s="149" t="n">
        <v>0.9733000000000001</v>
      </c>
    </row>
    <row r="13" ht="15" customHeight="1" s="95">
      <c r="A13" s="150" t="inlineStr">
        <is>
          <t>Potensi Stunting</t>
        </is>
      </c>
      <c r="B13" s="147" t="n">
        <v>15</v>
      </c>
      <c r="C13" s="148" t="n">
        <v>3</v>
      </c>
      <c r="D13" s="148" t="n">
        <v>8</v>
      </c>
      <c r="E13" s="147" t="n">
        <v>161</v>
      </c>
      <c r="F13" s="151" t="n">
        <v>0.8333</v>
      </c>
      <c r="G13" s="151" t="n">
        <v>0.6522</v>
      </c>
      <c r="H13" s="151" t="n">
        <v>0.9817</v>
      </c>
      <c r="I13" s="151" t="n">
        <v>0.7317</v>
      </c>
      <c r="J13" s="151" t="n">
        <v>0.9412</v>
      </c>
    </row>
    <row r="14" ht="15" customHeight="1" s="95">
      <c r="A14" s="146" t="inlineStr">
        <is>
          <t>Tidak</t>
        </is>
      </c>
      <c r="B14" s="147" t="n">
        <v>143</v>
      </c>
      <c r="C14" s="148" t="n">
        <v>6</v>
      </c>
      <c r="D14" s="148" t="n">
        <v>6</v>
      </c>
      <c r="E14" s="147" t="n">
        <v>32</v>
      </c>
      <c r="F14" s="149" t="n">
        <v>0.9597</v>
      </c>
      <c r="G14" s="149" t="n">
        <v>0.9597</v>
      </c>
      <c r="H14" s="149" t="n">
        <v>0.8421</v>
      </c>
      <c r="I14" s="149" t="n">
        <v>0.9597</v>
      </c>
      <c r="J14" s="149" t="n">
        <v>0.9358</v>
      </c>
    </row>
    <row r="15" ht="21.75" customHeight="1" s="95">
      <c r="A15" s="152" t="inlineStr">
        <is>
          <t>Macro Average</t>
        </is>
      </c>
      <c r="B15" s="153" t="inlineStr">
        <is>
          <t>-</t>
        </is>
      </c>
      <c r="C15" s="153" t="inlineStr">
        <is>
          <t>-</t>
        </is>
      </c>
      <c r="D15" s="153" t="inlineStr">
        <is>
          <t>-</t>
        </is>
      </c>
      <c r="E15" s="153" t="inlineStr">
        <is>
          <t>-</t>
        </is>
      </c>
      <c r="F15" s="154" t="n">
        <v>0.8477</v>
      </c>
      <c r="G15" s="154" t="n">
        <v>0.8706</v>
      </c>
      <c r="H15" s="154" t="n">
        <v>0.9316</v>
      </c>
      <c r="I15" s="154" t="n">
        <v>0.8495</v>
      </c>
      <c r="J15" s="154" t="n">
        <v>0.9251</v>
      </c>
    </row>
    <row r="17" ht="21.75" customHeight="1" s="95">
      <c r="A17" s="145" t="inlineStr">
        <is>
          <t>AKURASI KESELURUHAN MODEL</t>
        </is>
      </c>
      <c r="B17" s="116" t="n"/>
      <c r="C17" s="116" t="n"/>
      <c r="D17" s="116" t="n"/>
      <c r="E17" s="116" t="n"/>
      <c r="F17" s="155" t="inlineStr">
        <is>
          <t>Prediksi benar: 173 dari 187 sampel</t>
        </is>
      </c>
      <c r="G17" s="116" t="n"/>
      <c r="H17" s="116" t="n"/>
      <c r="I17" s="116" t="n"/>
      <c r="J17" s="116" t="n"/>
      <c r="K17" s="116" t="n"/>
      <c r="L17" s="116" t="n"/>
    </row>
    <row r="18" ht="30" customHeight="1" s="95">
      <c r="A18" s="156" t="inlineStr">
        <is>
          <t>92.51%</t>
        </is>
      </c>
      <c r="B18" s="157" t="n"/>
      <c r="C18" s="157" t="n"/>
      <c r="D18" s="158" t="inlineStr">
        <is>
          <t>Benar = TP(Stunting) + TP(Potensi Stunting) + TP(Tidak)
= 15 + 15 + 143 = 173
Akurasi = 173 / 187 = 0.9251</t>
        </is>
      </c>
      <c r="E18" s="157" t="n"/>
      <c r="F18" s="157" t="n"/>
      <c r="G18" s="157" t="n"/>
      <c r="H18" s="157" t="n"/>
      <c r="I18" s="157" t="n"/>
      <c r="J18" s="157" t="n"/>
      <c r="K18" s="157" t="n"/>
      <c r="L18" s="157" t="n"/>
    </row>
    <row r="19" ht="30" customHeight="1" s="95">
      <c r="A19" s="159" t="n"/>
      <c r="D19" s="159" t="n"/>
    </row>
    <row r="20" ht="30" customHeight="1" s="95">
      <c r="A20" s="159" t="n"/>
      <c r="D20" s="159" t="n"/>
    </row>
    <row r="22" ht="19.5" customHeight="1" s="95">
      <c r="A22" s="160" t="inlineStr">
        <is>
          <t>KETERANGAN</t>
        </is>
      </c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16" t="n"/>
      <c r="K22" s="116" t="n"/>
      <c r="L22" s="116" t="n"/>
    </row>
    <row r="23" ht="45" customHeight="1" s="95">
      <c r="A23" s="161" t="inlineStr">
        <is>
          <t>TP (True Positive): Prediksi BENAR untuk kelas ini</t>
        </is>
      </c>
      <c r="B23" s="116" t="n"/>
      <c r="C23" s="116" t="n"/>
      <c r="D23" s="162" t="inlineStr">
        <is>
          <t>FP (False Positive): Diprediksi kelas ini, padahal bukan</t>
        </is>
      </c>
      <c r="E23" s="116" t="n"/>
      <c r="F23" s="116" t="n"/>
      <c r="G23" s="162" t="inlineStr">
        <is>
          <t>FN (False Negative): Aktual kelas ini, diprediksi kelas lain</t>
        </is>
      </c>
      <c r="H23" s="116" t="n"/>
      <c r="I23" s="116" t="n"/>
      <c r="J23" s="161" t="inlineStr">
        <is>
          <t>TN (True Negative): Bukan kelas ini &amp; tidak diprediksi kelas ini</t>
        </is>
      </c>
      <c r="K23" s="116" t="n"/>
      <c r="L23" s="116" t="n"/>
    </row>
    <row r="27" ht="30" customHeight="1" s="95">
      <c r="A27" s="163" t="inlineStr">
        <is>
          <t>RINGKASAN: AKURASI, PRESISI &amp; RECALL</t>
        </is>
      </c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16" t="n"/>
      <c r="K27" s="116" t="n"/>
      <c r="L27" s="116" t="n"/>
    </row>
    <row r="29" ht="25.5" customHeight="1" s="95">
      <c r="A29" s="164" t="inlineStr">
        <is>
          <t>① AKURASI  (Accuracy)</t>
        </is>
      </c>
      <c r="B29" s="116" t="n"/>
      <c r="C29" s="116" t="n"/>
      <c r="D29" s="116" t="n"/>
      <c r="E29" s="116" t="n"/>
      <c r="F29" s="116" t="n"/>
      <c r="G29" s="116" t="n"/>
      <c r="H29" s="116" t="n"/>
      <c r="I29" s="116" t="n"/>
      <c r="J29" s="116" t="n"/>
      <c r="K29" s="116" t="n"/>
      <c r="L29" s="116" t="n"/>
    </row>
    <row r="30" ht="31.5" customHeight="1" s="95">
      <c r="A30" s="165" t="inlineStr">
        <is>
          <t>Proporsi total prediksi BENAR dari seluruh data test.  Rumus:  Akurasi = (TP₁+TP₂+TP₃) / Total = (15+15+143) / 187</t>
        </is>
      </c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</row>
    <row r="31" ht="30" customHeight="1" s="95">
      <c r="A31" s="166" t="inlineStr">
        <is>
          <t>AKURASI KESELURUHAN</t>
        </is>
      </c>
      <c r="B31" s="116" t="n"/>
      <c r="C31" s="116" t="n"/>
      <c r="D31" s="116" t="n"/>
      <c r="E31" s="167" t="n">
        <v>0.9251</v>
      </c>
      <c r="F31" s="116" t="n"/>
      <c r="G31" s="116" t="n"/>
      <c r="H31" s="168" t="n">
        <v>0.9709</v>
      </c>
      <c r="I31" s="116" t="n"/>
      <c r="J31" s="116" t="n"/>
      <c r="K31" s="116" t="n"/>
      <c r="L31" s="116" t="n"/>
    </row>
    <row r="33" ht="25.5" customHeight="1" s="95">
      <c r="A33" s="164" t="inlineStr">
        <is>
          <t>② PRESISI  (Precision)</t>
        </is>
      </c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16" t="n"/>
      <c r="K33" s="116" t="n"/>
      <c r="L33" s="116" t="n"/>
    </row>
    <row r="34" ht="31.5" customHeight="1" s="95">
      <c r="A34" s="165" t="inlineStr">
        <is>
          <t>Dari semua data yang DIPREDIKSI sebagai kelas X, berapa yang benar-benar kelas X?  Rumus: Presisi = TP / (TP + FP)</t>
        </is>
      </c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16" t="n"/>
      <c r="K34" s="116" t="n"/>
      <c r="L34" s="116" t="n"/>
    </row>
    <row r="35" ht="21.75" customHeight="1" s="95">
      <c r="A35" s="169" t="inlineStr">
        <is>
          <t>Kelas</t>
        </is>
      </c>
      <c r="B35" s="116" t="n"/>
      <c r="C35" s="170" t="inlineStr">
        <is>
          <t>TP</t>
        </is>
      </c>
      <c r="D35" s="170" t="inlineStr">
        <is>
          <t>FP</t>
        </is>
      </c>
      <c r="E35" s="170" t="inlineStr">
        <is>
          <t>TP+FP</t>
        </is>
      </c>
      <c r="F35" s="170" t="inlineStr">
        <is>
          <t>Presisi</t>
        </is>
      </c>
      <c r="G35" s="169" t="inlineStr">
        <is>
          <t>Rumus</t>
        </is>
      </c>
      <c r="H35" s="116" t="n"/>
      <c r="I35" s="169" t="inlineStr">
        <is>
          <t>Interpretasi</t>
        </is>
      </c>
      <c r="J35" s="116" t="n"/>
      <c r="K35" s="116" t="n"/>
      <c r="L35" s="116" t="n"/>
    </row>
    <row r="36" ht="21.75" customHeight="1" s="95">
      <c r="A36" s="171" t="inlineStr">
        <is>
          <t>Stunting</t>
        </is>
      </c>
      <c r="B36" s="116" t="n"/>
      <c r="C36" s="172" t="n">
        <v>15</v>
      </c>
      <c r="D36" s="172" t="n">
        <v>5</v>
      </c>
      <c r="E36" s="172" t="n">
        <v>20</v>
      </c>
      <c r="F36" s="173" t="n">
        <v>0.75</v>
      </c>
      <c r="G36" s="174" t="inlineStr">
        <is>
          <t>15/(15+5)</t>
        </is>
      </c>
      <c r="H36" s="116" t="n"/>
      <c r="I36" s="175" t="inlineStr">
        <is>
          <t>75.00%: dari 20 prediksi Stunting, 15 benar</t>
        </is>
      </c>
      <c r="J36" s="116" t="n"/>
      <c r="K36" s="116" t="n"/>
      <c r="L36" s="116" t="n"/>
    </row>
    <row r="37" ht="21.75" customHeight="1" s="95">
      <c r="A37" s="176" t="inlineStr">
        <is>
          <t>Potensi Stunting</t>
        </is>
      </c>
      <c r="B37" s="116" t="n"/>
      <c r="C37" s="148" t="n">
        <v>15</v>
      </c>
      <c r="D37" s="148" t="n">
        <v>3</v>
      </c>
      <c r="E37" s="148" t="n">
        <v>18</v>
      </c>
      <c r="F37" s="177" t="n">
        <v>0.8333</v>
      </c>
      <c r="G37" s="178" t="inlineStr">
        <is>
          <t>15/(15+3)</t>
        </is>
      </c>
      <c r="H37" s="116" t="n"/>
      <c r="I37" s="179" t="inlineStr">
        <is>
          <t>83.33%: dari 18 prediksi Pot.Stunting, 15 benar</t>
        </is>
      </c>
      <c r="J37" s="116" t="n"/>
      <c r="K37" s="116" t="n"/>
      <c r="L37" s="116" t="n"/>
    </row>
    <row r="38" ht="21.75" customHeight="1" s="95">
      <c r="A38" s="180" t="inlineStr">
        <is>
          <t>Tidak</t>
        </is>
      </c>
      <c r="B38" s="116" t="n"/>
      <c r="C38" s="181" t="n">
        <v>143</v>
      </c>
      <c r="D38" s="181" t="n">
        <v>6</v>
      </c>
      <c r="E38" s="181" t="n">
        <v>149</v>
      </c>
      <c r="F38" s="182" t="n">
        <v>0.9597</v>
      </c>
      <c r="G38" s="183" t="inlineStr">
        <is>
          <t>143/(143+6)</t>
        </is>
      </c>
      <c r="H38" s="116" t="n"/>
      <c r="I38" s="184" t="inlineStr">
        <is>
          <t>95.97%: dari 149 prediksi Tidak, 143 benar</t>
        </is>
      </c>
      <c r="J38" s="116" t="n"/>
      <c r="K38" s="116" t="n"/>
      <c r="L38" s="116" t="n"/>
    </row>
    <row r="39" ht="25.5" customHeight="1" s="95">
      <c r="A39" s="185" t="inlineStr">
        <is>
          <t>Macro Average Presisi</t>
        </is>
      </c>
      <c r="B39" s="116" t="n"/>
      <c r="C39" s="116" t="n"/>
      <c r="D39" s="116" t="n"/>
      <c r="E39" s="116" t="n"/>
      <c r="F39" s="186" t="n">
        <v>0.8477</v>
      </c>
      <c r="G39" s="187">
        <f>(75% + 83.33% + 95.97%) / 3  =  84.77%</f>
        <v/>
      </c>
      <c r="H39" s="116" t="n"/>
      <c r="I39" s="116" t="n"/>
      <c r="J39" s="116" t="n"/>
      <c r="K39" s="116" t="n"/>
      <c r="L39" s="116" t="n"/>
    </row>
    <row r="41" ht="25.5" customHeight="1" s="95">
      <c r="A41" s="164" t="inlineStr">
        <is>
          <t>③ RECALL  (Sensitivitas / True Positive Rate)</t>
        </is>
      </c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16" t="n"/>
      <c r="K41" s="116" t="n"/>
      <c r="L41" s="116" t="n"/>
    </row>
    <row r="42" ht="31.5" customHeight="1" s="95">
      <c r="A42" s="165" t="inlineStr">
        <is>
          <t>Dari semua data yang AKTUAL kelas X, berapa yang berhasil dideteksi model?  Rumus: Recall = TP / (TP + FN)</t>
        </is>
      </c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16" t="n"/>
      <c r="K42" s="116" t="n"/>
      <c r="L42" s="116" t="n"/>
    </row>
    <row r="43" ht="21.75" customHeight="1" s="95">
      <c r="A43" s="169" t="inlineStr">
        <is>
          <t>Kelas</t>
        </is>
      </c>
      <c r="B43" s="116" t="n"/>
      <c r="C43" s="170" t="inlineStr">
        <is>
          <t>TP</t>
        </is>
      </c>
      <c r="D43" s="170" t="inlineStr">
        <is>
          <t>FN</t>
        </is>
      </c>
      <c r="E43" s="170" t="inlineStr">
        <is>
          <t>TP+FN</t>
        </is>
      </c>
      <c r="F43" s="170" t="inlineStr">
        <is>
          <t>Recall</t>
        </is>
      </c>
      <c r="G43" s="169" t="inlineStr">
        <is>
          <t>Rumus</t>
        </is>
      </c>
      <c r="H43" s="116" t="n"/>
      <c r="I43" s="169" t="inlineStr">
        <is>
          <t>Interpretasi</t>
        </is>
      </c>
      <c r="J43" s="116" t="n"/>
      <c r="K43" s="116" t="n"/>
      <c r="L43" s="116" t="n"/>
    </row>
    <row r="44" ht="21.75" customHeight="1" s="95">
      <c r="A44" s="171" t="inlineStr">
        <is>
          <t>Stunting</t>
        </is>
      </c>
      <c r="B44" s="116" t="n"/>
      <c r="C44" s="172" t="n">
        <v>15</v>
      </c>
      <c r="D44" s="172" t="n">
        <v>0</v>
      </c>
      <c r="E44" s="172" t="n">
        <v>15</v>
      </c>
      <c r="F44" s="173" t="n">
        <v>1</v>
      </c>
      <c r="G44" s="174" t="inlineStr">
        <is>
          <t>15/(15+0)</t>
        </is>
      </c>
      <c r="H44" s="116" t="n"/>
      <c r="I44" s="175" t="inlineStr">
        <is>
          <t>100%: semua 15 kasus Stunting terdeteksi</t>
        </is>
      </c>
      <c r="J44" s="116" t="n"/>
      <c r="K44" s="116" t="n"/>
      <c r="L44" s="116" t="n"/>
    </row>
    <row r="45" ht="21.75" customHeight="1" s="95">
      <c r="A45" s="176" t="inlineStr">
        <is>
          <t>Potensi Stunting</t>
        </is>
      </c>
      <c r="B45" s="116" t="n"/>
      <c r="C45" s="148" t="n">
        <v>15</v>
      </c>
      <c r="D45" s="148" t="n">
        <v>8</v>
      </c>
      <c r="E45" s="148" t="n">
        <v>23</v>
      </c>
      <c r="F45" s="177" t="n">
        <v>0.6522</v>
      </c>
      <c r="G45" s="178" t="inlineStr">
        <is>
          <t>15/(15+8)</t>
        </is>
      </c>
      <c r="H45" s="116" t="n"/>
      <c r="I45" s="179" t="inlineStr">
        <is>
          <t>65.22%: 8 dari 23 kasus Pot.Stunting terlewat</t>
        </is>
      </c>
      <c r="J45" s="116" t="n"/>
      <c r="K45" s="116" t="n"/>
      <c r="L45" s="116" t="n"/>
    </row>
    <row r="46" ht="21.75" customHeight="1" s="95">
      <c r="A46" s="180" t="inlineStr">
        <is>
          <t>Tidak</t>
        </is>
      </c>
      <c r="B46" s="116" t="n"/>
      <c r="C46" s="181" t="n">
        <v>143</v>
      </c>
      <c r="D46" s="181" t="n">
        <v>6</v>
      </c>
      <c r="E46" s="181" t="n">
        <v>149</v>
      </c>
      <c r="F46" s="182" t="n">
        <v>0.9597</v>
      </c>
      <c r="G46" s="183" t="inlineStr">
        <is>
          <t>143/(143+6)</t>
        </is>
      </c>
      <c r="H46" s="116" t="n"/>
      <c r="I46" s="184" t="inlineStr">
        <is>
          <t>95.97%: 6 dari 149 kasus Tidak terlewat</t>
        </is>
      </c>
      <c r="J46" s="116" t="n"/>
      <c r="K46" s="116" t="n"/>
      <c r="L46" s="116" t="n"/>
    </row>
    <row r="47" ht="25.5" customHeight="1" s="95">
      <c r="A47" s="185" t="inlineStr">
        <is>
          <t>Macro Average Recall</t>
        </is>
      </c>
      <c r="B47" s="116" t="n"/>
      <c r="C47" s="116" t="n"/>
      <c r="D47" s="116" t="n"/>
      <c r="E47" s="116" t="n"/>
      <c r="F47" s="186" t="n">
        <v>0.8706</v>
      </c>
      <c r="G47" s="187">
        <f>(100% + 65.22% + 95.97%) / 3  =  87.06%</f>
        <v/>
      </c>
      <c r="H47" s="116" t="n"/>
      <c r="I47" s="116" t="n"/>
      <c r="J47" s="116" t="n"/>
      <c r="K47" s="116" t="n"/>
      <c r="L47" s="116" t="n"/>
    </row>
    <row r="49" ht="25.5" customHeight="1" s="95">
      <c r="A49" s="145" t="inlineStr">
        <is>
          <t>④ KESIMPULAN</t>
        </is>
      </c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16" t="n"/>
      <c r="K49" s="116" t="n"/>
      <c r="L49" s="116" t="n"/>
    </row>
    <row r="50" ht="24" customHeight="1" s="95">
      <c r="A50" s="188" t="inlineStr">
        <is>
          <t>Akurasi</t>
        </is>
      </c>
      <c r="B50" s="116" t="n"/>
      <c r="C50" s="189" t="n">
        <v>0.9251</v>
      </c>
      <c r="D50" s="116" t="n"/>
      <c r="E50" s="116" t="n"/>
      <c r="F50" s="190" t="inlineStr">
        <is>
          <t>Model benar memprediksi 92.51% data test (173/187). Performa sangat baik.</t>
        </is>
      </c>
      <c r="G50" s="116" t="n"/>
      <c r="H50" s="116" t="n"/>
      <c r="I50" s="116" t="n"/>
      <c r="J50" s="116" t="n"/>
      <c r="K50" s="116" t="n"/>
      <c r="L50" s="116" t="n"/>
    </row>
    <row r="51" ht="24" customHeight="1" s="95">
      <c r="A51" s="191" t="inlineStr">
        <is>
          <t>Presisi (Macro)</t>
        </is>
      </c>
      <c r="B51" s="116" t="n"/>
      <c r="C51" s="192" t="n">
        <v>0.8477</v>
      </c>
      <c r="D51" s="116" t="n"/>
      <c r="E51" s="116" t="n"/>
      <c r="F51" s="193" t="inlineStr">
        <is>
          <t>Rata-rata 84.77% prediksi per kelas adalah tepat. Tingkat false alarm rendah.</t>
        </is>
      </c>
      <c r="G51" s="116" t="n"/>
      <c r="H51" s="116" t="n"/>
      <c r="I51" s="116" t="n"/>
      <c r="J51" s="116" t="n"/>
      <c r="K51" s="116" t="n"/>
      <c r="L51" s="116" t="n"/>
    </row>
    <row r="52" ht="24" customHeight="1" s="95">
      <c r="A52" s="188" t="inlineStr">
        <is>
          <t>Recall (Macro)</t>
        </is>
      </c>
      <c r="B52" s="116" t="n"/>
      <c r="C52" s="189" t="n">
        <v>0.8706</v>
      </c>
      <c r="D52" s="116" t="n"/>
      <c r="E52" s="116" t="n"/>
      <c r="F52" s="190" t="inlineStr">
        <is>
          <t>Rata-rata 87.06% kasus aktual berhasil terdeteksi model.</t>
        </is>
      </c>
      <c r="G52" s="116" t="n"/>
      <c r="H52" s="116" t="n"/>
      <c r="I52" s="116" t="n"/>
      <c r="J52" s="116" t="n"/>
      <c r="K52" s="116" t="n"/>
      <c r="L52" s="116" t="n"/>
    </row>
    <row r="53" ht="24" customHeight="1" s="95">
      <c r="A53" s="191" t="inlineStr">
        <is>
          <t>F1-Score (Macro)</t>
        </is>
      </c>
      <c r="B53" s="116" t="n"/>
      <c r="C53" s="192" t="n">
        <v>0.8495</v>
      </c>
      <c r="D53" s="116" t="n"/>
      <c r="E53" s="116" t="n"/>
      <c r="F53" s="193" t="inlineStr">
        <is>
          <t>Keseimbangan Presisi &amp; Recall: 84.95% — performa model secara keseluruhan baik.</t>
        </is>
      </c>
      <c r="G53" s="116" t="n"/>
      <c r="H53" s="116" t="n"/>
      <c r="I53" s="116" t="n"/>
      <c r="J53" s="116" t="n"/>
      <c r="K53" s="116" t="n"/>
      <c r="L53" s="116" t="n"/>
    </row>
    <row r="54" ht="39.75" customHeight="1" s="95">
      <c r="A54" s="194" t="inlineStr">
        <is>
          <t>⚠  Catatan: Recall "Potensi Stunting" = 65.22% (paling rendah) — 8 dari 23 kasus Potensi Stunting diprediksi salah. Perlu peningkatan model agar kasus berisiko tidak terlewat.</t>
        </is>
      </c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16" t="n"/>
      <c r="K54" s="116" t="n"/>
      <c r="L54" s="116" t="n"/>
    </row>
  </sheetData>
  <mergeCells count="66">
    <mergeCell ref="A39:E39"/>
    <mergeCell ref="A54:L54"/>
    <mergeCell ref="C50:E50"/>
    <mergeCell ref="G43:H43"/>
    <mergeCell ref="A41:L41"/>
    <mergeCell ref="I44:L44"/>
    <mergeCell ref="A51:B51"/>
    <mergeCell ref="F52:L52"/>
    <mergeCell ref="E31:G31"/>
    <mergeCell ref="I35:L35"/>
    <mergeCell ref="A45:B45"/>
    <mergeCell ref="A36:B36"/>
    <mergeCell ref="G36:H36"/>
    <mergeCell ref="I38:L38"/>
    <mergeCell ref="A27:L27"/>
    <mergeCell ref="H31:L31"/>
    <mergeCell ref="C51:E51"/>
    <mergeCell ref="A2:L2"/>
    <mergeCell ref="C3:F3"/>
    <mergeCell ref="A31:D31"/>
    <mergeCell ref="A42:L42"/>
    <mergeCell ref="A18:C20"/>
    <mergeCell ref="A23:C23"/>
    <mergeCell ref="A33:L33"/>
    <mergeCell ref="G38:H38"/>
    <mergeCell ref="C52:E52"/>
    <mergeCell ref="F53:L53"/>
    <mergeCell ref="A37:B37"/>
    <mergeCell ref="G37:H37"/>
    <mergeCell ref="A46:B46"/>
    <mergeCell ref="A22:L22"/>
    <mergeCell ref="I46:L46"/>
    <mergeCell ref="I45:L45"/>
    <mergeCell ref="A50:B50"/>
    <mergeCell ref="I36:L36"/>
    <mergeCell ref="A29:L29"/>
    <mergeCell ref="A10:L10"/>
    <mergeCell ref="G47:L47"/>
    <mergeCell ref="D18:L20"/>
    <mergeCell ref="D23:F23"/>
    <mergeCell ref="C53:E53"/>
    <mergeCell ref="J23:L23"/>
    <mergeCell ref="A47:E47"/>
    <mergeCell ref="G45:H45"/>
    <mergeCell ref="A17:E17"/>
    <mergeCell ref="A34:L34"/>
    <mergeCell ref="F51:L51"/>
    <mergeCell ref="A53:B53"/>
    <mergeCell ref="A35:B35"/>
    <mergeCell ref="G35:H35"/>
    <mergeCell ref="A4:A7"/>
    <mergeCell ref="A30:L30"/>
    <mergeCell ref="I37:L37"/>
    <mergeCell ref="A38:B38"/>
    <mergeCell ref="F50:L50"/>
    <mergeCell ref="A52:B52"/>
    <mergeCell ref="A43:B43"/>
    <mergeCell ref="A49:L49"/>
    <mergeCell ref="F17:L17"/>
    <mergeCell ref="A1:L1"/>
    <mergeCell ref="G23:I23"/>
    <mergeCell ref="I43:L43"/>
    <mergeCell ref="G39:L39"/>
    <mergeCell ref="A44:B44"/>
    <mergeCell ref="G44:H44"/>
    <mergeCell ref="G46:H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Sinaga Welzeen</dc:creator>
  <dc:language xmlns:dc="http://purl.org/dc/elements/1.1/">en-US</dc:language>
  <dcterms:created xmlns:dcterms="http://purl.org/dc/terms/" xmlns:xsi="http://www.w3.org/2001/XMLSchema-instance" xsi:type="dcterms:W3CDTF">2025-10-09T07:14:35Z</dcterms:created>
  <dcterms:modified xmlns:dcterms="http://purl.org/dc/terms/" xmlns:xsi="http://www.w3.org/2001/XMLSchema-instance" xsi:type="dcterms:W3CDTF">2026-03-13T14:14:00Z</dcterms:modified>
  <cp:lastModifiedBy>Sinaga Welzeen</cp:lastModifiedBy>
  <cp:revision>0</cp:revision>
</cp:coreProperties>
</file>